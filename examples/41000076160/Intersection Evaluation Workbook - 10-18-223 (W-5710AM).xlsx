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S:\TSU\SES\Projects\Safety Project Evaluations\Automatic Evaluation Workbooks\Work in Progress\"/>
    </mc:Choice>
  </mc:AlternateContent>
  <xr:revisionPtr revIDLastSave="0" documentId="13_ncr:1_{64E46748-13E7-4432-9692-AB8BDDB8A822}" xr6:coauthVersionLast="47" xr6:coauthVersionMax="47" xr10:uidLastSave="{00000000-0000-0000-0000-000000000000}"/>
  <bookViews>
    <workbookView xWindow="28680" yWindow="-120" windowWidth="29040" windowHeight="15840" tabRatio="917" xr2:uid="{00000000-000D-0000-FFFF-FFFF00000000}"/>
  </bookViews>
  <sheets>
    <sheet name="Step-by-Step Instructions" sheetId="9" r:id="rId1"/>
    <sheet name="Typical Target Crash Types" sheetId="10" r:id="rId2"/>
    <sheet name="Evaluation Set-up" sheetId="7" r:id="rId3"/>
    <sheet name="Original Fiche" sheetId="11" r:id="rId4"/>
    <sheet name="Filtered Fiche" sheetId="12" r:id="rId5"/>
    <sheet name="Binned Crashes" sheetId="8" r:id="rId6"/>
    <sheet name="Before" sheetId="4" r:id="rId7"/>
    <sheet name="After" sheetId="5" r:id="rId8"/>
    <sheet name="1 page results - 1 Target" sheetId="13" r:id="rId9"/>
    <sheet name="1 page results - 2 Targets" sheetId="14" r:id="rId10"/>
    <sheet name="For NCDOT staff - for Tracking" sheetId="16" r:id="rId11"/>
  </sheets>
  <definedNames>
    <definedName name="_xlnm.Print_Area" localSheetId="8">'1 page results - 1 Target'!$B$2:$L$71</definedName>
    <definedName name="_xlnm.Print_Area" localSheetId="9">'1 page results - 2 Targets'!$B$2:$L$77</definedName>
  </definedNames>
  <calcPr fullCalcOnLoad="1"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5" i="16" l="1"/>
  <c r="O5" i="16"/>
  <c r="Q5" i="16"/>
  <c r="P5" i="16"/>
  <c r="B5" i="16"/>
  <c r="S5" i="4" l="1"/>
  <c r="AA13" i="16" l="1"/>
  <c r="AA14" i="16"/>
  <c r="AA15" i="16"/>
  <c r="AA16" i="16"/>
  <c r="AA17" i="16"/>
  <c r="AB13" i="16"/>
  <c r="AC13" i="16"/>
  <c r="AD13" i="16"/>
  <c r="AE13" i="16"/>
  <c r="AF13" i="16"/>
  <c r="AG13" i="16"/>
  <c r="AH13" i="16"/>
  <c r="AI13" i="16"/>
  <c r="AJ13" i="16"/>
  <c r="AK13" i="16"/>
  <c r="AL13" i="16"/>
  <c r="AB14" i="16"/>
  <c r="AC14" i="16"/>
  <c r="AD14" i="16"/>
  <c r="AE14" i="16"/>
  <c r="AF14" i="16"/>
  <c r="AG14" i="16"/>
  <c r="AH14" i="16"/>
  <c r="AI14" i="16"/>
  <c r="AJ14" i="16"/>
  <c r="AK14" i="16"/>
  <c r="AL14" i="16"/>
  <c r="AB15" i="16"/>
  <c r="AC15" i="16"/>
  <c r="AD15" i="16"/>
  <c r="AE15" i="16"/>
  <c r="AF15" i="16"/>
  <c r="AG15" i="16"/>
  <c r="AH15" i="16"/>
  <c r="AI15" i="16"/>
  <c r="AJ15" i="16"/>
  <c r="AK15" i="16"/>
  <c r="AL15" i="16"/>
  <c r="AB16" i="16"/>
  <c r="AC16" i="16"/>
  <c r="AD16" i="16"/>
  <c r="AE16" i="16"/>
  <c r="AF16" i="16"/>
  <c r="AG16" i="16"/>
  <c r="AH16" i="16"/>
  <c r="AI16" i="16"/>
  <c r="AJ16" i="16"/>
  <c r="AK16" i="16"/>
  <c r="AL16" i="16"/>
  <c r="AB17" i="16"/>
  <c r="AC17" i="16"/>
  <c r="AD17" i="16"/>
  <c r="AE17" i="16"/>
  <c r="AF17" i="16"/>
  <c r="AG17" i="16"/>
  <c r="AH17" i="16"/>
  <c r="AI17" i="16"/>
  <c r="AJ17" i="16"/>
  <c r="AK17" i="16"/>
  <c r="AL17" i="16"/>
  <c r="AA18" i="16"/>
  <c r="AB18" i="16"/>
  <c r="AC18" i="16"/>
  <c r="AD18" i="16"/>
  <c r="AE18" i="16"/>
  <c r="AF18" i="16"/>
  <c r="AG18" i="16"/>
  <c r="AH18" i="16"/>
  <c r="AI18" i="16"/>
  <c r="AJ18" i="16"/>
  <c r="AK18" i="16"/>
  <c r="AL18" i="16"/>
  <c r="AA19" i="16"/>
  <c r="AB19" i="16"/>
  <c r="AC19" i="16"/>
  <c r="AD19" i="16"/>
  <c r="AE19" i="16"/>
  <c r="AF19" i="16"/>
  <c r="AG19" i="16"/>
  <c r="AH19" i="16"/>
  <c r="AI19" i="16"/>
  <c r="AJ19" i="16"/>
  <c r="AK19" i="16"/>
  <c r="AL19" i="16"/>
  <c r="AA20" i="16"/>
  <c r="AB20" i="16"/>
  <c r="AC20" i="16"/>
  <c r="AD20" i="16"/>
  <c r="AE20" i="16"/>
  <c r="AF20" i="16"/>
  <c r="AG20" i="16"/>
  <c r="AH20" i="16"/>
  <c r="AI20" i="16"/>
  <c r="AJ20" i="16"/>
  <c r="AK20" i="16"/>
  <c r="AL20" i="16"/>
  <c r="AA21" i="16"/>
  <c r="AB21" i="16"/>
  <c r="AC21" i="16"/>
  <c r="AD21" i="16"/>
  <c r="AE21" i="16"/>
  <c r="AF21" i="16"/>
  <c r="AG21" i="16"/>
  <c r="AH21" i="16"/>
  <c r="AI21" i="16"/>
  <c r="AJ21" i="16"/>
  <c r="AK21" i="16"/>
  <c r="AL21" i="16"/>
  <c r="AA22" i="16"/>
  <c r="AB22" i="16"/>
  <c r="AC22" i="16"/>
  <c r="AD22" i="16"/>
  <c r="AE22" i="16"/>
  <c r="AF22" i="16"/>
  <c r="AG22" i="16"/>
  <c r="AH22" i="16"/>
  <c r="AI22" i="16"/>
  <c r="AJ22" i="16"/>
  <c r="AK22" i="16"/>
  <c r="AL22" i="16"/>
  <c r="AA23" i="16"/>
  <c r="AB23" i="16"/>
  <c r="AC23" i="16"/>
  <c r="AD23" i="16"/>
  <c r="AE23" i="16"/>
  <c r="AF23" i="16"/>
  <c r="AG23" i="16"/>
  <c r="AH23" i="16"/>
  <c r="AI23" i="16"/>
  <c r="AJ23" i="16"/>
  <c r="AK23" i="16"/>
  <c r="AL23" i="16"/>
  <c r="AA24" i="16"/>
  <c r="AB24" i="16"/>
  <c r="AC24" i="16"/>
  <c r="AD24" i="16"/>
  <c r="AE24" i="16"/>
  <c r="AF24" i="16"/>
  <c r="AG24" i="16"/>
  <c r="AH24" i="16"/>
  <c r="AI24" i="16"/>
  <c r="AJ24" i="16"/>
  <c r="AK24" i="16"/>
  <c r="AL24" i="16"/>
  <c r="AA25" i="16"/>
  <c r="AB25" i="16"/>
  <c r="AC25" i="16"/>
  <c r="AD25" i="16"/>
  <c r="AE25" i="16"/>
  <c r="AF25" i="16"/>
  <c r="AG25" i="16"/>
  <c r="AH25" i="16"/>
  <c r="AI25" i="16"/>
  <c r="AJ25" i="16"/>
  <c r="AK25" i="16"/>
  <c r="AL25" i="16"/>
  <c r="AA26" i="16"/>
  <c r="AB26" i="16"/>
  <c r="AC26" i="16"/>
  <c r="AD26" i="16"/>
  <c r="AE26" i="16"/>
  <c r="AF26" i="16"/>
  <c r="AG26" i="16"/>
  <c r="AH26" i="16"/>
  <c r="AI26" i="16"/>
  <c r="AJ26" i="16"/>
  <c r="AK26" i="16"/>
  <c r="AL26" i="16"/>
  <c r="AA27" i="16"/>
  <c r="AB27" i="16"/>
  <c r="AC27" i="16"/>
  <c r="AD27" i="16"/>
  <c r="AE27" i="16"/>
  <c r="AF27" i="16"/>
  <c r="AG27" i="16"/>
  <c r="AH27" i="16"/>
  <c r="AI27" i="16"/>
  <c r="AJ27" i="16"/>
  <c r="AK27" i="16"/>
  <c r="AL27" i="16"/>
  <c r="AA28" i="16"/>
  <c r="AB28" i="16"/>
  <c r="AC28" i="16"/>
  <c r="AD28" i="16"/>
  <c r="AE28" i="16"/>
  <c r="AF28" i="16"/>
  <c r="AG28" i="16"/>
  <c r="AH28" i="16"/>
  <c r="AI28" i="16"/>
  <c r="AJ28" i="16"/>
  <c r="AK28" i="16"/>
  <c r="AL28" i="16"/>
  <c r="AA29" i="16"/>
  <c r="AB29" i="16"/>
  <c r="AC29" i="16"/>
  <c r="AD29" i="16"/>
  <c r="AE29" i="16"/>
  <c r="AF29" i="16"/>
  <c r="AG29" i="16"/>
  <c r="AH29" i="16"/>
  <c r="AI29" i="16"/>
  <c r="AJ29" i="16"/>
  <c r="AK29" i="16"/>
  <c r="AL29" i="16"/>
  <c r="AA30" i="16"/>
  <c r="AB30" i="16"/>
  <c r="AC30" i="16"/>
  <c r="AD30" i="16"/>
  <c r="AE30" i="16"/>
  <c r="AF30" i="16"/>
  <c r="AG30" i="16"/>
  <c r="AH30" i="16"/>
  <c r="AI30" i="16"/>
  <c r="AJ30" i="16"/>
  <c r="AK30" i="16"/>
  <c r="AL30" i="16"/>
  <c r="AA31" i="16"/>
  <c r="AB31" i="16"/>
  <c r="AC31" i="16"/>
  <c r="AD31" i="16"/>
  <c r="AE31" i="16"/>
  <c r="AF31" i="16"/>
  <c r="AG31" i="16"/>
  <c r="AH31" i="16"/>
  <c r="AI31" i="16"/>
  <c r="AJ31" i="16"/>
  <c r="AK31" i="16"/>
  <c r="AL31" i="16"/>
  <c r="AA32" i="16"/>
  <c r="AB32" i="16"/>
  <c r="AC32" i="16"/>
  <c r="AD32" i="16"/>
  <c r="AE32" i="16"/>
  <c r="AF32" i="16"/>
  <c r="AG32" i="16"/>
  <c r="AH32" i="16"/>
  <c r="AI32" i="16"/>
  <c r="AJ32" i="16"/>
  <c r="AK32" i="16"/>
  <c r="AL32" i="16"/>
  <c r="AA33" i="16"/>
  <c r="AB33" i="16"/>
  <c r="AC33" i="16"/>
  <c r="AD33" i="16"/>
  <c r="AE33" i="16"/>
  <c r="AF33" i="16"/>
  <c r="AG33" i="16"/>
  <c r="AH33" i="16"/>
  <c r="AI33" i="16"/>
  <c r="AJ33" i="16"/>
  <c r="AK33" i="16"/>
  <c r="AL33" i="16"/>
  <c r="AA34" i="16"/>
  <c r="AB34" i="16"/>
  <c r="AC34" i="16"/>
  <c r="AD34" i="16"/>
  <c r="AE34" i="16"/>
  <c r="AF34" i="16"/>
  <c r="AG34" i="16"/>
  <c r="AH34" i="16"/>
  <c r="AI34" i="16"/>
  <c r="AJ34" i="16"/>
  <c r="AK34" i="16"/>
  <c r="AL34" i="16"/>
  <c r="AA35" i="16"/>
  <c r="AB35" i="16"/>
  <c r="AC35" i="16"/>
  <c r="AD35" i="16"/>
  <c r="AE35" i="16"/>
  <c r="AF35" i="16"/>
  <c r="AG35" i="16"/>
  <c r="AH35" i="16"/>
  <c r="AI35" i="16"/>
  <c r="AJ35" i="16"/>
  <c r="AK35" i="16"/>
  <c r="AL35" i="16"/>
  <c r="AA36" i="16"/>
  <c r="AB36" i="16"/>
  <c r="AC36" i="16"/>
  <c r="AD36" i="16"/>
  <c r="AE36" i="16"/>
  <c r="AF36" i="16"/>
  <c r="AG36" i="16"/>
  <c r="AH36" i="16"/>
  <c r="AI36" i="16"/>
  <c r="AJ36" i="16"/>
  <c r="AK36" i="16"/>
  <c r="AL36" i="16"/>
  <c r="AA37" i="16"/>
  <c r="AB37" i="16"/>
  <c r="AC37" i="16"/>
  <c r="AD37" i="16"/>
  <c r="AE37" i="16"/>
  <c r="AF37" i="16"/>
  <c r="AG37" i="16"/>
  <c r="AH37" i="16"/>
  <c r="AI37" i="16"/>
  <c r="AJ37" i="16"/>
  <c r="AK37" i="16"/>
  <c r="AL37" i="16"/>
  <c r="L14" i="16"/>
  <c r="M14" i="16"/>
  <c r="N14" i="16"/>
  <c r="O14" i="16"/>
  <c r="P14" i="16"/>
  <c r="Q14" i="16"/>
  <c r="R14" i="16"/>
  <c r="S14" i="16"/>
  <c r="T14" i="16"/>
  <c r="U14" i="16"/>
  <c r="V14" i="16"/>
  <c r="W14" i="16"/>
  <c r="L15" i="16"/>
  <c r="M15" i="16"/>
  <c r="N15" i="16"/>
  <c r="O15" i="16"/>
  <c r="P15" i="16"/>
  <c r="Q15" i="16"/>
  <c r="R15" i="16"/>
  <c r="S15" i="16"/>
  <c r="T15" i="16"/>
  <c r="U15" i="16"/>
  <c r="V15" i="16"/>
  <c r="W15" i="16"/>
  <c r="L16" i="16"/>
  <c r="M16" i="16"/>
  <c r="N16" i="16"/>
  <c r="O16" i="16"/>
  <c r="P16" i="16"/>
  <c r="Q16" i="16"/>
  <c r="R16" i="16"/>
  <c r="S16" i="16"/>
  <c r="T16" i="16"/>
  <c r="U16" i="16"/>
  <c r="V16" i="16"/>
  <c r="W16" i="16"/>
  <c r="L17" i="16"/>
  <c r="M17" i="16"/>
  <c r="N17" i="16"/>
  <c r="O17" i="16"/>
  <c r="P17" i="16"/>
  <c r="Q17" i="16"/>
  <c r="R17" i="16"/>
  <c r="S17" i="16"/>
  <c r="T17" i="16"/>
  <c r="U17" i="16"/>
  <c r="V17" i="16"/>
  <c r="W17" i="16"/>
  <c r="L18" i="16"/>
  <c r="M18" i="16"/>
  <c r="N18" i="16"/>
  <c r="O18" i="16"/>
  <c r="P18" i="16"/>
  <c r="Q18" i="16"/>
  <c r="R18" i="16"/>
  <c r="S18" i="16"/>
  <c r="T18" i="16"/>
  <c r="U18" i="16"/>
  <c r="V18" i="16"/>
  <c r="W18" i="16"/>
  <c r="L19" i="16"/>
  <c r="M19" i="16"/>
  <c r="N19" i="16"/>
  <c r="O19" i="16"/>
  <c r="P19" i="16"/>
  <c r="Q19" i="16"/>
  <c r="R19" i="16"/>
  <c r="S19" i="16"/>
  <c r="T19" i="16"/>
  <c r="U19" i="16"/>
  <c r="V19" i="16"/>
  <c r="W19" i="16"/>
  <c r="L20" i="16"/>
  <c r="M20" i="16"/>
  <c r="N20" i="16"/>
  <c r="O20" i="16"/>
  <c r="P20" i="16"/>
  <c r="Q20" i="16"/>
  <c r="R20" i="16"/>
  <c r="S20" i="16"/>
  <c r="T20" i="16"/>
  <c r="U20" i="16"/>
  <c r="V20" i="16"/>
  <c r="W20" i="16"/>
  <c r="L21" i="16"/>
  <c r="M21" i="16"/>
  <c r="N21" i="16"/>
  <c r="O21" i="16"/>
  <c r="P21" i="16"/>
  <c r="Q21" i="16"/>
  <c r="R21" i="16"/>
  <c r="S21" i="16"/>
  <c r="T21" i="16"/>
  <c r="U21" i="16"/>
  <c r="V21" i="16"/>
  <c r="W21" i="16"/>
  <c r="L22" i="16"/>
  <c r="M22" i="16"/>
  <c r="N22" i="16"/>
  <c r="O22" i="16"/>
  <c r="P22" i="16"/>
  <c r="Q22" i="16"/>
  <c r="R22" i="16"/>
  <c r="S22" i="16"/>
  <c r="T22" i="16"/>
  <c r="U22" i="16"/>
  <c r="V22" i="16"/>
  <c r="W22" i="16"/>
  <c r="L23" i="16"/>
  <c r="M23" i="16"/>
  <c r="N23" i="16"/>
  <c r="O23" i="16"/>
  <c r="P23" i="16"/>
  <c r="Q23" i="16"/>
  <c r="R23" i="16"/>
  <c r="S23" i="16"/>
  <c r="T23" i="16"/>
  <c r="U23" i="16"/>
  <c r="V23" i="16"/>
  <c r="W23" i="16"/>
  <c r="L24" i="16"/>
  <c r="M24" i="16"/>
  <c r="N24" i="16"/>
  <c r="O24" i="16"/>
  <c r="P24" i="16"/>
  <c r="Q24" i="16"/>
  <c r="R24" i="16"/>
  <c r="S24" i="16"/>
  <c r="T24" i="16"/>
  <c r="U24" i="16"/>
  <c r="V24" i="16"/>
  <c r="W24" i="16"/>
  <c r="L25" i="16"/>
  <c r="M25" i="16"/>
  <c r="N25" i="16"/>
  <c r="O25" i="16"/>
  <c r="P25" i="16"/>
  <c r="Q25" i="16"/>
  <c r="R25" i="16"/>
  <c r="S25" i="16"/>
  <c r="T25" i="16"/>
  <c r="U25" i="16"/>
  <c r="V25" i="16"/>
  <c r="W25" i="16"/>
  <c r="L26" i="16"/>
  <c r="M26" i="16"/>
  <c r="N26" i="16"/>
  <c r="O26" i="16"/>
  <c r="P26" i="16"/>
  <c r="Q26" i="16"/>
  <c r="R26" i="16"/>
  <c r="S26" i="16"/>
  <c r="T26" i="16"/>
  <c r="U26" i="16"/>
  <c r="V26" i="16"/>
  <c r="W26" i="16"/>
  <c r="L27" i="16"/>
  <c r="M27" i="16"/>
  <c r="N27" i="16"/>
  <c r="O27" i="16"/>
  <c r="P27" i="16"/>
  <c r="Q27" i="16"/>
  <c r="R27" i="16"/>
  <c r="S27" i="16"/>
  <c r="T27" i="16"/>
  <c r="U27" i="16"/>
  <c r="V27" i="16"/>
  <c r="W27" i="16"/>
  <c r="L28" i="16"/>
  <c r="M28" i="16"/>
  <c r="N28" i="16"/>
  <c r="O28" i="16"/>
  <c r="P28" i="16"/>
  <c r="Q28" i="16"/>
  <c r="R28" i="16"/>
  <c r="S28" i="16"/>
  <c r="T28" i="16"/>
  <c r="U28" i="16"/>
  <c r="V28" i="16"/>
  <c r="W28" i="16"/>
  <c r="L29" i="16"/>
  <c r="M29" i="16"/>
  <c r="N29" i="16"/>
  <c r="O29" i="16"/>
  <c r="P29" i="16"/>
  <c r="Q29" i="16"/>
  <c r="R29" i="16"/>
  <c r="S29" i="16"/>
  <c r="T29" i="16"/>
  <c r="U29" i="16"/>
  <c r="V29" i="16"/>
  <c r="W29" i="16"/>
  <c r="L30" i="16"/>
  <c r="M30" i="16"/>
  <c r="N30" i="16"/>
  <c r="O30" i="16"/>
  <c r="P30" i="16"/>
  <c r="Q30" i="16"/>
  <c r="R30" i="16"/>
  <c r="S30" i="16"/>
  <c r="T30" i="16"/>
  <c r="U30" i="16"/>
  <c r="V30" i="16"/>
  <c r="W30" i="16"/>
  <c r="L31" i="16"/>
  <c r="M31" i="16"/>
  <c r="N31" i="16"/>
  <c r="O31" i="16"/>
  <c r="P31" i="16"/>
  <c r="Q31" i="16"/>
  <c r="R31" i="16"/>
  <c r="S31" i="16"/>
  <c r="T31" i="16"/>
  <c r="U31" i="16"/>
  <c r="V31" i="16"/>
  <c r="W31" i="16"/>
  <c r="L32" i="16"/>
  <c r="M32" i="16"/>
  <c r="N32" i="16"/>
  <c r="O32" i="16"/>
  <c r="P32" i="16"/>
  <c r="Q32" i="16"/>
  <c r="R32" i="16"/>
  <c r="S32" i="16"/>
  <c r="T32" i="16"/>
  <c r="U32" i="16"/>
  <c r="V32" i="16"/>
  <c r="W32" i="16"/>
  <c r="L33" i="16"/>
  <c r="M33" i="16"/>
  <c r="N33" i="16"/>
  <c r="O33" i="16"/>
  <c r="P33" i="16"/>
  <c r="Q33" i="16"/>
  <c r="R33" i="16"/>
  <c r="S33" i="16"/>
  <c r="T33" i="16"/>
  <c r="U33" i="16"/>
  <c r="V33" i="16"/>
  <c r="W33" i="16"/>
  <c r="L34" i="16"/>
  <c r="M34" i="16"/>
  <c r="N34" i="16"/>
  <c r="O34" i="16"/>
  <c r="P34" i="16"/>
  <c r="Q34" i="16"/>
  <c r="R34" i="16"/>
  <c r="S34" i="16"/>
  <c r="T34" i="16"/>
  <c r="U34" i="16"/>
  <c r="V34" i="16"/>
  <c r="W34" i="16"/>
  <c r="L35" i="16"/>
  <c r="M35" i="16"/>
  <c r="N35" i="16"/>
  <c r="O35" i="16"/>
  <c r="P35" i="16"/>
  <c r="Q35" i="16"/>
  <c r="R35" i="16"/>
  <c r="S35" i="16"/>
  <c r="T35" i="16"/>
  <c r="U35" i="16"/>
  <c r="V35" i="16"/>
  <c r="W35" i="16"/>
  <c r="L36" i="16"/>
  <c r="M36" i="16"/>
  <c r="N36" i="16"/>
  <c r="O36" i="16"/>
  <c r="P36" i="16"/>
  <c r="Q36" i="16"/>
  <c r="R36" i="16"/>
  <c r="S36" i="16"/>
  <c r="T36" i="16"/>
  <c r="U36" i="16"/>
  <c r="V36" i="16"/>
  <c r="W36" i="16"/>
  <c r="L37" i="16"/>
  <c r="M37" i="16"/>
  <c r="N37" i="16"/>
  <c r="O37" i="16"/>
  <c r="P37" i="16"/>
  <c r="Q37" i="16"/>
  <c r="R37" i="16"/>
  <c r="S37" i="16"/>
  <c r="T37" i="16"/>
  <c r="U37" i="16"/>
  <c r="V37" i="16"/>
  <c r="W37" i="16"/>
  <c r="M13" i="16"/>
  <c r="N13" i="16"/>
  <c r="O13" i="16"/>
  <c r="P13" i="16"/>
  <c r="Q13" i="16"/>
  <c r="R13" i="16"/>
  <c r="S13" i="16"/>
  <c r="T13" i="16"/>
  <c r="U13" i="16"/>
  <c r="V13" i="16"/>
  <c r="W13" i="16"/>
  <c r="L13" i="16"/>
  <c r="R7" i="5"/>
  <c r="E14" i="16"/>
  <c r="E15" i="16"/>
  <c r="E16" i="16"/>
  <c r="E17" i="16"/>
  <c r="E18" i="16"/>
  <c r="E19" i="16"/>
  <c r="E20" i="16"/>
  <c r="E21" i="16"/>
  <c r="E22" i="16"/>
  <c r="E23" i="16"/>
  <c r="E24" i="16"/>
  <c r="E25" i="16"/>
  <c r="E26" i="16"/>
  <c r="E27" i="16"/>
  <c r="E28" i="16"/>
  <c r="E29" i="16"/>
  <c r="E30" i="16"/>
  <c r="E31" i="16"/>
  <c r="E32" i="16"/>
  <c r="E33" i="16"/>
  <c r="E34" i="16"/>
  <c r="E35" i="16"/>
  <c r="E36" i="16"/>
  <c r="E37" i="16"/>
  <c r="E13" i="16"/>
  <c r="D14" i="16"/>
  <c r="D15" i="16"/>
  <c r="D16" i="16"/>
  <c r="D17" i="16"/>
  <c r="D18" i="16"/>
  <c r="D19" i="16"/>
  <c r="D20" i="16"/>
  <c r="D21" i="16"/>
  <c r="D22" i="16"/>
  <c r="D23" i="16"/>
  <c r="D24" i="16"/>
  <c r="D25" i="16"/>
  <c r="D26" i="16"/>
  <c r="D27" i="16"/>
  <c r="D28" i="16"/>
  <c r="D29" i="16"/>
  <c r="D30" i="16"/>
  <c r="D31" i="16"/>
  <c r="D32" i="16"/>
  <c r="D33" i="16"/>
  <c r="D34" i="16"/>
  <c r="D35" i="16"/>
  <c r="D36" i="16"/>
  <c r="D37" i="16"/>
  <c r="D13" i="16"/>
  <c r="H14" i="16"/>
  <c r="H15" i="16"/>
  <c r="H16" i="16"/>
  <c r="H17" i="16"/>
  <c r="H18" i="16"/>
  <c r="H19" i="16"/>
  <c r="H20" i="16"/>
  <c r="H21" i="16"/>
  <c r="H22" i="16"/>
  <c r="H23" i="16"/>
  <c r="H24" i="16"/>
  <c r="H25" i="16"/>
  <c r="H26" i="16"/>
  <c r="H27" i="16"/>
  <c r="H28" i="16"/>
  <c r="H29" i="16"/>
  <c r="H30" i="16"/>
  <c r="H31" i="16"/>
  <c r="H32" i="16"/>
  <c r="H33" i="16"/>
  <c r="H34" i="16"/>
  <c r="H35" i="16"/>
  <c r="H36" i="16"/>
  <c r="H37" i="16"/>
  <c r="H13" i="16"/>
  <c r="G13" i="16"/>
  <c r="G14" i="16"/>
  <c r="G15" i="16"/>
  <c r="G16" i="16"/>
  <c r="G18" i="16"/>
  <c r="G19" i="16"/>
  <c r="G20" i="16"/>
  <c r="G21" i="16"/>
  <c r="G22" i="16"/>
  <c r="G23" i="16"/>
  <c r="G24" i="16"/>
  <c r="G25" i="16"/>
  <c r="G26" i="16"/>
  <c r="G27" i="16"/>
  <c r="G28" i="16"/>
  <c r="G29" i="16"/>
  <c r="G30" i="16"/>
  <c r="G31" i="16"/>
  <c r="G32" i="16"/>
  <c r="G33" i="16"/>
  <c r="G34" i="16"/>
  <c r="G35" i="16"/>
  <c r="G36" i="16"/>
  <c r="G37" i="16"/>
  <c r="G17" i="16"/>
  <c r="C14" i="16"/>
  <c r="F14" i="16"/>
  <c r="C15" i="16"/>
  <c r="F15" i="16"/>
  <c r="C16" i="16"/>
  <c r="F16" i="16"/>
  <c r="C17" i="16"/>
  <c r="F17" i="16"/>
  <c r="C18" i="16"/>
  <c r="F18" i="16"/>
  <c r="C19" i="16"/>
  <c r="F19" i="16"/>
  <c r="C20" i="16"/>
  <c r="F20" i="16"/>
  <c r="C21" i="16"/>
  <c r="F21" i="16"/>
  <c r="C22" i="16"/>
  <c r="F22" i="16"/>
  <c r="C23" i="16"/>
  <c r="F23" i="16"/>
  <c r="C24" i="16"/>
  <c r="F24" i="16"/>
  <c r="C25" i="16"/>
  <c r="F25" i="16"/>
  <c r="C26" i="16"/>
  <c r="F26" i="16"/>
  <c r="C27" i="16"/>
  <c r="F27" i="16"/>
  <c r="C28" i="16"/>
  <c r="F28" i="16"/>
  <c r="C29" i="16"/>
  <c r="F29" i="16"/>
  <c r="C30" i="16"/>
  <c r="F30" i="16"/>
  <c r="C31" i="16"/>
  <c r="F31" i="16"/>
  <c r="C32" i="16"/>
  <c r="F32" i="16"/>
  <c r="C33" i="16"/>
  <c r="F33" i="16"/>
  <c r="C34" i="16"/>
  <c r="F34" i="16"/>
  <c r="C35" i="16"/>
  <c r="F35" i="16"/>
  <c r="C36" i="16"/>
  <c r="F36" i="16"/>
  <c r="C37" i="16"/>
  <c r="F37" i="16"/>
  <c r="F13" i="16"/>
  <c r="C13" i="16"/>
  <c r="D10" i="7"/>
  <c r="K5" i="16" s="1"/>
  <c r="G5" i="16"/>
  <c r="F5" i="16"/>
  <c r="E5" i="16"/>
  <c r="D5" i="16"/>
  <c r="C5" i="16"/>
  <c r="Z37" i="16" l="1"/>
  <c r="Z29" i="16"/>
  <c r="Z24" i="16"/>
  <c r="AP5" i="16" s="1"/>
  <c r="Z21" i="16"/>
  <c r="Z16" i="16"/>
  <c r="Z36" i="16"/>
  <c r="Z34" i="16"/>
  <c r="Z32" i="16"/>
  <c r="Z30" i="16"/>
  <c r="Z28" i="16"/>
  <c r="Z26" i="16"/>
  <c r="AX5" i="16" s="1"/>
  <c r="Z22" i="16"/>
  <c r="Z20" i="16"/>
  <c r="Z18" i="16"/>
  <c r="Z15" i="16"/>
  <c r="Z25" i="16"/>
  <c r="AU5" i="16" s="1"/>
  <c r="Z17" i="16"/>
  <c r="Z14" i="16"/>
  <c r="Z35" i="16"/>
  <c r="Z33" i="16"/>
  <c r="Z31" i="16"/>
  <c r="Z27" i="16"/>
  <c r="Z23" i="16"/>
  <c r="Z19" i="16"/>
  <c r="Z13" i="16"/>
  <c r="K37" i="16"/>
  <c r="K35" i="16"/>
  <c r="K33" i="16"/>
  <c r="K29" i="16"/>
  <c r="K27" i="16"/>
  <c r="K25" i="16"/>
  <c r="K21" i="16"/>
  <c r="M5" i="16" s="1"/>
  <c r="K19" i="16"/>
  <c r="K17" i="16"/>
  <c r="K13" i="16"/>
  <c r="K32" i="16"/>
  <c r="K24" i="16"/>
  <c r="K16" i="16"/>
  <c r="K36" i="16"/>
  <c r="K34" i="16"/>
  <c r="K31" i="16"/>
  <c r="K30" i="16"/>
  <c r="K28" i="16"/>
  <c r="K26" i="16"/>
  <c r="K23" i="16"/>
  <c r="K22" i="16"/>
  <c r="K20" i="16"/>
  <c r="L5" i="16" s="1"/>
  <c r="K18" i="16"/>
  <c r="K15" i="16"/>
  <c r="K14" i="16"/>
  <c r="AO5" i="16" l="1"/>
  <c r="AN5" i="16"/>
  <c r="AM5" i="16"/>
  <c r="AW5" i="16"/>
  <c r="AL5" i="16"/>
  <c r="AK5" i="16"/>
  <c r="BA5" i="16"/>
  <c r="AZ5" i="16"/>
  <c r="AS5" i="16"/>
  <c r="AR5" i="16"/>
  <c r="AY5" i="16"/>
  <c r="AT5" i="16"/>
  <c r="AQ5" i="16"/>
  <c r="BB5" i="16"/>
  <c r="AV5" i="16"/>
  <c r="X5" i="16"/>
  <c r="W5" i="16"/>
  <c r="S5" i="16"/>
  <c r="V5" i="16"/>
  <c r="U5" i="16"/>
  <c r="T5" i="16"/>
  <c r="Z5" i="16"/>
  <c r="Y5" i="16"/>
  <c r="AA5" i="16"/>
  <c r="AD5" i="16"/>
  <c r="AC5" i="16"/>
  <c r="AB5" i="16"/>
  <c r="AI5" i="16"/>
  <c r="AH5" i="16"/>
  <c r="AJ5" i="16"/>
  <c r="AG5" i="16"/>
  <c r="AF5" i="16"/>
  <c r="AE5" i="16"/>
  <c r="R5" i="5" l="1"/>
  <c r="S5" i="5"/>
  <c r="T5" i="5"/>
  <c r="U5" i="5"/>
  <c r="R6" i="5"/>
  <c r="S6" i="5"/>
  <c r="T6" i="5"/>
  <c r="U6" i="5"/>
  <c r="S7" i="5"/>
  <c r="T7" i="5"/>
  <c r="U7" i="5"/>
  <c r="R8" i="5"/>
  <c r="S8" i="5"/>
  <c r="T8" i="5"/>
  <c r="U8" i="5"/>
  <c r="R9" i="5"/>
  <c r="S9" i="5"/>
  <c r="T9" i="5"/>
  <c r="U9" i="5"/>
  <c r="R10" i="5"/>
  <c r="S10" i="5"/>
  <c r="T10" i="5"/>
  <c r="U10" i="5"/>
  <c r="R11" i="5"/>
  <c r="S11" i="5"/>
  <c r="T11" i="5"/>
  <c r="U11" i="5"/>
  <c r="R12" i="5"/>
  <c r="S12" i="5"/>
  <c r="T12" i="5"/>
  <c r="U12" i="5"/>
  <c r="R13" i="5"/>
  <c r="S13" i="5"/>
  <c r="T13" i="5"/>
  <c r="U13" i="5"/>
  <c r="R14" i="5"/>
  <c r="S14" i="5"/>
  <c r="T14" i="5"/>
  <c r="U14" i="5"/>
  <c r="R15" i="5"/>
  <c r="S15" i="5"/>
  <c r="T15" i="5"/>
  <c r="U15" i="5"/>
  <c r="R16" i="5"/>
  <c r="S16" i="5"/>
  <c r="T16" i="5"/>
  <c r="U16" i="5"/>
  <c r="R17" i="5"/>
  <c r="S17" i="5"/>
  <c r="T17" i="5"/>
  <c r="U17" i="5"/>
  <c r="R18" i="5"/>
  <c r="S18" i="5"/>
  <c r="T18" i="5"/>
  <c r="U18" i="5"/>
  <c r="R19" i="5"/>
  <c r="S19" i="5"/>
  <c r="T19" i="5"/>
  <c r="U19" i="5"/>
  <c r="R20" i="5"/>
  <c r="S20" i="5"/>
  <c r="T20" i="5"/>
  <c r="U20" i="5"/>
  <c r="R21" i="5"/>
  <c r="S21" i="5"/>
  <c r="T21" i="5"/>
  <c r="U21" i="5"/>
  <c r="R22" i="5"/>
  <c r="S22" i="5"/>
  <c r="T22" i="5"/>
  <c r="U22" i="5"/>
  <c r="R23" i="5"/>
  <c r="S23" i="5"/>
  <c r="T23" i="5"/>
  <c r="U23" i="5"/>
  <c r="R24" i="5"/>
  <c r="S24" i="5"/>
  <c r="T24" i="5"/>
  <c r="U24" i="5"/>
  <c r="R25" i="5"/>
  <c r="S25" i="5"/>
  <c r="T25" i="5"/>
  <c r="U25" i="5"/>
  <c r="R26" i="5"/>
  <c r="S26" i="5"/>
  <c r="T26" i="5"/>
  <c r="U26" i="5"/>
  <c r="R27" i="5"/>
  <c r="S27" i="5"/>
  <c r="T27" i="5"/>
  <c r="U27" i="5"/>
  <c r="R28" i="5"/>
  <c r="S28" i="5"/>
  <c r="T28" i="5"/>
  <c r="U28" i="5"/>
  <c r="R29" i="5"/>
  <c r="S29" i="5"/>
  <c r="T29" i="5"/>
  <c r="U29" i="5"/>
  <c r="R30" i="5"/>
  <c r="S30" i="5"/>
  <c r="T30" i="5"/>
  <c r="U30" i="5"/>
  <c r="R31" i="5"/>
  <c r="S31" i="5"/>
  <c r="T31" i="5"/>
  <c r="U31" i="5"/>
  <c r="R32" i="5"/>
  <c r="S32" i="5"/>
  <c r="T32" i="5"/>
  <c r="U32" i="5"/>
  <c r="R33" i="5"/>
  <c r="S33" i="5"/>
  <c r="T33" i="5"/>
  <c r="U33" i="5"/>
  <c r="R34" i="5"/>
  <c r="S34" i="5"/>
  <c r="T34" i="5"/>
  <c r="U34" i="5"/>
  <c r="R35" i="5"/>
  <c r="S35" i="5"/>
  <c r="T35" i="5"/>
  <c r="U35" i="5"/>
  <c r="R36" i="5"/>
  <c r="S36" i="5"/>
  <c r="T36" i="5"/>
  <c r="U36" i="5"/>
  <c r="R37" i="5"/>
  <c r="S37" i="5"/>
  <c r="T37" i="5"/>
  <c r="U37" i="5"/>
  <c r="R38" i="5"/>
  <c r="S38" i="5"/>
  <c r="T38" i="5"/>
  <c r="U38" i="5"/>
  <c r="R39" i="5"/>
  <c r="S39" i="5"/>
  <c r="T39" i="5"/>
  <c r="U39" i="5"/>
  <c r="R40" i="5"/>
  <c r="S40" i="5"/>
  <c r="T40" i="5"/>
  <c r="U40" i="5"/>
  <c r="R41" i="5"/>
  <c r="S41" i="5"/>
  <c r="T41" i="5"/>
  <c r="U41" i="5"/>
  <c r="R42" i="5"/>
  <c r="S42" i="5"/>
  <c r="T42" i="5"/>
  <c r="U42" i="5"/>
  <c r="R43" i="5"/>
  <c r="S43" i="5"/>
  <c r="T43" i="5"/>
  <c r="U43" i="5"/>
  <c r="R44" i="5"/>
  <c r="S44" i="5"/>
  <c r="T44" i="5"/>
  <c r="U44" i="5"/>
  <c r="R45" i="5"/>
  <c r="S45" i="5"/>
  <c r="T45" i="5"/>
  <c r="U45" i="5"/>
  <c r="R46" i="5"/>
  <c r="S46" i="5"/>
  <c r="T46" i="5"/>
  <c r="U46" i="5"/>
  <c r="R47" i="5"/>
  <c r="S47" i="5"/>
  <c r="T47" i="5"/>
  <c r="U47" i="5"/>
  <c r="R48" i="5"/>
  <c r="S48" i="5"/>
  <c r="T48" i="5"/>
  <c r="U48" i="5"/>
  <c r="R49" i="5"/>
  <c r="S49" i="5"/>
  <c r="T49" i="5"/>
  <c r="U49" i="5"/>
  <c r="R50" i="5"/>
  <c r="S50" i="5"/>
  <c r="T50" i="5"/>
  <c r="U50" i="5"/>
  <c r="R51" i="5"/>
  <c r="S51" i="5"/>
  <c r="T51" i="5"/>
  <c r="U51" i="5"/>
  <c r="R52" i="5"/>
  <c r="S52" i="5"/>
  <c r="T52" i="5"/>
  <c r="U52" i="5"/>
  <c r="R53" i="5"/>
  <c r="S53" i="5"/>
  <c r="T53" i="5"/>
  <c r="U53" i="5"/>
  <c r="R54" i="5"/>
  <c r="S54" i="5"/>
  <c r="T54" i="5"/>
  <c r="U54" i="5"/>
  <c r="R55" i="5"/>
  <c r="S55" i="5"/>
  <c r="T55" i="5"/>
  <c r="U55" i="5"/>
  <c r="R56" i="5"/>
  <c r="S56" i="5"/>
  <c r="T56" i="5"/>
  <c r="U56" i="5"/>
  <c r="R57" i="5"/>
  <c r="S57" i="5"/>
  <c r="T57" i="5"/>
  <c r="U57" i="5"/>
  <c r="R58" i="5"/>
  <c r="S58" i="5"/>
  <c r="T58" i="5"/>
  <c r="U58" i="5"/>
  <c r="R59" i="5"/>
  <c r="S59" i="5"/>
  <c r="T59" i="5"/>
  <c r="U59" i="5"/>
  <c r="R60" i="5"/>
  <c r="S60" i="5"/>
  <c r="T60" i="5"/>
  <c r="U60" i="5"/>
  <c r="R61" i="5"/>
  <c r="S61" i="5"/>
  <c r="T61" i="5"/>
  <c r="U61" i="5"/>
  <c r="R62" i="5"/>
  <c r="S62" i="5"/>
  <c r="T62" i="5"/>
  <c r="U62" i="5"/>
  <c r="R63" i="5"/>
  <c r="S63" i="5"/>
  <c r="T63" i="5"/>
  <c r="U63" i="5"/>
  <c r="R64" i="5"/>
  <c r="S64" i="5"/>
  <c r="T64" i="5"/>
  <c r="U64" i="5"/>
  <c r="R65" i="5"/>
  <c r="S65" i="5"/>
  <c r="T65" i="5"/>
  <c r="U65" i="5"/>
  <c r="R66" i="5"/>
  <c r="S66" i="5"/>
  <c r="T66" i="5"/>
  <c r="U66" i="5"/>
  <c r="R67" i="5"/>
  <c r="S67" i="5"/>
  <c r="T67" i="5"/>
  <c r="U67" i="5"/>
  <c r="R68" i="5"/>
  <c r="S68" i="5"/>
  <c r="T68" i="5"/>
  <c r="U68" i="5"/>
  <c r="R69" i="5"/>
  <c r="S69" i="5"/>
  <c r="T69" i="5"/>
  <c r="U69" i="5"/>
  <c r="R70" i="5"/>
  <c r="S70" i="5"/>
  <c r="T70" i="5"/>
  <c r="U70" i="5"/>
  <c r="R71" i="5"/>
  <c r="S71" i="5"/>
  <c r="T71" i="5"/>
  <c r="U71" i="5"/>
  <c r="R72" i="5"/>
  <c r="S72" i="5"/>
  <c r="T72" i="5"/>
  <c r="U72" i="5"/>
  <c r="R73" i="5"/>
  <c r="S73" i="5"/>
  <c r="T73" i="5"/>
  <c r="U73" i="5"/>
  <c r="R74" i="5"/>
  <c r="S74" i="5"/>
  <c r="T74" i="5"/>
  <c r="U74" i="5"/>
  <c r="R75" i="5"/>
  <c r="S75" i="5"/>
  <c r="T75" i="5"/>
  <c r="U75" i="5"/>
  <c r="R76" i="5"/>
  <c r="S76" i="5"/>
  <c r="T76" i="5"/>
  <c r="U76" i="5"/>
  <c r="R77" i="5"/>
  <c r="S77" i="5"/>
  <c r="T77" i="5"/>
  <c r="U77" i="5"/>
  <c r="R78" i="5"/>
  <c r="S78" i="5"/>
  <c r="T78" i="5"/>
  <c r="U78" i="5"/>
  <c r="R79" i="5"/>
  <c r="S79" i="5"/>
  <c r="T79" i="5"/>
  <c r="U79" i="5"/>
  <c r="R80" i="5"/>
  <c r="S80" i="5"/>
  <c r="T80" i="5"/>
  <c r="U80" i="5"/>
  <c r="R81" i="5"/>
  <c r="S81" i="5"/>
  <c r="T81" i="5"/>
  <c r="U81" i="5"/>
  <c r="R82" i="5"/>
  <c r="S82" i="5"/>
  <c r="T82" i="5"/>
  <c r="U82" i="5"/>
  <c r="R83" i="5"/>
  <c r="S83" i="5"/>
  <c r="T83" i="5"/>
  <c r="U83" i="5"/>
  <c r="R84" i="5"/>
  <c r="S84" i="5"/>
  <c r="T84" i="5"/>
  <c r="U84" i="5"/>
  <c r="R85" i="5"/>
  <c r="S85" i="5"/>
  <c r="T85" i="5"/>
  <c r="U85" i="5"/>
  <c r="R86" i="5"/>
  <c r="S86" i="5"/>
  <c r="T86" i="5"/>
  <c r="U86" i="5"/>
  <c r="R87" i="5"/>
  <c r="S87" i="5"/>
  <c r="T87" i="5"/>
  <c r="U87" i="5"/>
  <c r="R88" i="5"/>
  <c r="S88" i="5"/>
  <c r="T88" i="5"/>
  <c r="U88" i="5"/>
  <c r="R89" i="5"/>
  <c r="S89" i="5"/>
  <c r="T89" i="5"/>
  <c r="U89" i="5"/>
  <c r="R90" i="5"/>
  <c r="S90" i="5"/>
  <c r="T90" i="5"/>
  <c r="U90" i="5"/>
  <c r="R91" i="5"/>
  <c r="S91" i="5"/>
  <c r="T91" i="5"/>
  <c r="U91" i="5"/>
  <c r="R92" i="5"/>
  <c r="S92" i="5"/>
  <c r="T92" i="5"/>
  <c r="U92" i="5"/>
  <c r="R93" i="5"/>
  <c r="S93" i="5"/>
  <c r="T93" i="5"/>
  <c r="U93" i="5"/>
  <c r="R94" i="5"/>
  <c r="S94" i="5"/>
  <c r="T94" i="5"/>
  <c r="U94" i="5"/>
  <c r="R95" i="5"/>
  <c r="S95" i="5"/>
  <c r="T95" i="5"/>
  <c r="U95" i="5"/>
  <c r="R96" i="5"/>
  <c r="S96" i="5"/>
  <c r="T96" i="5"/>
  <c r="U96" i="5"/>
  <c r="R97" i="5"/>
  <c r="S97" i="5"/>
  <c r="T97" i="5"/>
  <c r="U97" i="5"/>
  <c r="R98" i="5"/>
  <c r="S98" i="5"/>
  <c r="T98" i="5"/>
  <c r="U98" i="5"/>
  <c r="R99" i="5"/>
  <c r="S99" i="5"/>
  <c r="T99" i="5"/>
  <c r="U99" i="5"/>
  <c r="R100" i="5"/>
  <c r="S100" i="5"/>
  <c r="T100" i="5"/>
  <c r="U100" i="5"/>
  <c r="R101" i="5"/>
  <c r="S101" i="5"/>
  <c r="T101" i="5"/>
  <c r="U101" i="5"/>
  <c r="R102" i="5"/>
  <c r="S102" i="5"/>
  <c r="T102" i="5"/>
  <c r="U102" i="5"/>
  <c r="R103" i="5"/>
  <c r="S103" i="5"/>
  <c r="T103" i="5"/>
  <c r="U103" i="5"/>
  <c r="R104" i="5"/>
  <c r="S104" i="5"/>
  <c r="T104" i="5"/>
  <c r="U104" i="5"/>
  <c r="R105" i="5"/>
  <c r="S105" i="5"/>
  <c r="T105" i="5"/>
  <c r="U105" i="5"/>
  <c r="R106" i="5"/>
  <c r="S106" i="5"/>
  <c r="T106" i="5"/>
  <c r="U106" i="5"/>
  <c r="R107" i="5"/>
  <c r="S107" i="5"/>
  <c r="T107" i="5"/>
  <c r="U107" i="5"/>
  <c r="R108" i="5"/>
  <c r="S108" i="5"/>
  <c r="T108" i="5"/>
  <c r="U108" i="5"/>
  <c r="R109" i="5"/>
  <c r="S109" i="5"/>
  <c r="T109" i="5"/>
  <c r="U109" i="5"/>
  <c r="R110" i="5"/>
  <c r="S110" i="5"/>
  <c r="T110" i="5"/>
  <c r="U110" i="5"/>
  <c r="R111" i="5"/>
  <c r="S111" i="5"/>
  <c r="T111" i="5"/>
  <c r="U111" i="5"/>
  <c r="R112" i="5"/>
  <c r="S112" i="5"/>
  <c r="T112" i="5"/>
  <c r="U112" i="5"/>
  <c r="R113" i="5"/>
  <c r="S113" i="5"/>
  <c r="T113" i="5"/>
  <c r="U113" i="5"/>
  <c r="R114" i="5"/>
  <c r="S114" i="5"/>
  <c r="T114" i="5"/>
  <c r="U114" i="5"/>
  <c r="R115" i="5"/>
  <c r="S115" i="5"/>
  <c r="T115" i="5"/>
  <c r="U115" i="5"/>
  <c r="R116" i="5"/>
  <c r="S116" i="5"/>
  <c r="T116" i="5"/>
  <c r="U116" i="5"/>
  <c r="R117" i="5"/>
  <c r="S117" i="5"/>
  <c r="T117" i="5"/>
  <c r="U117" i="5"/>
  <c r="R118" i="5"/>
  <c r="S118" i="5"/>
  <c r="T118" i="5"/>
  <c r="U118" i="5"/>
  <c r="R119" i="5"/>
  <c r="S119" i="5"/>
  <c r="T119" i="5"/>
  <c r="U119" i="5"/>
  <c r="R120" i="5"/>
  <c r="S120" i="5"/>
  <c r="T120" i="5"/>
  <c r="U120" i="5"/>
  <c r="R121" i="5"/>
  <c r="S121" i="5"/>
  <c r="T121" i="5"/>
  <c r="U121" i="5"/>
  <c r="R122" i="5"/>
  <c r="S122" i="5"/>
  <c r="T122" i="5"/>
  <c r="U122" i="5"/>
  <c r="R123" i="5"/>
  <c r="S123" i="5"/>
  <c r="T123" i="5"/>
  <c r="U123" i="5"/>
  <c r="R124" i="5"/>
  <c r="S124" i="5"/>
  <c r="T124" i="5"/>
  <c r="U124" i="5"/>
  <c r="R125" i="5"/>
  <c r="S125" i="5"/>
  <c r="T125" i="5"/>
  <c r="U125" i="5"/>
  <c r="R126" i="5"/>
  <c r="S126" i="5"/>
  <c r="T126" i="5"/>
  <c r="U126" i="5"/>
  <c r="R127" i="5"/>
  <c r="S127" i="5"/>
  <c r="T127" i="5"/>
  <c r="U127" i="5"/>
  <c r="R128" i="5"/>
  <c r="S128" i="5"/>
  <c r="T128" i="5"/>
  <c r="U128" i="5"/>
  <c r="R129" i="5"/>
  <c r="S129" i="5"/>
  <c r="T129" i="5"/>
  <c r="U129" i="5"/>
  <c r="R130" i="5"/>
  <c r="S130" i="5"/>
  <c r="T130" i="5"/>
  <c r="U130" i="5"/>
  <c r="R131" i="5"/>
  <c r="S131" i="5"/>
  <c r="T131" i="5"/>
  <c r="U131" i="5"/>
  <c r="R132" i="5"/>
  <c r="S132" i="5"/>
  <c r="T132" i="5"/>
  <c r="U132" i="5"/>
  <c r="R133" i="5"/>
  <c r="S133" i="5"/>
  <c r="T133" i="5"/>
  <c r="U133" i="5"/>
  <c r="R134" i="5"/>
  <c r="S134" i="5"/>
  <c r="T134" i="5"/>
  <c r="U134" i="5"/>
  <c r="R135" i="5"/>
  <c r="S135" i="5"/>
  <c r="T135" i="5"/>
  <c r="U135" i="5"/>
  <c r="R136" i="5"/>
  <c r="S136" i="5"/>
  <c r="T136" i="5"/>
  <c r="U136" i="5"/>
  <c r="R137" i="5"/>
  <c r="S137" i="5"/>
  <c r="T137" i="5"/>
  <c r="U137" i="5"/>
  <c r="R138" i="5"/>
  <c r="S138" i="5"/>
  <c r="T138" i="5"/>
  <c r="U138" i="5"/>
  <c r="R139" i="5"/>
  <c r="S139" i="5"/>
  <c r="T139" i="5"/>
  <c r="U139" i="5"/>
  <c r="R140" i="5"/>
  <c r="S140" i="5"/>
  <c r="T140" i="5"/>
  <c r="U140" i="5"/>
  <c r="R141" i="5"/>
  <c r="S141" i="5"/>
  <c r="T141" i="5"/>
  <c r="U141" i="5"/>
  <c r="R142" i="5"/>
  <c r="S142" i="5"/>
  <c r="T142" i="5"/>
  <c r="U142" i="5"/>
  <c r="R143" i="5"/>
  <c r="S143" i="5"/>
  <c r="T143" i="5"/>
  <c r="U143" i="5"/>
  <c r="R144" i="5"/>
  <c r="S144" i="5"/>
  <c r="T144" i="5"/>
  <c r="U144" i="5"/>
  <c r="R145" i="5"/>
  <c r="S145" i="5"/>
  <c r="T145" i="5"/>
  <c r="U145" i="5"/>
  <c r="R146" i="5"/>
  <c r="S146" i="5"/>
  <c r="T146" i="5"/>
  <c r="U146" i="5"/>
  <c r="R147" i="5"/>
  <c r="S147" i="5"/>
  <c r="T147" i="5"/>
  <c r="U147" i="5"/>
  <c r="R148" i="5"/>
  <c r="S148" i="5"/>
  <c r="T148" i="5"/>
  <c r="U148" i="5"/>
  <c r="R149" i="5"/>
  <c r="S149" i="5"/>
  <c r="T149" i="5"/>
  <c r="U149" i="5"/>
  <c r="R150" i="5"/>
  <c r="S150" i="5"/>
  <c r="T150" i="5"/>
  <c r="U150" i="5"/>
  <c r="R151" i="5"/>
  <c r="S151" i="5"/>
  <c r="T151" i="5"/>
  <c r="U151" i="5"/>
  <c r="R152" i="5"/>
  <c r="S152" i="5"/>
  <c r="T152" i="5"/>
  <c r="U152" i="5"/>
  <c r="R153" i="5"/>
  <c r="S153" i="5"/>
  <c r="T153" i="5"/>
  <c r="U153" i="5"/>
  <c r="R154" i="5"/>
  <c r="S154" i="5"/>
  <c r="T154" i="5"/>
  <c r="U154" i="5"/>
  <c r="R155" i="5"/>
  <c r="S155" i="5"/>
  <c r="T155" i="5"/>
  <c r="U155" i="5"/>
  <c r="R156" i="5"/>
  <c r="S156" i="5"/>
  <c r="T156" i="5"/>
  <c r="U156" i="5"/>
  <c r="R157" i="5"/>
  <c r="S157" i="5"/>
  <c r="T157" i="5"/>
  <c r="U157" i="5"/>
  <c r="R158" i="5"/>
  <c r="S158" i="5"/>
  <c r="T158" i="5"/>
  <c r="U158" i="5"/>
  <c r="R159" i="5"/>
  <c r="S159" i="5"/>
  <c r="T159" i="5"/>
  <c r="U159" i="5"/>
  <c r="R160" i="5"/>
  <c r="S160" i="5"/>
  <c r="T160" i="5"/>
  <c r="U160" i="5"/>
  <c r="R161" i="5"/>
  <c r="S161" i="5"/>
  <c r="T161" i="5"/>
  <c r="U161" i="5"/>
  <c r="R162" i="5"/>
  <c r="S162" i="5"/>
  <c r="T162" i="5"/>
  <c r="U162" i="5"/>
  <c r="R163" i="5"/>
  <c r="S163" i="5"/>
  <c r="T163" i="5"/>
  <c r="U163" i="5"/>
  <c r="R164" i="5"/>
  <c r="S164" i="5"/>
  <c r="T164" i="5"/>
  <c r="U164" i="5"/>
  <c r="R165" i="5"/>
  <c r="S165" i="5"/>
  <c r="T165" i="5"/>
  <c r="U165" i="5"/>
  <c r="R166" i="5"/>
  <c r="S166" i="5"/>
  <c r="T166" i="5"/>
  <c r="U166" i="5"/>
  <c r="R167" i="5"/>
  <c r="S167" i="5"/>
  <c r="T167" i="5"/>
  <c r="U167" i="5"/>
  <c r="R168" i="5"/>
  <c r="S168" i="5"/>
  <c r="T168" i="5"/>
  <c r="U168" i="5"/>
  <c r="R169" i="5"/>
  <c r="S169" i="5"/>
  <c r="T169" i="5"/>
  <c r="U169" i="5"/>
  <c r="R170" i="5"/>
  <c r="S170" i="5"/>
  <c r="T170" i="5"/>
  <c r="U170" i="5"/>
  <c r="R171" i="5"/>
  <c r="S171" i="5"/>
  <c r="T171" i="5"/>
  <c r="U171" i="5"/>
  <c r="R172" i="5"/>
  <c r="S172" i="5"/>
  <c r="T172" i="5"/>
  <c r="U172" i="5"/>
  <c r="R173" i="5"/>
  <c r="S173" i="5"/>
  <c r="T173" i="5"/>
  <c r="U173" i="5"/>
  <c r="R174" i="5"/>
  <c r="S174" i="5"/>
  <c r="T174" i="5"/>
  <c r="U174" i="5"/>
  <c r="R175" i="5"/>
  <c r="S175" i="5"/>
  <c r="T175" i="5"/>
  <c r="U175" i="5"/>
  <c r="R176" i="5"/>
  <c r="S176" i="5"/>
  <c r="T176" i="5"/>
  <c r="U176" i="5"/>
  <c r="R177" i="5"/>
  <c r="S177" i="5"/>
  <c r="T177" i="5"/>
  <c r="U177" i="5"/>
  <c r="R178" i="5"/>
  <c r="S178" i="5"/>
  <c r="T178" i="5"/>
  <c r="U178" i="5"/>
  <c r="R179" i="5"/>
  <c r="S179" i="5"/>
  <c r="T179" i="5"/>
  <c r="U179" i="5"/>
  <c r="R180" i="5"/>
  <c r="S180" i="5"/>
  <c r="T180" i="5"/>
  <c r="U180" i="5"/>
  <c r="R181" i="5"/>
  <c r="S181" i="5"/>
  <c r="T181" i="5"/>
  <c r="U181" i="5"/>
  <c r="R182" i="5"/>
  <c r="S182" i="5"/>
  <c r="T182" i="5"/>
  <c r="U182" i="5"/>
  <c r="R183" i="5"/>
  <c r="S183" i="5"/>
  <c r="T183" i="5"/>
  <c r="U183" i="5"/>
  <c r="R184" i="5"/>
  <c r="S184" i="5"/>
  <c r="T184" i="5"/>
  <c r="U184" i="5"/>
  <c r="R185" i="5"/>
  <c r="S185" i="5"/>
  <c r="T185" i="5"/>
  <c r="U185" i="5"/>
  <c r="R186" i="5"/>
  <c r="S186" i="5"/>
  <c r="T186" i="5"/>
  <c r="U186" i="5"/>
  <c r="R187" i="5"/>
  <c r="S187" i="5"/>
  <c r="T187" i="5"/>
  <c r="U187" i="5"/>
  <c r="R188" i="5"/>
  <c r="S188" i="5"/>
  <c r="T188" i="5"/>
  <c r="U188" i="5"/>
  <c r="R189" i="5"/>
  <c r="S189" i="5"/>
  <c r="T189" i="5"/>
  <c r="U189" i="5"/>
  <c r="R190" i="5"/>
  <c r="S190" i="5"/>
  <c r="T190" i="5"/>
  <c r="U190" i="5"/>
  <c r="R191" i="5"/>
  <c r="S191" i="5"/>
  <c r="T191" i="5"/>
  <c r="U191" i="5"/>
  <c r="R192" i="5"/>
  <c r="S192" i="5"/>
  <c r="T192" i="5"/>
  <c r="U192" i="5"/>
  <c r="R193" i="5"/>
  <c r="S193" i="5"/>
  <c r="T193" i="5"/>
  <c r="U193" i="5"/>
  <c r="R194" i="5"/>
  <c r="S194" i="5"/>
  <c r="T194" i="5"/>
  <c r="U194" i="5"/>
  <c r="R195" i="5"/>
  <c r="S195" i="5"/>
  <c r="T195" i="5"/>
  <c r="U195" i="5"/>
  <c r="R196" i="5"/>
  <c r="S196" i="5"/>
  <c r="T196" i="5"/>
  <c r="U196" i="5"/>
  <c r="R197" i="5"/>
  <c r="S197" i="5"/>
  <c r="T197" i="5"/>
  <c r="U197" i="5"/>
  <c r="R198" i="5"/>
  <c r="S198" i="5"/>
  <c r="T198" i="5"/>
  <c r="U198" i="5"/>
  <c r="R199" i="5"/>
  <c r="S199" i="5"/>
  <c r="T199" i="5"/>
  <c r="U199" i="5"/>
  <c r="R200" i="5"/>
  <c r="S200" i="5"/>
  <c r="T200" i="5"/>
  <c r="U200" i="5"/>
  <c r="R201" i="5"/>
  <c r="S201" i="5"/>
  <c r="T201" i="5"/>
  <c r="U201" i="5"/>
  <c r="R202" i="5"/>
  <c r="S202" i="5"/>
  <c r="T202" i="5"/>
  <c r="U202" i="5"/>
  <c r="R203" i="5"/>
  <c r="S203" i="5"/>
  <c r="T203" i="5"/>
  <c r="U203" i="5"/>
  <c r="R204" i="5"/>
  <c r="S204" i="5"/>
  <c r="T204" i="5"/>
  <c r="U204" i="5"/>
  <c r="R205" i="5"/>
  <c r="S205" i="5"/>
  <c r="T205" i="5"/>
  <c r="U205" i="5"/>
  <c r="R206" i="5"/>
  <c r="S206" i="5"/>
  <c r="T206" i="5"/>
  <c r="U206" i="5"/>
  <c r="R207" i="5"/>
  <c r="S207" i="5"/>
  <c r="T207" i="5"/>
  <c r="U207" i="5"/>
  <c r="R208" i="5"/>
  <c r="S208" i="5"/>
  <c r="T208" i="5"/>
  <c r="U208" i="5"/>
  <c r="R209" i="5"/>
  <c r="S209" i="5"/>
  <c r="T209" i="5"/>
  <c r="U209" i="5"/>
  <c r="R210" i="5"/>
  <c r="S210" i="5"/>
  <c r="T210" i="5"/>
  <c r="U210" i="5"/>
  <c r="R211" i="5"/>
  <c r="S211" i="5"/>
  <c r="T211" i="5"/>
  <c r="U211" i="5"/>
  <c r="R212" i="5"/>
  <c r="S212" i="5"/>
  <c r="T212" i="5"/>
  <c r="U212" i="5"/>
  <c r="R213" i="5"/>
  <c r="S213" i="5"/>
  <c r="T213" i="5"/>
  <c r="U213" i="5"/>
  <c r="R214" i="5"/>
  <c r="S214" i="5"/>
  <c r="T214" i="5"/>
  <c r="U214" i="5"/>
  <c r="R215" i="5"/>
  <c r="S215" i="5"/>
  <c r="T215" i="5"/>
  <c r="U215" i="5"/>
  <c r="R216" i="5"/>
  <c r="S216" i="5"/>
  <c r="T216" i="5"/>
  <c r="U216" i="5"/>
  <c r="R217" i="5"/>
  <c r="S217" i="5"/>
  <c r="T217" i="5"/>
  <c r="U217" i="5"/>
  <c r="R218" i="5"/>
  <c r="S218" i="5"/>
  <c r="T218" i="5"/>
  <c r="U218" i="5"/>
  <c r="R219" i="5"/>
  <c r="S219" i="5"/>
  <c r="T219" i="5"/>
  <c r="U219" i="5"/>
  <c r="R220" i="5"/>
  <c r="S220" i="5"/>
  <c r="T220" i="5"/>
  <c r="U220" i="5"/>
  <c r="R221" i="5"/>
  <c r="S221" i="5"/>
  <c r="T221" i="5"/>
  <c r="U221" i="5"/>
  <c r="R222" i="5"/>
  <c r="S222" i="5"/>
  <c r="T222" i="5"/>
  <c r="U222" i="5"/>
  <c r="R223" i="5"/>
  <c r="S223" i="5"/>
  <c r="T223" i="5"/>
  <c r="U223" i="5"/>
  <c r="R224" i="5"/>
  <c r="S224" i="5"/>
  <c r="T224" i="5"/>
  <c r="U224" i="5"/>
  <c r="R225" i="5"/>
  <c r="S225" i="5"/>
  <c r="T225" i="5"/>
  <c r="U225" i="5"/>
  <c r="R226" i="5"/>
  <c r="S226" i="5"/>
  <c r="T226" i="5"/>
  <c r="U226" i="5"/>
  <c r="R227" i="5"/>
  <c r="S227" i="5"/>
  <c r="T227" i="5"/>
  <c r="U227" i="5"/>
  <c r="R228" i="5"/>
  <c r="S228" i="5"/>
  <c r="T228" i="5"/>
  <c r="U228" i="5"/>
  <c r="R229" i="5"/>
  <c r="S229" i="5"/>
  <c r="T229" i="5"/>
  <c r="U229" i="5"/>
  <c r="R230" i="5"/>
  <c r="S230" i="5"/>
  <c r="T230" i="5"/>
  <c r="U230" i="5"/>
  <c r="R231" i="5"/>
  <c r="S231" i="5"/>
  <c r="T231" i="5"/>
  <c r="U231" i="5"/>
  <c r="R232" i="5"/>
  <c r="S232" i="5"/>
  <c r="T232" i="5"/>
  <c r="U232" i="5"/>
  <c r="R233" i="5"/>
  <c r="S233" i="5"/>
  <c r="T233" i="5"/>
  <c r="U233" i="5"/>
  <c r="R234" i="5"/>
  <c r="S234" i="5"/>
  <c r="T234" i="5"/>
  <c r="U234" i="5"/>
  <c r="R235" i="5"/>
  <c r="S235" i="5"/>
  <c r="T235" i="5"/>
  <c r="U235" i="5"/>
  <c r="R236" i="5"/>
  <c r="S236" i="5"/>
  <c r="T236" i="5"/>
  <c r="U236" i="5"/>
  <c r="R237" i="5"/>
  <c r="S237" i="5"/>
  <c r="T237" i="5"/>
  <c r="U237" i="5"/>
  <c r="R238" i="5"/>
  <c r="S238" i="5"/>
  <c r="T238" i="5"/>
  <c r="U238" i="5"/>
  <c r="R239" i="5"/>
  <c r="S239" i="5"/>
  <c r="T239" i="5"/>
  <c r="U239" i="5"/>
  <c r="R240" i="5"/>
  <c r="S240" i="5"/>
  <c r="T240" i="5"/>
  <c r="U240" i="5"/>
  <c r="R241" i="5"/>
  <c r="S241" i="5"/>
  <c r="T241" i="5"/>
  <c r="U241" i="5"/>
  <c r="R242" i="5"/>
  <c r="S242" i="5"/>
  <c r="T242" i="5"/>
  <c r="U242" i="5"/>
  <c r="R243" i="5"/>
  <c r="S243" i="5"/>
  <c r="T243" i="5"/>
  <c r="U243" i="5"/>
  <c r="R244" i="5"/>
  <c r="S244" i="5"/>
  <c r="T244" i="5"/>
  <c r="U244" i="5"/>
  <c r="R245" i="5"/>
  <c r="S245" i="5"/>
  <c r="T245" i="5"/>
  <c r="U245" i="5"/>
  <c r="R246" i="5"/>
  <c r="S246" i="5"/>
  <c r="T246" i="5"/>
  <c r="U246" i="5"/>
  <c r="R247" i="5"/>
  <c r="S247" i="5"/>
  <c r="T247" i="5"/>
  <c r="U247" i="5"/>
  <c r="R248" i="5"/>
  <c r="S248" i="5"/>
  <c r="T248" i="5"/>
  <c r="U248" i="5"/>
  <c r="R249" i="5"/>
  <c r="S249" i="5"/>
  <c r="T249" i="5"/>
  <c r="U249" i="5"/>
  <c r="R250" i="5"/>
  <c r="S250" i="5"/>
  <c r="T250" i="5"/>
  <c r="U250" i="5"/>
  <c r="R251" i="5"/>
  <c r="S251" i="5"/>
  <c r="T251" i="5"/>
  <c r="U251" i="5"/>
  <c r="R252" i="5"/>
  <c r="S252" i="5"/>
  <c r="T252" i="5"/>
  <c r="U252" i="5"/>
  <c r="R253" i="5"/>
  <c r="S253" i="5"/>
  <c r="T253" i="5"/>
  <c r="U253" i="5"/>
  <c r="R254" i="5"/>
  <c r="S254" i="5"/>
  <c r="T254" i="5"/>
  <c r="U254" i="5"/>
  <c r="R255" i="5"/>
  <c r="S255" i="5"/>
  <c r="T255" i="5"/>
  <c r="U255" i="5"/>
  <c r="R256" i="5"/>
  <c r="S256" i="5"/>
  <c r="T256" i="5"/>
  <c r="U256" i="5"/>
  <c r="R257" i="5"/>
  <c r="S257" i="5"/>
  <c r="T257" i="5"/>
  <c r="U257" i="5"/>
  <c r="R258" i="5"/>
  <c r="S258" i="5"/>
  <c r="T258" i="5"/>
  <c r="U258" i="5"/>
  <c r="R259" i="5"/>
  <c r="S259" i="5"/>
  <c r="T259" i="5"/>
  <c r="U259" i="5"/>
  <c r="R260" i="5"/>
  <c r="S260" i="5"/>
  <c r="T260" i="5"/>
  <c r="U260" i="5"/>
  <c r="R261" i="5"/>
  <c r="S261" i="5"/>
  <c r="T261" i="5"/>
  <c r="U261" i="5"/>
  <c r="R262" i="5"/>
  <c r="S262" i="5"/>
  <c r="T262" i="5"/>
  <c r="U262" i="5"/>
  <c r="R263" i="5"/>
  <c r="S263" i="5"/>
  <c r="T263" i="5"/>
  <c r="U263" i="5"/>
  <c r="R264" i="5"/>
  <c r="S264" i="5"/>
  <c r="T264" i="5"/>
  <c r="U264" i="5"/>
  <c r="R265" i="5"/>
  <c r="S265" i="5"/>
  <c r="T265" i="5"/>
  <c r="U265" i="5"/>
  <c r="R266" i="5"/>
  <c r="S266" i="5"/>
  <c r="T266" i="5"/>
  <c r="U266" i="5"/>
  <c r="R267" i="5"/>
  <c r="S267" i="5"/>
  <c r="T267" i="5"/>
  <c r="U267" i="5"/>
  <c r="R268" i="5"/>
  <c r="S268" i="5"/>
  <c r="T268" i="5"/>
  <c r="U268" i="5"/>
  <c r="R269" i="5"/>
  <c r="S269" i="5"/>
  <c r="T269" i="5"/>
  <c r="U269" i="5"/>
  <c r="R270" i="5"/>
  <c r="S270" i="5"/>
  <c r="T270" i="5"/>
  <c r="U270" i="5"/>
  <c r="R271" i="5"/>
  <c r="S271" i="5"/>
  <c r="T271" i="5"/>
  <c r="U271" i="5"/>
  <c r="R272" i="5"/>
  <c r="S272" i="5"/>
  <c r="T272" i="5"/>
  <c r="U272" i="5"/>
  <c r="R273" i="5"/>
  <c r="S273" i="5"/>
  <c r="T273" i="5"/>
  <c r="U273" i="5"/>
  <c r="R274" i="5"/>
  <c r="S274" i="5"/>
  <c r="T274" i="5"/>
  <c r="U274" i="5"/>
  <c r="R275" i="5"/>
  <c r="S275" i="5"/>
  <c r="T275" i="5"/>
  <c r="U275" i="5"/>
  <c r="R276" i="5"/>
  <c r="S276" i="5"/>
  <c r="T276" i="5"/>
  <c r="U276" i="5"/>
  <c r="R277" i="5"/>
  <c r="S277" i="5"/>
  <c r="T277" i="5"/>
  <c r="U277" i="5"/>
  <c r="R278" i="5"/>
  <c r="S278" i="5"/>
  <c r="T278" i="5"/>
  <c r="U278" i="5"/>
  <c r="R279" i="5"/>
  <c r="S279" i="5"/>
  <c r="T279" i="5"/>
  <c r="U279" i="5"/>
  <c r="R280" i="5"/>
  <c r="S280" i="5"/>
  <c r="T280" i="5"/>
  <c r="U280" i="5"/>
  <c r="R281" i="5"/>
  <c r="S281" i="5"/>
  <c r="T281" i="5"/>
  <c r="U281" i="5"/>
  <c r="R282" i="5"/>
  <c r="S282" i="5"/>
  <c r="T282" i="5"/>
  <c r="U282" i="5"/>
  <c r="R283" i="5"/>
  <c r="S283" i="5"/>
  <c r="T283" i="5"/>
  <c r="U283" i="5"/>
  <c r="R284" i="5"/>
  <c r="S284" i="5"/>
  <c r="T284" i="5"/>
  <c r="U284" i="5"/>
  <c r="R285" i="5"/>
  <c r="S285" i="5"/>
  <c r="T285" i="5"/>
  <c r="U285" i="5"/>
  <c r="R286" i="5"/>
  <c r="S286" i="5"/>
  <c r="T286" i="5"/>
  <c r="U286" i="5"/>
  <c r="R287" i="5"/>
  <c r="S287" i="5"/>
  <c r="T287" i="5"/>
  <c r="U287" i="5"/>
  <c r="R288" i="5"/>
  <c r="S288" i="5"/>
  <c r="T288" i="5"/>
  <c r="U288" i="5"/>
  <c r="R289" i="5"/>
  <c r="S289" i="5"/>
  <c r="T289" i="5"/>
  <c r="U289" i="5"/>
  <c r="R290" i="5"/>
  <c r="S290" i="5"/>
  <c r="T290" i="5"/>
  <c r="U290" i="5"/>
  <c r="R291" i="5"/>
  <c r="S291" i="5"/>
  <c r="T291" i="5"/>
  <c r="U291" i="5"/>
  <c r="R292" i="5"/>
  <c r="S292" i="5"/>
  <c r="T292" i="5"/>
  <c r="U292" i="5"/>
  <c r="R293" i="5"/>
  <c r="S293" i="5"/>
  <c r="T293" i="5"/>
  <c r="U293" i="5"/>
  <c r="R294" i="5"/>
  <c r="S294" i="5"/>
  <c r="T294" i="5"/>
  <c r="U294" i="5"/>
  <c r="R295" i="5"/>
  <c r="S295" i="5"/>
  <c r="T295" i="5"/>
  <c r="U295" i="5"/>
  <c r="R296" i="5"/>
  <c r="S296" i="5"/>
  <c r="T296" i="5"/>
  <c r="U296" i="5"/>
  <c r="R297" i="5"/>
  <c r="S297" i="5"/>
  <c r="T297" i="5"/>
  <c r="U297" i="5"/>
  <c r="R298" i="5"/>
  <c r="S298" i="5"/>
  <c r="T298" i="5"/>
  <c r="U298" i="5"/>
  <c r="R299" i="5"/>
  <c r="S299" i="5"/>
  <c r="T299" i="5"/>
  <c r="U299" i="5"/>
  <c r="R300" i="5"/>
  <c r="S300" i="5"/>
  <c r="T300" i="5"/>
  <c r="U300" i="5"/>
  <c r="R301" i="5"/>
  <c r="S301" i="5"/>
  <c r="T301" i="5"/>
  <c r="U301" i="5"/>
  <c r="R302" i="5"/>
  <c r="S302" i="5"/>
  <c r="T302" i="5"/>
  <c r="U302" i="5"/>
  <c r="R303" i="5"/>
  <c r="S303" i="5"/>
  <c r="T303" i="5"/>
  <c r="U303" i="5"/>
  <c r="R304" i="5"/>
  <c r="S304" i="5"/>
  <c r="T304" i="5"/>
  <c r="U304" i="5"/>
  <c r="R305" i="5"/>
  <c r="S305" i="5"/>
  <c r="T305" i="5"/>
  <c r="U305" i="5"/>
  <c r="R306" i="5"/>
  <c r="S306" i="5"/>
  <c r="T306" i="5"/>
  <c r="U306" i="5"/>
  <c r="R307" i="5"/>
  <c r="S307" i="5"/>
  <c r="T307" i="5"/>
  <c r="U307" i="5"/>
  <c r="R308" i="5"/>
  <c r="S308" i="5"/>
  <c r="T308" i="5"/>
  <c r="U308" i="5"/>
  <c r="R309" i="5"/>
  <c r="S309" i="5"/>
  <c r="T309" i="5"/>
  <c r="U309" i="5"/>
  <c r="R310" i="5"/>
  <c r="S310" i="5"/>
  <c r="T310" i="5"/>
  <c r="U310" i="5"/>
  <c r="R311" i="5"/>
  <c r="S311" i="5"/>
  <c r="T311" i="5"/>
  <c r="U311" i="5"/>
  <c r="R312" i="5"/>
  <c r="S312" i="5"/>
  <c r="T312" i="5"/>
  <c r="U312" i="5"/>
  <c r="R313" i="5"/>
  <c r="S313" i="5"/>
  <c r="T313" i="5"/>
  <c r="U313" i="5"/>
  <c r="R314" i="5"/>
  <c r="S314" i="5"/>
  <c r="T314" i="5"/>
  <c r="U314" i="5"/>
  <c r="R315" i="5"/>
  <c r="S315" i="5"/>
  <c r="T315" i="5"/>
  <c r="U315" i="5"/>
  <c r="R316" i="5"/>
  <c r="S316" i="5"/>
  <c r="T316" i="5"/>
  <c r="U316" i="5"/>
  <c r="R317" i="5"/>
  <c r="S317" i="5"/>
  <c r="T317" i="5"/>
  <c r="U317" i="5"/>
  <c r="R318" i="5"/>
  <c r="S318" i="5"/>
  <c r="T318" i="5"/>
  <c r="U318" i="5"/>
  <c r="R319" i="5"/>
  <c r="S319" i="5"/>
  <c r="T319" i="5"/>
  <c r="U319" i="5"/>
  <c r="R320" i="5"/>
  <c r="S320" i="5"/>
  <c r="T320" i="5"/>
  <c r="U320" i="5"/>
  <c r="R321" i="5"/>
  <c r="S321" i="5"/>
  <c r="T321" i="5"/>
  <c r="U321" i="5"/>
  <c r="R322" i="5"/>
  <c r="S322" i="5"/>
  <c r="T322" i="5"/>
  <c r="U322" i="5"/>
  <c r="R323" i="5"/>
  <c r="S323" i="5"/>
  <c r="T323" i="5"/>
  <c r="U323" i="5"/>
  <c r="R324" i="5"/>
  <c r="S324" i="5"/>
  <c r="T324" i="5"/>
  <c r="U324" i="5"/>
  <c r="R325" i="5"/>
  <c r="S325" i="5"/>
  <c r="T325" i="5"/>
  <c r="U325" i="5"/>
  <c r="R326" i="5"/>
  <c r="S326" i="5"/>
  <c r="T326" i="5"/>
  <c r="U326" i="5"/>
  <c r="R327" i="5"/>
  <c r="S327" i="5"/>
  <c r="T327" i="5"/>
  <c r="U327" i="5"/>
  <c r="R328" i="5"/>
  <c r="S328" i="5"/>
  <c r="T328" i="5"/>
  <c r="U328" i="5"/>
  <c r="R329" i="5"/>
  <c r="S329" i="5"/>
  <c r="T329" i="5"/>
  <c r="U329" i="5"/>
  <c r="R330" i="5"/>
  <c r="S330" i="5"/>
  <c r="T330" i="5"/>
  <c r="U330" i="5"/>
  <c r="R331" i="5"/>
  <c r="S331" i="5"/>
  <c r="T331" i="5"/>
  <c r="U331" i="5"/>
  <c r="R332" i="5"/>
  <c r="S332" i="5"/>
  <c r="T332" i="5"/>
  <c r="U332" i="5"/>
  <c r="R333" i="5"/>
  <c r="S333" i="5"/>
  <c r="T333" i="5"/>
  <c r="U333" i="5"/>
  <c r="R334" i="5"/>
  <c r="S334" i="5"/>
  <c r="T334" i="5"/>
  <c r="U334" i="5"/>
  <c r="R335" i="5"/>
  <c r="S335" i="5"/>
  <c r="T335" i="5"/>
  <c r="U335" i="5"/>
  <c r="R336" i="5"/>
  <c r="S336" i="5"/>
  <c r="T336" i="5"/>
  <c r="U336" i="5"/>
  <c r="R337" i="5"/>
  <c r="S337" i="5"/>
  <c r="T337" i="5"/>
  <c r="U337" i="5"/>
  <c r="R338" i="5"/>
  <c r="S338" i="5"/>
  <c r="T338" i="5"/>
  <c r="U338" i="5"/>
  <c r="R339" i="5"/>
  <c r="S339" i="5"/>
  <c r="T339" i="5"/>
  <c r="U339" i="5"/>
  <c r="R340" i="5"/>
  <c r="S340" i="5"/>
  <c r="T340" i="5"/>
  <c r="U340" i="5"/>
  <c r="R341" i="5"/>
  <c r="S341" i="5"/>
  <c r="T341" i="5"/>
  <c r="U341" i="5"/>
  <c r="R342" i="5"/>
  <c r="S342" i="5"/>
  <c r="T342" i="5"/>
  <c r="U342" i="5"/>
  <c r="R343" i="5"/>
  <c r="S343" i="5"/>
  <c r="T343" i="5"/>
  <c r="U343" i="5"/>
  <c r="R344" i="5"/>
  <c r="S344" i="5"/>
  <c r="T344" i="5"/>
  <c r="U344" i="5"/>
  <c r="R345" i="5"/>
  <c r="S345" i="5"/>
  <c r="T345" i="5"/>
  <c r="U345" i="5"/>
  <c r="R346" i="5"/>
  <c r="S346" i="5"/>
  <c r="T346" i="5"/>
  <c r="U346" i="5"/>
  <c r="R347" i="5"/>
  <c r="S347" i="5"/>
  <c r="T347" i="5"/>
  <c r="U347" i="5"/>
  <c r="R348" i="5"/>
  <c r="S348" i="5"/>
  <c r="T348" i="5"/>
  <c r="U348" i="5"/>
  <c r="R349" i="5"/>
  <c r="S349" i="5"/>
  <c r="T349" i="5"/>
  <c r="U349" i="5"/>
  <c r="R350" i="5"/>
  <c r="S350" i="5"/>
  <c r="T350" i="5"/>
  <c r="U350" i="5"/>
  <c r="R351" i="5"/>
  <c r="S351" i="5"/>
  <c r="T351" i="5"/>
  <c r="U351" i="5"/>
  <c r="R352" i="5"/>
  <c r="S352" i="5"/>
  <c r="T352" i="5"/>
  <c r="U352" i="5"/>
  <c r="R353" i="5"/>
  <c r="S353" i="5"/>
  <c r="T353" i="5"/>
  <c r="U353" i="5"/>
  <c r="R354" i="5"/>
  <c r="S354" i="5"/>
  <c r="T354" i="5"/>
  <c r="U354" i="5"/>
  <c r="R355" i="5"/>
  <c r="S355" i="5"/>
  <c r="T355" i="5"/>
  <c r="U355" i="5"/>
  <c r="R356" i="5"/>
  <c r="S356" i="5"/>
  <c r="T356" i="5"/>
  <c r="U356" i="5"/>
  <c r="R357" i="5"/>
  <c r="S357" i="5"/>
  <c r="T357" i="5"/>
  <c r="U357" i="5"/>
  <c r="R358" i="5"/>
  <c r="S358" i="5"/>
  <c r="T358" i="5"/>
  <c r="U358" i="5"/>
  <c r="R359" i="5"/>
  <c r="S359" i="5"/>
  <c r="T359" i="5"/>
  <c r="U359" i="5"/>
  <c r="R360" i="5"/>
  <c r="S360" i="5"/>
  <c r="T360" i="5"/>
  <c r="U360" i="5"/>
  <c r="R361" i="5"/>
  <c r="S361" i="5"/>
  <c r="T361" i="5"/>
  <c r="U361" i="5"/>
  <c r="R362" i="5"/>
  <c r="S362" i="5"/>
  <c r="T362" i="5"/>
  <c r="U362" i="5"/>
  <c r="R363" i="5"/>
  <c r="S363" i="5"/>
  <c r="T363" i="5"/>
  <c r="U363" i="5"/>
  <c r="R364" i="5"/>
  <c r="S364" i="5"/>
  <c r="T364" i="5"/>
  <c r="U364" i="5"/>
  <c r="R365" i="5"/>
  <c r="S365" i="5"/>
  <c r="T365" i="5"/>
  <c r="U365" i="5"/>
  <c r="R366" i="5"/>
  <c r="S366" i="5"/>
  <c r="T366" i="5"/>
  <c r="U366" i="5"/>
  <c r="R367" i="5"/>
  <c r="S367" i="5"/>
  <c r="T367" i="5"/>
  <c r="U367" i="5"/>
  <c r="R368" i="5"/>
  <c r="S368" i="5"/>
  <c r="T368" i="5"/>
  <c r="U368" i="5"/>
  <c r="R369" i="5"/>
  <c r="S369" i="5"/>
  <c r="T369" i="5"/>
  <c r="U369" i="5"/>
  <c r="R370" i="5"/>
  <c r="S370" i="5"/>
  <c r="T370" i="5"/>
  <c r="U370" i="5"/>
  <c r="R371" i="5"/>
  <c r="S371" i="5"/>
  <c r="T371" i="5"/>
  <c r="U371" i="5"/>
  <c r="R372" i="5"/>
  <c r="S372" i="5"/>
  <c r="T372" i="5"/>
  <c r="U372" i="5"/>
  <c r="R373" i="5"/>
  <c r="S373" i="5"/>
  <c r="T373" i="5"/>
  <c r="U373" i="5"/>
  <c r="R374" i="5"/>
  <c r="S374" i="5"/>
  <c r="T374" i="5"/>
  <c r="U374" i="5"/>
  <c r="R375" i="5"/>
  <c r="S375" i="5"/>
  <c r="T375" i="5"/>
  <c r="U375" i="5"/>
  <c r="R376" i="5"/>
  <c r="S376" i="5"/>
  <c r="T376" i="5"/>
  <c r="U376" i="5"/>
  <c r="R377" i="5"/>
  <c r="S377" i="5"/>
  <c r="T377" i="5"/>
  <c r="U377" i="5"/>
  <c r="R378" i="5"/>
  <c r="S378" i="5"/>
  <c r="T378" i="5"/>
  <c r="U378" i="5"/>
  <c r="R379" i="5"/>
  <c r="S379" i="5"/>
  <c r="T379" i="5"/>
  <c r="U379" i="5"/>
  <c r="R380" i="5"/>
  <c r="S380" i="5"/>
  <c r="T380" i="5"/>
  <c r="U380" i="5"/>
  <c r="R381" i="5"/>
  <c r="S381" i="5"/>
  <c r="T381" i="5"/>
  <c r="U381" i="5"/>
  <c r="R382" i="5"/>
  <c r="S382" i="5"/>
  <c r="T382" i="5"/>
  <c r="U382" i="5"/>
  <c r="R383" i="5"/>
  <c r="S383" i="5"/>
  <c r="T383" i="5"/>
  <c r="U383" i="5"/>
  <c r="R384" i="5"/>
  <c r="S384" i="5"/>
  <c r="T384" i="5"/>
  <c r="U384" i="5"/>
  <c r="R385" i="5"/>
  <c r="S385" i="5"/>
  <c r="T385" i="5"/>
  <c r="U385" i="5"/>
  <c r="R386" i="5"/>
  <c r="S386" i="5"/>
  <c r="T386" i="5"/>
  <c r="U386" i="5"/>
  <c r="R387" i="5"/>
  <c r="S387" i="5"/>
  <c r="T387" i="5"/>
  <c r="U387" i="5"/>
  <c r="R388" i="5"/>
  <c r="S388" i="5"/>
  <c r="T388" i="5"/>
  <c r="U388" i="5"/>
  <c r="R389" i="5"/>
  <c r="S389" i="5"/>
  <c r="T389" i="5"/>
  <c r="U389" i="5"/>
  <c r="R390" i="5"/>
  <c r="S390" i="5"/>
  <c r="T390" i="5"/>
  <c r="U390" i="5"/>
  <c r="R391" i="5"/>
  <c r="S391" i="5"/>
  <c r="T391" i="5"/>
  <c r="U391" i="5"/>
  <c r="R392" i="5"/>
  <c r="S392" i="5"/>
  <c r="T392" i="5"/>
  <c r="U392" i="5"/>
  <c r="R393" i="5"/>
  <c r="S393" i="5"/>
  <c r="T393" i="5"/>
  <c r="U393" i="5"/>
  <c r="R394" i="5"/>
  <c r="S394" i="5"/>
  <c r="T394" i="5"/>
  <c r="U394" i="5"/>
  <c r="R395" i="5"/>
  <c r="S395" i="5"/>
  <c r="T395" i="5"/>
  <c r="U395" i="5"/>
  <c r="R396" i="5"/>
  <c r="S396" i="5"/>
  <c r="T396" i="5"/>
  <c r="U396" i="5"/>
  <c r="R397" i="5"/>
  <c r="S397" i="5"/>
  <c r="T397" i="5"/>
  <c r="U397" i="5"/>
  <c r="R398" i="5"/>
  <c r="S398" i="5"/>
  <c r="T398" i="5"/>
  <c r="U398" i="5"/>
  <c r="R399" i="5"/>
  <c r="S399" i="5"/>
  <c r="T399" i="5"/>
  <c r="U399" i="5"/>
  <c r="R400" i="5"/>
  <c r="S400" i="5"/>
  <c r="T400" i="5"/>
  <c r="U400" i="5"/>
  <c r="R401" i="5"/>
  <c r="S401" i="5"/>
  <c r="T401" i="5"/>
  <c r="U401" i="5"/>
  <c r="R402" i="5"/>
  <c r="S402" i="5"/>
  <c r="T402" i="5"/>
  <c r="U402" i="5"/>
  <c r="R403" i="5"/>
  <c r="S403" i="5"/>
  <c r="T403" i="5"/>
  <c r="U403" i="5"/>
  <c r="R404" i="5"/>
  <c r="S404" i="5"/>
  <c r="T404" i="5"/>
  <c r="U404" i="5"/>
  <c r="R405" i="5"/>
  <c r="S405" i="5"/>
  <c r="T405" i="5"/>
  <c r="U405" i="5"/>
  <c r="R406" i="5"/>
  <c r="S406" i="5"/>
  <c r="T406" i="5"/>
  <c r="U406" i="5"/>
  <c r="R407" i="5"/>
  <c r="S407" i="5"/>
  <c r="T407" i="5"/>
  <c r="U407" i="5"/>
  <c r="R408" i="5"/>
  <c r="S408" i="5"/>
  <c r="T408" i="5"/>
  <c r="U408" i="5"/>
  <c r="R409" i="5"/>
  <c r="S409" i="5"/>
  <c r="T409" i="5"/>
  <c r="U409" i="5"/>
  <c r="R410" i="5"/>
  <c r="S410" i="5"/>
  <c r="T410" i="5"/>
  <c r="U410" i="5"/>
  <c r="R411" i="5"/>
  <c r="S411" i="5"/>
  <c r="T411" i="5"/>
  <c r="U411" i="5"/>
  <c r="R412" i="5"/>
  <c r="S412" i="5"/>
  <c r="T412" i="5"/>
  <c r="U412" i="5"/>
  <c r="R413" i="5"/>
  <c r="S413" i="5"/>
  <c r="T413" i="5"/>
  <c r="U413" i="5"/>
  <c r="R414" i="5"/>
  <c r="S414" i="5"/>
  <c r="T414" i="5"/>
  <c r="U414" i="5"/>
  <c r="R415" i="5"/>
  <c r="S415" i="5"/>
  <c r="T415" i="5"/>
  <c r="U415" i="5"/>
  <c r="R416" i="5"/>
  <c r="S416" i="5"/>
  <c r="T416" i="5"/>
  <c r="U416" i="5"/>
  <c r="R417" i="5"/>
  <c r="S417" i="5"/>
  <c r="T417" i="5"/>
  <c r="U417" i="5"/>
  <c r="R418" i="5"/>
  <c r="S418" i="5"/>
  <c r="T418" i="5"/>
  <c r="U418" i="5"/>
  <c r="R419" i="5"/>
  <c r="S419" i="5"/>
  <c r="T419" i="5"/>
  <c r="U419" i="5"/>
  <c r="R420" i="5"/>
  <c r="S420" i="5"/>
  <c r="T420" i="5"/>
  <c r="U420" i="5"/>
  <c r="R421" i="5"/>
  <c r="S421" i="5"/>
  <c r="T421" i="5"/>
  <c r="U421" i="5"/>
  <c r="R422" i="5"/>
  <c r="S422" i="5"/>
  <c r="T422" i="5"/>
  <c r="U422" i="5"/>
  <c r="R423" i="5"/>
  <c r="S423" i="5"/>
  <c r="T423" i="5"/>
  <c r="U423" i="5"/>
  <c r="R424" i="5"/>
  <c r="S424" i="5"/>
  <c r="T424" i="5"/>
  <c r="U424" i="5"/>
  <c r="R425" i="5"/>
  <c r="S425" i="5"/>
  <c r="T425" i="5"/>
  <c r="U425" i="5"/>
  <c r="R426" i="5"/>
  <c r="S426" i="5"/>
  <c r="T426" i="5"/>
  <c r="U426" i="5"/>
  <c r="R427" i="5"/>
  <c r="S427" i="5"/>
  <c r="T427" i="5"/>
  <c r="U427" i="5"/>
  <c r="R428" i="5"/>
  <c r="S428" i="5"/>
  <c r="T428" i="5"/>
  <c r="U428" i="5"/>
  <c r="R429" i="5"/>
  <c r="S429" i="5"/>
  <c r="T429" i="5"/>
  <c r="U429" i="5"/>
  <c r="R430" i="5"/>
  <c r="S430" i="5"/>
  <c r="T430" i="5"/>
  <c r="U430" i="5"/>
  <c r="R431" i="5"/>
  <c r="S431" i="5"/>
  <c r="T431" i="5"/>
  <c r="U431" i="5"/>
  <c r="R432" i="5"/>
  <c r="S432" i="5"/>
  <c r="T432" i="5"/>
  <c r="U432" i="5"/>
  <c r="R433" i="5"/>
  <c r="S433" i="5"/>
  <c r="T433" i="5"/>
  <c r="U433" i="5"/>
  <c r="R434" i="5"/>
  <c r="S434" i="5"/>
  <c r="T434" i="5"/>
  <c r="U434" i="5"/>
  <c r="R435" i="5"/>
  <c r="S435" i="5"/>
  <c r="T435" i="5"/>
  <c r="U435" i="5"/>
  <c r="R436" i="5"/>
  <c r="S436" i="5"/>
  <c r="T436" i="5"/>
  <c r="U436" i="5"/>
  <c r="R437" i="5"/>
  <c r="S437" i="5"/>
  <c r="T437" i="5"/>
  <c r="U437" i="5"/>
  <c r="R438" i="5"/>
  <c r="S438" i="5"/>
  <c r="T438" i="5"/>
  <c r="U438" i="5"/>
  <c r="R439" i="5"/>
  <c r="S439" i="5"/>
  <c r="T439" i="5"/>
  <c r="U439" i="5"/>
  <c r="R440" i="5"/>
  <c r="S440" i="5"/>
  <c r="T440" i="5"/>
  <c r="U440" i="5"/>
  <c r="R441" i="5"/>
  <c r="S441" i="5"/>
  <c r="T441" i="5"/>
  <c r="U441" i="5"/>
  <c r="R442" i="5"/>
  <c r="S442" i="5"/>
  <c r="T442" i="5"/>
  <c r="U442" i="5"/>
  <c r="R443" i="5"/>
  <c r="S443" i="5"/>
  <c r="T443" i="5"/>
  <c r="U443" i="5"/>
  <c r="R444" i="5"/>
  <c r="S444" i="5"/>
  <c r="T444" i="5"/>
  <c r="U444" i="5"/>
  <c r="R445" i="5"/>
  <c r="S445" i="5"/>
  <c r="T445" i="5"/>
  <c r="U445" i="5"/>
  <c r="R446" i="5"/>
  <c r="S446" i="5"/>
  <c r="T446" i="5"/>
  <c r="U446" i="5"/>
  <c r="R447" i="5"/>
  <c r="S447" i="5"/>
  <c r="T447" i="5"/>
  <c r="U447" i="5"/>
  <c r="R448" i="5"/>
  <c r="S448" i="5"/>
  <c r="T448" i="5"/>
  <c r="U448" i="5"/>
  <c r="R449" i="5"/>
  <c r="S449" i="5"/>
  <c r="T449" i="5"/>
  <c r="U449" i="5"/>
  <c r="R450" i="5"/>
  <c r="S450" i="5"/>
  <c r="T450" i="5"/>
  <c r="U450" i="5"/>
  <c r="R451" i="5"/>
  <c r="S451" i="5"/>
  <c r="T451" i="5"/>
  <c r="U451" i="5"/>
  <c r="R452" i="5"/>
  <c r="S452" i="5"/>
  <c r="T452" i="5"/>
  <c r="U452" i="5"/>
  <c r="R453" i="5"/>
  <c r="S453" i="5"/>
  <c r="T453" i="5"/>
  <c r="U453" i="5"/>
  <c r="R454" i="5"/>
  <c r="S454" i="5"/>
  <c r="T454" i="5"/>
  <c r="U454" i="5"/>
  <c r="R455" i="5"/>
  <c r="S455" i="5"/>
  <c r="T455" i="5"/>
  <c r="U455" i="5"/>
  <c r="R456" i="5"/>
  <c r="S456" i="5"/>
  <c r="T456" i="5"/>
  <c r="U456" i="5"/>
  <c r="R457" i="5"/>
  <c r="S457" i="5"/>
  <c r="T457" i="5"/>
  <c r="U457" i="5"/>
  <c r="R458" i="5"/>
  <c r="S458" i="5"/>
  <c r="T458" i="5"/>
  <c r="U458" i="5"/>
  <c r="R459" i="5"/>
  <c r="S459" i="5"/>
  <c r="T459" i="5"/>
  <c r="U459" i="5"/>
  <c r="R460" i="5"/>
  <c r="S460" i="5"/>
  <c r="T460" i="5"/>
  <c r="U460" i="5"/>
  <c r="R461" i="5"/>
  <c r="S461" i="5"/>
  <c r="T461" i="5"/>
  <c r="U461" i="5"/>
  <c r="R462" i="5"/>
  <c r="S462" i="5"/>
  <c r="T462" i="5"/>
  <c r="U462" i="5"/>
  <c r="R463" i="5"/>
  <c r="S463" i="5"/>
  <c r="T463" i="5"/>
  <c r="U463" i="5"/>
  <c r="R464" i="5"/>
  <c r="S464" i="5"/>
  <c r="T464" i="5"/>
  <c r="U464" i="5"/>
  <c r="R465" i="5"/>
  <c r="S465" i="5"/>
  <c r="T465" i="5"/>
  <c r="U465" i="5"/>
  <c r="R466" i="5"/>
  <c r="S466" i="5"/>
  <c r="T466" i="5"/>
  <c r="U466" i="5"/>
  <c r="R467" i="5"/>
  <c r="S467" i="5"/>
  <c r="T467" i="5"/>
  <c r="U467" i="5"/>
  <c r="R468" i="5"/>
  <c r="S468" i="5"/>
  <c r="T468" i="5"/>
  <c r="U468" i="5"/>
  <c r="R469" i="5"/>
  <c r="S469" i="5"/>
  <c r="T469" i="5"/>
  <c r="U469" i="5"/>
  <c r="R470" i="5"/>
  <c r="S470" i="5"/>
  <c r="T470" i="5"/>
  <c r="U470" i="5"/>
  <c r="R471" i="5"/>
  <c r="S471" i="5"/>
  <c r="T471" i="5"/>
  <c r="U471" i="5"/>
  <c r="R472" i="5"/>
  <c r="S472" i="5"/>
  <c r="T472" i="5"/>
  <c r="U472" i="5"/>
  <c r="R473" i="5"/>
  <c r="S473" i="5"/>
  <c r="T473" i="5"/>
  <c r="U473" i="5"/>
  <c r="R474" i="5"/>
  <c r="S474" i="5"/>
  <c r="T474" i="5"/>
  <c r="U474" i="5"/>
  <c r="R475" i="5"/>
  <c r="S475" i="5"/>
  <c r="T475" i="5"/>
  <c r="U475" i="5"/>
  <c r="R476" i="5"/>
  <c r="S476" i="5"/>
  <c r="T476" i="5"/>
  <c r="U476" i="5"/>
  <c r="R477" i="5"/>
  <c r="S477" i="5"/>
  <c r="T477" i="5"/>
  <c r="U477" i="5"/>
  <c r="R478" i="5"/>
  <c r="S478" i="5"/>
  <c r="T478" i="5"/>
  <c r="U478" i="5"/>
  <c r="R479" i="5"/>
  <c r="S479" i="5"/>
  <c r="T479" i="5"/>
  <c r="U479" i="5"/>
  <c r="R480" i="5"/>
  <c r="S480" i="5"/>
  <c r="T480" i="5"/>
  <c r="U480" i="5"/>
  <c r="R481" i="5"/>
  <c r="S481" i="5"/>
  <c r="T481" i="5"/>
  <c r="U481" i="5"/>
  <c r="R482" i="5"/>
  <c r="S482" i="5"/>
  <c r="T482" i="5"/>
  <c r="U482" i="5"/>
  <c r="R483" i="5"/>
  <c r="S483" i="5"/>
  <c r="T483" i="5"/>
  <c r="U483" i="5"/>
  <c r="R484" i="5"/>
  <c r="S484" i="5"/>
  <c r="T484" i="5"/>
  <c r="U484" i="5"/>
  <c r="R485" i="5"/>
  <c r="S485" i="5"/>
  <c r="T485" i="5"/>
  <c r="U485" i="5"/>
  <c r="R486" i="5"/>
  <c r="S486" i="5"/>
  <c r="T486" i="5"/>
  <c r="U486" i="5"/>
  <c r="R487" i="5"/>
  <c r="S487" i="5"/>
  <c r="T487" i="5"/>
  <c r="U487" i="5"/>
  <c r="R488" i="5"/>
  <c r="S488" i="5"/>
  <c r="T488" i="5"/>
  <c r="U488" i="5"/>
  <c r="R489" i="5"/>
  <c r="S489" i="5"/>
  <c r="T489" i="5"/>
  <c r="U489" i="5"/>
  <c r="R490" i="5"/>
  <c r="S490" i="5"/>
  <c r="T490" i="5"/>
  <c r="U490" i="5"/>
  <c r="R491" i="5"/>
  <c r="S491" i="5"/>
  <c r="T491" i="5"/>
  <c r="U491" i="5"/>
  <c r="R492" i="5"/>
  <c r="S492" i="5"/>
  <c r="T492" i="5"/>
  <c r="U492" i="5"/>
  <c r="R493" i="5"/>
  <c r="S493" i="5"/>
  <c r="T493" i="5"/>
  <c r="U493" i="5"/>
  <c r="R494" i="5"/>
  <c r="S494" i="5"/>
  <c r="T494" i="5"/>
  <c r="U494" i="5"/>
  <c r="R495" i="5"/>
  <c r="S495" i="5"/>
  <c r="T495" i="5"/>
  <c r="U495" i="5"/>
  <c r="R496" i="5"/>
  <c r="S496" i="5"/>
  <c r="T496" i="5"/>
  <c r="U496" i="5"/>
  <c r="R497" i="5"/>
  <c r="S497" i="5"/>
  <c r="T497" i="5"/>
  <c r="U497" i="5"/>
  <c r="R498" i="5"/>
  <c r="S498" i="5"/>
  <c r="T498" i="5"/>
  <c r="U498" i="5"/>
  <c r="R499" i="5"/>
  <c r="S499" i="5"/>
  <c r="T499" i="5"/>
  <c r="U499" i="5"/>
  <c r="R500" i="5"/>
  <c r="S500" i="5"/>
  <c r="T500" i="5"/>
  <c r="U500" i="5"/>
  <c r="R501" i="5"/>
  <c r="S501" i="5"/>
  <c r="T501" i="5"/>
  <c r="U501" i="5"/>
  <c r="R502" i="5"/>
  <c r="S502" i="5"/>
  <c r="T502" i="5"/>
  <c r="U502" i="5"/>
  <c r="R503" i="5"/>
  <c r="S503" i="5"/>
  <c r="T503" i="5"/>
  <c r="U503" i="5"/>
  <c r="R504" i="5"/>
  <c r="S504" i="5"/>
  <c r="T504" i="5"/>
  <c r="U504" i="5"/>
  <c r="R505" i="5"/>
  <c r="S505" i="5"/>
  <c r="T505" i="5"/>
  <c r="U505" i="5"/>
  <c r="R506" i="5"/>
  <c r="S506" i="5"/>
  <c r="T506" i="5"/>
  <c r="U506" i="5"/>
  <c r="R507" i="5"/>
  <c r="S507" i="5"/>
  <c r="T507" i="5"/>
  <c r="U507" i="5"/>
  <c r="R508" i="5"/>
  <c r="S508" i="5"/>
  <c r="T508" i="5"/>
  <c r="U508" i="5"/>
  <c r="R509" i="5"/>
  <c r="S509" i="5"/>
  <c r="T509" i="5"/>
  <c r="U509" i="5"/>
  <c r="R510" i="5"/>
  <c r="S510" i="5"/>
  <c r="T510" i="5"/>
  <c r="U510" i="5"/>
  <c r="R511" i="5"/>
  <c r="S511" i="5"/>
  <c r="T511" i="5"/>
  <c r="U511" i="5"/>
  <c r="R512" i="5"/>
  <c r="S512" i="5"/>
  <c r="T512" i="5"/>
  <c r="U512" i="5"/>
  <c r="R513" i="5"/>
  <c r="S513" i="5"/>
  <c r="T513" i="5"/>
  <c r="U513" i="5"/>
  <c r="R514" i="5"/>
  <c r="S514" i="5"/>
  <c r="T514" i="5"/>
  <c r="U514" i="5"/>
  <c r="R515" i="5"/>
  <c r="S515" i="5"/>
  <c r="T515" i="5"/>
  <c r="U515" i="5"/>
  <c r="R516" i="5"/>
  <c r="S516" i="5"/>
  <c r="T516" i="5"/>
  <c r="U516" i="5"/>
  <c r="R517" i="5"/>
  <c r="S517" i="5"/>
  <c r="T517" i="5"/>
  <c r="U517" i="5"/>
  <c r="R518" i="5"/>
  <c r="S518" i="5"/>
  <c r="T518" i="5"/>
  <c r="U518" i="5"/>
  <c r="R519" i="5"/>
  <c r="S519" i="5"/>
  <c r="T519" i="5"/>
  <c r="U519" i="5"/>
  <c r="R520" i="5"/>
  <c r="S520" i="5"/>
  <c r="T520" i="5"/>
  <c r="U520" i="5"/>
  <c r="R521" i="5"/>
  <c r="S521" i="5"/>
  <c r="T521" i="5"/>
  <c r="U521" i="5"/>
  <c r="R522" i="5"/>
  <c r="S522" i="5"/>
  <c r="T522" i="5"/>
  <c r="U522" i="5"/>
  <c r="R523" i="5"/>
  <c r="S523" i="5"/>
  <c r="T523" i="5"/>
  <c r="U523" i="5"/>
  <c r="R524" i="5"/>
  <c r="S524" i="5"/>
  <c r="T524" i="5"/>
  <c r="U524" i="5"/>
  <c r="R525" i="5"/>
  <c r="S525" i="5"/>
  <c r="T525" i="5"/>
  <c r="U525" i="5"/>
  <c r="R526" i="5"/>
  <c r="S526" i="5"/>
  <c r="T526" i="5"/>
  <c r="U526" i="5"/>
  <c r="R527" i="5"/>
  <c r="S527" i="5"/>
  <c r="T527" i="5"/>
  <c r="U527" i="5"/>
  <c r="R528" i="5"/>
  <c r="S528" i="5"/>
  <c r="T528" i="5"/>
  <c r="U528" i="5"/>
  <c r="R529" i="5"/>
  <c r="S529" i="5"/>
  <c r="T529" i="5"/>
  <c r="U529" i="5"/>
  <c r="R530" i="5"/>
  <c r="S530" i="5"/>
  <c r="T530" i="5"/>
  <c r="U530" i="5"/>
  <c r="R531" i="5"/>
  <c r="S531" i="5"/>
  <c r="T531" i="5"/>
  <c r="U531" i="5"/>
  <c r="R532" i="5"/>
  <c r="S532" i="5"/>
  <c r="T532" i="5"/>
  <c r="U532" i="5"/>
  <c r="R533" i="5"/>
  <c r="S533" i="5"/>
  <c r="T533" i="5"/>
  <c r="U533" i="5"/>
  <c r="R534" i="5"/>
  <c r="S534" i="5"/>
  <c r="T534" i="5"/>
  <c r="U534" i="5"/>
  <c r="R535" i="5"/>
  <c r="S535" i="5"/>
  <c r="T535" i="5"/>
  <c r="U535" i="5"/>
  <c r="R536" i="5"/>
  <c r="S536" i="5"/>
  <c r="T536" i="5"/>
  <c r="U536" i="5"/>
  <c r="R537" i="5"/>
  <c r="S537" i="5"/>
  <c r="T537" i="5"/>
  <c r="U537" i="5"/>
  <c r="R538" i="5"/>
  <c r="S538" i="5"/>
  <c r="T538" i="5"/>
  <c r="U538" i="5"/>
  <c r="R539" i="5"/>
  <c r="S539" i="5"/>
  <c r="T539" i="5"/>
  <c r="U539" i="5"/>
  <c r="R540" i="5"/>
  <c r="S540" i="5"/>
  <c r="T540" i="5"/>
  <c r="U540" i="5"/>
  <c r="R541" i="5"/>
  <c r="S541" i="5"/>
  <c r="T541" i="5"/>
  <c r="U541" i="5"/>
  <c r="R542" i="5"/>
  <c r="S542" i="5"/>
  <c r="T542" i="5"/>
  <c r="U542" i="5"/>
  <c r="R543" i="5"/>
  <c r="S543" i="5"/>
  <c r="T543" i="5"/>
  <c r="U543" i="5"/>
  <c r="R544" i="5"/>
  <c r="S544" i="5"/>
  <c r="T544" i="5"/>
  <c r="U544" i="5"/>
  <c r="R545" i="5"/>
  <c r="S545" i="5"/>
  <c r="T545" i="5"/>
  <c r="U545" i="5"/>
  <c r="R546" i="5"/>
  <c r="S546" i="5"/>
  <c r="T546" i="5"/>
  <c r="U546" i="5"/>
  <c r="R547" i="5"/>
  <c r="S547" i="5"/>
  <c r="T547" i="5"/>
  <c r="U547" i="5"/>
  <c r="R548" i="5"/>
  <c r="S548" i="5"/>
  <c r="T548" i="5"/>
  <c r="U548" i="5"/>
  <c r="R549" i="5"/>
  <c r="S549" i="5"/>
  <c r="T549" i="5"/>
  <c r="U549" i="5"/>
  <c r="R550" i="5"/>
  <c r="S550" i="5"/>
  <c r="T550" i="5"/>
  <c r="U550" i="5"/>
  <c r="R551" i="5"/>
  <c r="S551" i="5"/>
  <c r="T551" i="5"/>
  <c r="U551" i="5"/>
  <c r="R552" i="5"/>
  <c r="S552" i="5"/>
  <c r="T552" i="5"/>
  <c r="U552" i="5"/>
  <c r="R553" i="5"/>
  <c r="S553" i="5"/>
  <c r="T553" i="5"/>
  <c r="U553" i="5"/>
  <c r="R554" i="5"/>
  <c r="S554" i="5"/>
  <c r="T554" i="5"/>
  <c r="U554" i="5"/>
  <c r="R555" i="5"/>
  <c r="S555" i="5"/>
  <c r="T555" i="5"/>
  <c r="U555" i="5"/>
  <c r="R556" i="5"/>
  <c r="S556" i="5"/>
  <c r="T556" i="5"/>
  <c r="U556" i="5"/>
  <c r="R557" i="5"/>
  <c r="S557" i="5"/>
  <c r="T557" i="5"/>
  <c r="U557" i="5"/>
  <c r="R558" i="5"/>
  <c r="S558" i="5"/>
  <c r="T558" i="5"/>
  <c r="U558" i="5"/>
  <c r="R559" i="5"/>
  <c r="S559" i="5"/>
  <c r="T559" i="5"/>
  <c r="U559" i="5"/>
  <c r="R560" i="5"/>
  <c r="S560" i="5"/>
  <c r="T560" i="5"/>
  <c r="U560" i="5"/>
  <c r="R561" i="5"/>
  <c r="S561" i="5"/>
  <c r="T561" i="5"/>
  <c r="U561" i="5"/>
  <c r="R562" i="5"/>
  <c r="S562" i="5"/>
  <c r="T562" i="5"/>
  <c r="U562" i="5"/>
  <c r="R563" i="5"/>
  <c r="S563" i="5"/>
  <c r="T563" i="5"/>
  <c r="U563" i="5"/>
  <c r="R564" i="5"/>
  <c r="S564" i="5"/>
  <c r="T564" i="5"/>
  <c r="U564" i="5"/>
  <c r="R565" i="5"/>
  <c r="S565" i="5"/>
  <c r="T565" i="5"/>
  <c r="U565" i="5"/>
  <c r="R566" i="5"/>
  <c r="S566" i="5"/>
  <c r="T566" i="5"/>
  <c r="U566" i="5"/>
  <c r="R567" i="5"/>
  <c r="S567" i="5"/>
  <c r="T567" i="5"/>
  <c r="U567" i="5"/>
  <c r="R568" i="5"/>
  <c r="S568" i="5"/>
  <c r="T568" i="5"/>
  <c r="U568" i="5"/>
  <c r="R569" i="5"/>
  <c r="S569" i="5"/>
  <c r="T569" i="5"/>
  <c r="U569" i="5"/>
  <c r="R570" i="5"/>
  <c r="S570" i="5"/>
  <c r="T570" i="5"/>
  <c r="U570" i="5"/>
  <c r="R571" i="5"/>
  <c r="S571" i="5"/>
  <c r="T571" i="5"/>
  <c r="U571" i="5"/>
  <c r="R572" i="5"/>
  <c r="S572" i="5"/>
  <c r="T572" i="5"/>
  <c r="U572" i="5"/>
  <c r="R573" i="5"/>
  <c r="S573" i="5"/>
  <c r="T573" i="5"/>
  <c r="U573" i="5"/>
  <c r="R574" i="5"/>
  <c r="S574" i="5"/>
  <c r="T574" i="5"/>
  <c r="U574" i="5"/>
  <c r="R575" i="5"/>
  <c r="S575" i="5"/>
  <c r="T575" i="5"/>
  <c r="U575" i="5"/>
  <c r="R576" i="5"/>
  <c r="S576" i="5"/>
  <c r="T576" i="5"/>
  <c r="U576" i="5"/>
  <c r="R577" i="5"/>
  <c r="S577" i="5"/>
  <c r="T577" i="5"/>
  <c r="U577" i="5"/>
  <c r="R578" i="5"/>
  <c r="S578" i="5"/>
  <c r="T578" i="5"/>
  <c r="U578" i="5"/>
  <c r="R579" i="5"/>
  <c r="S579" i="5"/>
  <c r="T579" i="5"/>
  <c r="U579" i="5"/>
  <c r="R580" i="5"/>
  <c r="S580" i="5"/>
  <c r="T580" i="5"/>
  <c r="U580" i="5"/>
  <c r="R581" i="5"/>
  <c r="S581" i="5"/>
  <c r="T581" i="5"/>
  <c r="U581" i="5"/>
  <c r="R582" i="5"/>
  <c r="S582" i="5"/>
  <c r="T582" i="5"/>
  <c r="U582" i="5"/>
  <c r="R583" i="5"/>
  <c r="S583" i="5"/>
  <c r="T583" i="5"/>
  <c r="U583" i="5"/>
  <c r="R584" i="5"/>
  <c r="S584" i="5"/>
  <c r="T584" i="5"/>
  <c r="U584" i="5"/>
  <c r="R585" i="5"/>
  <c r="S585" i="5"/>
  <c r="T585" i="5"/>
  <c r="U585" i="5"/>
  <c r="R586" i="5"/>
  <c r="S586" i="5"/>
  <c r="T586" i="5"/>
  <c r="U586" i="5"/>
  <c r="R587" i="5"/>
  <c r="S587" i="5"/>
  <c r="T587" i="5"/>
  <c r="U587" i="5"/>
  <c r="R588" i="5"/>
  <c r="S588" i="5"/>
  <c r="T588" i="5"/>
  <c r="U588" i="5"/>
  <c r="R589" i="5"/>
  <c r="S589" i="5"/>
  <c r="T589" i="5"/>
  <c r="U589" i="5"/>
  <c r="R590" i="5"/>
  <c r="S590" i="5"/>
  <c r="T590" i="5"/>
  <c r="U590" i="5"/>
  <c r="R591" i="5"/>
  <c r="S591" i="5"/>
  <c r="T591" i="5"/>
  <c r="U591" i="5"/>
  <c r="R592" i="5"/>
  <c r="S592" i="5"/>
  <c r="T592" i="5"/>
  <c r="U592" i="5"/>
  <c r="R593" i="5"/>
  <c r="S593" i="5"/>
  <c r="T593" i="5"/>
  <c r="U593" i="5"/>
  <c r="R594" i="5"/>
  <c r="S594" i="5"/>
  <c r="T594" i="5"/>
  <c r="U594" i="5"/>
  <c r="R595" i="5"/>
  <c r="S595" i="5"/>
  <c r="T595" i="5"/>
  <c r="U595" i="5"/>
  <c r="R596" i="5"/>
  <c r="S596" i="5"/>
  <c r="T596" i="5"/>
  <c r="U596" i="5"/>
  <c r="R597" i="5"/>
  <c r="S597" i="5"/>
  <c r="T597" i="5"/>
  <c r="U597" i="5"/>
  <c r="R598" i="5"/>
  <c r="S598" i="5"/>
  <c r="T598" i="5"/>
  <c r="U598" i="5"/>
  <c r="R599" i="5"/>
  <c r="S599" i="5"/>
  <c r="T599" i="5"/>
  <c r="U599" i="5"/>
  <c r="R600" i="5"/>
  <c r="S600" i="5"/>
  <c r="T600" i="5"/>
  <c r="U600" i="5"/>
  <c r="R601" i="5"/>
  <c r="S601" i="5"/>
  <c r="T601" i="5"/>
  <c r="U601" i="5"/>
  <c r="R602" i="5"/>
  <c r="S602" i="5"/>
  <c r="T602" i="5"/>
  <c r="U602" i="5"/>
  <c r="R603" i="5"/>
  <c r="S603" i="5"/>
  <c r="T603" i="5"/>
  <c r="U603" i="5"/>
  <c r="R604" i="5"/>
  <c r="S604" i="5"/>
  <c r="T604" i="5"/>
  <c r="U604" i="5"/>
  <c r="R605" i="5"/>
  <c r="S605" i="5"/>
  <c r="T605" i="5"/>
  <c r="U605" i="5"/>
  <c r="R606" i="5"/>
  <c r="S606" i="5"/>
  <c r="T606" i="5"/>
  <c r="U606" i="5"/>
  <c r="R607" i="5"/>
  <c r="S607" i="5"/>
  <c r="T607" i="5"/>
  <c r="U607" i="5"/>
  <c r="R608" i="5"/>
  <c r="S608" i="5"/>
  <c r="T608" i="5"/>
  <c r="U608" i="5"/>
  <c r="R609" i="5"/>
  <c r="S609" i="5"/>
  <c r="T609" i="5"/>
  <c r="U609" i="5"/>
  <c r="R610" i="5"/>
  <c r="S610" i="5"/>
  <c r="T610" i="5"/>
  <c r="U610" i="5"/>
  <c r="R611" i="5"/>
  <c r="S611" i="5"/>
  <c r="T611" i="5"/>
  <c r="U611" i="5"/>
  <c r="R612" i="5"/>
  <c r="S612" i="5"/>
  <c r="T612" i="5"/>
  <c r="U612" i="5"/>
  <c r="R613" i="5"/>
  <c r="S613" i="5"/>
  <c r="T613" i="5"/>
  <c r="U613" i="5"/>
  <c r="R614" i="5"/>
  <c r="S614" i="5"/>
  <c r="T614" i="5"/>
  <c r="U614" i="5"/>
  <c r="R615" i="5"/>
  <c r="S615" i="5"/>
  <c r="T615" i="5"/>
  <c r="U615" i="5"/>
  <c r="R616" i="5"/>
  <c r="S616" i="5"/>
  <c r="T616" i="5"/>
  <c r="U616" i="5"/>
  <c r="R617" i="5"/>
  <c r="S617" i="5"/>
  <c r="T617" i="5"/>
  <c r="U617" i="5"/>
  <c r="R618" i="5"/>
  <c r="S618" i="5"/>
  <c r="T618" i="5"/>
  <c r="U618" i="5"/>
  <c r="R619" i="5"/>
  <c r="S619" i="5"/>
  <c r="T619" i="5"/>
  <c r="U619" i="5"/>
  <c r="R620" i="5"/>
  <c r="S620" i="5"/>
  <c r="T620" i="5"/>
  <c r="U620" i="5"/>
  <c r="R621" i="5"/>
  <c r="S621" i="5"/>
  <c r="T621" i="5"/>
  <c r="U621" i="5"/>
  <c r="R622" i="5"/>
  <c r="S622" i="5"/>
  <c r="T622" i="5"/>
  <c r="U622" i="5"/>
  <c r="R623" i="5"/>
  <c r="S623" i="5"/>
  <c r="T623" i="5"/>
  <c r="U623" i="5"/>
  <c r="R624" i="5"/>
  <c r="S624" i="5"/>
  <c r="T624" i="5"/>
  <c r="U624" i="5"/>
  <c r="R625" i="5"/>
  <c r="S625" i="5"/>
  <c r="T625" i="5"/>
  <c r="U625" i="5"/>
  <c r="R626" i="5"/>
  <c r="S626" i="5"/>
  <c r="T626" i="5"/>
  <c r="U626" i="5"/>
  <c r="R627" i="5"/>
  <c r="S627" i="5"/>
  <c r="T627" i="5"/>
  <c r="U627" i="5"/>
  <c r="R628" i="5"/>
  <c r="S628" i="5"/>
  <c r="T628" i="5"/>
  <c r="U628" i="5"/>
  <c r="R629" i="5"/>
  <c r="S629" i="5"/>
  <c r="T629" i="5"/>
  <c r="U629" i="5"/>
  <c r="R630" i="5"/>
  <c r="S630" i="5"/>
  <c r="T630" i="5"/>
  <c r="U630" i="5"/>
  <c r="R631" i="5"/>
  <c r="S631" i="5"/>
  <c r="T631" i="5"/>
  <c r="U631" i="5"/>
  <c r="R632" i="5"/>
  <c r="S632" i="5"/>
  <c r="T632" i="5"/>
  <c r="U632" i="5"/>
  <c r="R633" i="5"/>
  <c r="S633" i="5"/>
  <c r="T633" i="5"/>
  <c r="U633" i="5"/>
  <c r="R634" i="5"/>
  <c r="S634" i="5"/>
  <c r="T634" i="5"/>
  <c r="U634" i="5"/>
  <c r="R635" i="5"/>
  <c r="S635" i="5"/>
  <c r="T635" i="5"/>
  <c r="U635" i="5"/>
  <c r="R636" i="5"/>
  <c r="S636" i="5"/>
  <c r="T636" i="5"/>
  <c r="U636" i="5"/>
  <c r="R637" i="5"/>
  <c r="S637" i="5"/>
  <c r="T637" i="5"/>
  <c r="U637" i="5"/>
  <c r="R638" i="5"/>
  <c r="S638" i="5"/>
  <c r="T638" i="5"/>
  <c r="U638" i="5"/>
  <c r="R639" i="5"/>
  <c r="S639" i="5"/>
  <c r="T639" i="5"/>
  <c r="U639" i="5"/>
  <c r="R640" i="5"/>
  <c r="S640" i="5"/>
  <c r="T640" i="5"/>
  <c r="U640" i="5"/>
  <c r="R641" i="5"/>
  <c r="S641" i="5"/>
  <c r="T641" i="5"/>
  <c r="U641" i="5"/>
  <c r="R642" i="5"/>
  <c r="S642" i="5"/>
  <c r="T642" i="5"/>
  <c r="U642" i="5"/>
  <c r="R643" i="5"/>
  <c r="S643" i="5"/>
  <c r="T643" i="5"/>
  <c r="U643" i="5"/>
  <c r="R644" i="5"/>
  <c r="S644" i="5"/>
  <c r="T644" i="5"/>
  <c r="U644" i="5"/>
  <c r="R645" i="5"/>
  <c r="S645" i="5"/>
  <c r="T645" i="5"/>
  <c r="U645" i="5"/>
  <c r="R646" i="5"/>
  <c r="S646" i="5"/>
  <c r="T646" i="5"/>
  <c r="U646" i="5"/>
  <c r="R647" i="5"/>
  <c r="S647" i="5"/>
  <c r="T647" i="5"/>
  <c r="U647" i="5"/>
  <c r="R648" i="5"/>
  <c r="S648" i="5"/>
  <c r="T648" i="5"/>
  <c r="U648" i="5"/>
  <c r="R649" i="5"/>
  <c r="S649" i="5"/>
  <c r="T649" i="5"/>
  <c r="U649" i="5"/>
  <c r="R650" i="5"/>
  <c r="S650" i="5"/>
  <c r="T650" i="5"/>
  <c r="U650" i="5"/>
  <c r="R651" i="5"/>
  <c r="S651" i="5"/>
  <c r="T651" i="5"/>
  <c r="U651" i="5"/>
  <c r="R652" i="5"/>
  <c r="S652" i="5"/>
  <c r="T652" i="5"/>
  <c r="U652" i="5"/>
  <c r="R653" i="5"/>
  <c r="S653" i="5"/>
  <c r="T653" i="5"/>
  <c r="U653" i="5"/>
  <c r="R654" i="5"/>
  <c r="S654" i="5"/>
  <c r="T654" i="5"/>
  <c r="U654" i="5"/>
  <c r="R655" i="5"/>
  <c r="S655" i="5"/>
  <c r="T655" i="5"/>
  <c r="U655" i="5"/>
  <c r="R656" i="5"/>
  <c r="S656" i="5"/>
  <c r="T656" i="5"/>
  <c r="U656" i="5"/>
  <c r="R657" i="5"/>
  <c r="S657" i="5"/>
  <c r="T657" i="5"/>
  <c r="U657" i="5"/>
  <c r="R658" i="5"/>
  <c r="S658" i="5"/>
  <c r="T658" i="5"/>
  <c r="U658" i="5"/>
  <c r="R659" i="5"/>
  <c r="S659" i="5"/>
  <c r="T659" i="5"/>
  <c r="U659" i="5"/>
  <c r="R660" i="5"/>
  <c r="S660" i="5"/>
  <c r="T660" i="5"/>
  <c r="U660" i="5"/>
  <c r="R661" i="5"/>
  <c r="S661" i="5"/>
  <c r="T661" i="5"/>
  <c r="U661" i="5"/>
  <c r="R662" i="5"/>
  <c r="S662" i="5"/>
  <c r="T662" i="5"/>
  <c r="U662" i="5"/>
  <c r="R663" i="5"/>
  <c r="S663" i="5"/>
  <c r="T663" i="5"/>
  <c r="U663" i="5"/>
  <c r="R664" i="5"/>
  <c r="S664" i="5"/>
  <c r="T664" i="5"/>
  <c r="U664" i="5"/>
  <c r="R665" i="5"/>
  <c r="S665" i="5"/>
  <c r="T665" i="5"/>
  <c r="U665" i="5"/>
  <c r="R666" i="5"/>
  <c r="S666" i="5"/>
  <c r="T666" i="5"/>
  <c r="U666" i="5"/>
  <c r="R667" i="5"/>
  <c r="S667" i="5"/>
  <c r="T667" i="5"/>
  <c r="U667" i="5"/>
  <c r="R668" i="5"/>
  <c r="S668" i="5"/>
  <c r="T668" i="5"/>
  <c r="U668" i="5"/>
  <c r="R669" i="5"/>
  <c r="S669" i="5"/>
  <c r="T669" i="5"/>
  <c r="U669" i="5"/>
  <c r="R670" i="5"/>
  <c r="S670" i="5"/>
  <c r="T670" i="5"/>
  <c r="U670" i="5"/>
  <c r="R671" i="5"/>
  <c r="S671" i="5"/>
  <c r="T671" i="5"/>
  <c r="U671" i="5"/>
  <c r="R672" i="5"/>
  <c r="S672" i="5"/>
  <c r="T672" i="5"/>
  <c r="U672" i="5"/>
  <c r="R673" i="5"/>
  <c r="S673" i="5"/>
  <c r="T673" i="5"/>
  <c r="U673" i="5"/>
  <c r="R674" i="5"/>
  <c r="S674" i="5"/>
  <c r="T674" i="5"/>
  <c r="U674" i="5"/>
  <c r="R675" i="5"/>
  <c r="S675" i="5"/>
  <c r="T675" i="5"/>
  <c r="U675" i="5"/>
  <c r="R676" i="5"/>
  <c r="S676" i="5"/>
  <c r="T676" i="5"/>
  <c r="U676" i="5"/>
  <c r="R677" i="5"/>
  <c r="S677" i="5"/>
  <c r="T677" i="5"/>
  <c r="U677" i="5"/>
  <c r="R678" i="5"/>
  <c r="S678" i="5"/>
  <c r="T678" i="5"/>
  <c r="U678" i="5"/>
  <c r="R679" i="5"/>
  <c r="S679" i="5"/>
  <c r="T679" i="5"/>
  <c r="U679" i="5"/>
  <c r="R680" i="5"/>
  <c r="S680" i="5"/>
  <c r="T680" i="5"/>
  <c r="U680" i="5"/>
  <c r="R681" i="5"/>
  <c r="S681" i="5"/>
  <c r="T681" i="5"/>
  <c r="U681" i="5"/>
  <c r="R682" i="5"/>
  <c r="S682" i="5"/>
  <c r="T682" i="5"/>
  <c r="U682" i="5"/>
  <c r="R683" i="5"/>
  <c r="S683" i="5"/>
  <c r="T683" i="5"/>
  <c r="U683" i="5"/>
  <c r="R684" i="5"/>
  <c r="S684" i="5"/>
  <c r="T684" i="5"/>
  <c r="U684" i="5"/>
  <c r="R685" i="5"/>
  <c r="S685" i="5"/>
  <c r="T685" i="5"/>
  <c r="U685" i="5"/>
  <c r="R686" i="5"/>
  <c r="S686" i="5"/>
  <c r="T686" i="5"/>
  <c r="U686" i="5"/>
  <c r="R687" i="5"/>
  <c r="S687" i="5"/>
  <c r="T687" i="5"/>
  <c r="U687" i="5"/>
  <c r="R688" i="5"/>
  <c r="S688" i="5"/>
  <c r="T688" i="5"/>
  <c r="U688" i="5"/>
  <c r="R689" i="5"/>
  <c r="S689" i="5"/>
  <c r="T689" i="5"/>
  <c r="U689" i="5"/>
  <c r="R690" i="5"/>
  <c r="S690" i="5"/>
  <c r="T690" i="5"/>
  <c r="U690" i="5"/>
  <c r="R691" i="5"/>
  <c r="S691" i="5"/>
  <c r="T691" i="5"/>
  <c r="U691" i="5"/>
  <c r="R692" i="5"/>
  <c r="S692" i="5"/>
  <c r="T692" i="5"/>
  <c r="U692" i="5"/>
  <c r="R693" i="5"/>
  <c r="S693" i="5"/>
  <c r="T693" i="5"/>
  <c r="U693" i="5"/>
  <c r="R694" i="5"/>
  <c r="S694" i="5"/>
  <c r="T694" i="5"/>
  <c r="U694" i="5"/>
  <c r="R695" i="5"/>
  <c r="S695" i="5"/>
  <c r="T695" i="5"/>
  <c r="U695" i="5"/>
  <c r="R696" i="5"/>
  <c r="S696" i="5"/>
  <c r="T696" i="5"/>
  <c r="U696" i="5"/>
  <c r="R697" i="5"/>
  <c r="S697" i="5"/>
  <c r="T697" i="5"/>
  <c r="U697" i="5"/>
  <c r="R698" i="5"/>
  <c r="S698" i="5"/>
  <c r="T698" i="5"/>
  <c r="U698" i="5"/>
  <c r="R699" i="5"/>
  <c r="S699" i="5"/>
  <c r="T699" i="5"/>
  <c r="U699" i="5"/>
  <c r="R700" i="5"/>
  <c r="S700" i="5"/>
  <c r="T700" i="5"/>
  <c r="U700" i="5"/>
  <c r="R701" i="5"/>
  <c r="S701" i="5"/>
  <c r="T701" i="5"/>
  <c r="U701" i="5"/>
  <c r="R702" i="5"/>
  <c r="S702" i="5"/>
  <c r="T702" i="5"/>
  <c r="U702" i="5"/>
  <c r="R703" i="5"/>
  <c r="S703" i="5"/>
  <c r="T703" i="5"/>
  <c r="U703" i="5"/>
  <c r="R704" i="5"/>
  <c r="S704" i="5"/>
  <c r="T704" i="5"/>
  <c r="U704" i="5"/>
  <c r="R705" i="5"/>
  <c r="S705" i="5"/>
  <c r="T705" i="5"/>
  <c r="U705" i="5"/>
  <c r="R706" i="5"/>
  <c r="S706" i="5"/>
  <c r="T706" i="5"/>
  <c r="U706" i="5"/>
  <c r="R707" i="5"/>
  <c r="S707" i="5"/>
  <c r="T707" i="5"/>
  <c r="U707" i="5"/>
  <c r="R708" i="5"/>
  <c r="S708" i="5"/>
  <c r="T708" i="5"/>
  <c r="U708" i="5"/>
  <c r="R709" i="5"/>
  <c r="S709" i="5"/>
  <c r="T709" i="5"/>
  <c r="U709" i="5"/>
  <c r="R710" i="5"/>
  <c r="S710" i="5"/>
  <c r="T710" i="5"/>
  <c r="U710" i="5"/>
  <c r="R711" i="5"/>
  <c r="S711" i="5"/>
  <c r="T711" i="5"/>
  <c r="U711" i="5"/>
  <c r="R712" i="5"/>
  <c r="S712" i="5"/>
  <c r="T712" i="5"/>
  <c r="U712" i="5"/>
  <c r="R713" i="5"/>
  <c r="S713" i="5"/>
  <c r="T713" i="5"/>
  <c r="U713" i="5"/>
  <c r="R714" i="5"/>
  <c r="S714" i="5"/>
  <c r="T714" i="5"/>
  <c r="U714" i="5"/>
  <c r="R715" i="5"/>
  <c r="S715" i="5"/>
  <c r="T715" i="5"/>
  <c r="U715" i="5"/>
  <c r="R716" i="5"/>
  <c r="S716" i="5"/>
  <c r="T716" i="5"/>
  <c r="U716" i="5"/>
  <c r="R717" i="5"/>
  <c r="S717" i="5"/>
  <c r="T717" i="5"/>
  <c r="U717" i="5"/>
  <c r="R718" i="5"/>
  <c r="S718" i="5"/>
  <c r="T718" i="5"/>
  <c r="U718" i="5"/>
  <c r="R719" i="5"/>
  <c r="S719" i="5"/>
  <c r="T719" i="5"/>
  <c r="U719" i="5"/>
  <c r="R720" i="5"/>
  <c r="S720" i="5"/>
  <c r="T720" i="5"/>
  <c r="U720" i="5"/>
  <c r="R721" i="5"/>
  <c r="S721" i="5"/>
  <c r="T721" i="5"/>
  <c r="U721" i="5"/>
  <c r="R722" i="5"/>
  <c r="S722" i="5"/>
  <c r="T722" i="5"/>
  <c r="U722" i="5"/>
  <c r="R723" i="5"/>
  <c r="S723" i="5"/>
  <c r="T723" i="5"/>
  <c r="U723" i="5"/>
  <c r="R724" i="5"/>
  <c r="S724" i="5"/>
  <c r="T724" i="5"/>
  <c r="U724" i="5"/>
  <c r="R725" i="5"/>
  <c r="S725" i="5"/>
  <c r="T725" i="5"/>
  <c r="U725" i="5"/>
  <c r="R726" i="5"/>
  <c r="S726" i="5"/>
  <c r="T726" i="5"/>
  <c r="U726" i="5"/>
  <c r="R727" i="5"/>
  <c r="S727" i="5"/>
  <c r="T727" i="5"/>
  <c r="U727" i="5"/>
  <c r="R728" i="5"/>
  <c r="S728" i="5"/>
  <c r="T728" i="5"/>
  <c r="U728" i="5"/>
  <c r="R729" i="5"/>
  <c r="S729" i="5"/>
  <c r="T729" i="5"/>
  <c r="U729" i="5"/>
  <c r="R730" i="5"/>
  <c r="S730" i="5"/>
  <c r="T730" i="5"/>
  <c r="U730" i="5"/>
  <c r="R731" i="5"/>
  <c r="S731" i="5"/>
  <c r="T731" i="5"/>
  <c r="U731" i="5"/>
  <c r="R732" i="5"/>
  <c r="S732" i="5"/>
  <c r="T732" i="5"/>
  <c r="U732" i="5"/>
  <c r="R733" i="5"/>
  <c r="S733" i="5"/>
  <c r="T733" i="5"/>
  <c r="U733" i="5"/>
  <c r="R734" i="5"/>
  <c r="S734" i="5"/>
  <c r="T734" i="5"/>
  <c r="U734" i="5"/>
  <c r="R735" i="5"/>
  <c r="S735" i="5"/>
  <c r="T735" i="5"/>
  <c r="U735" i="5"/>
  <c r="R736" i="5"/>
  <c r="S736" i="5"/>
  <c r="T736" i="5"/>
  <c r="U736" i="5"/>
  <c r="R737" i="5"/>
  <c r="S737" i="5"/>
  <c r="T737" i="5"/>
  <c r="U737" i="5"/>
  <c r="R738" i="5"/>
  <c r="S738" i="5"/>
  <c r="T738" i="5"/>
  <c r="U738" i="5"/>
  <c r="R739" i="5"/>
  <c r="S739" i="5"/>
  <c r="T739" i="5"/>
  <c r="U739" i="5"/>
  <c r="R740" i="5"/>
  <c r="S740" i="5"/>
  <c r="T740" i="5"/>
  <c r="U740" i="5"/>
  <c r="R741" i="5"/>
  <c r="S741" i="5"/>
  <c r="T741" i="5"/>
  <c r="U741" i="5"/>
  <c r="R742" i="5"/>
  <c r="S742" i="5"/>
  <c r="T742" i="5"/>
  <c r="U742" i="5"/>
  <c r="R743" i="5"/>
  <c r="S743" i="5"/>
  <c r="T743" i="5"/>
  <c r="U743" i="5"/>
  <c r="R744" i="5"/>
  <c r="S744" i="5"/>
  <c r="T744" i="5"/>
  <c r="U744" i="5"/>
  <c r="R745" i="5"/>
  <c r="S745" i="5"/>
  <c r="T745" i="5"/>
  <c r="U745" i="5"/>
  <c r="R746" i="5"/>
  <c r="S746" i="5"/>
  <c r="T746" i="5"/>
  <c r="U746" i="5"/>
  <c r="R747" i="5"/>
  <c r="S747" i="5"/>
  <c r="T747" i="5"/>
  <c r="U747" i="5"/>
  <c r="R748" i="5"/>
  <c r="S748" i="5"/>
  <c r="T748" i="5"/>
  <c r="U748" i="5"/>
  <c r="R749" i="5"/>
  <c r="S749" i="5"/>
  <c r="T749" i="5"/>
  <c r="U749" i="5"/>
  <c r="R750" i="5"/>
  <c r="S750" i="5"/>
  <c r="T750" i="5"/>
  <c r="U750" i="5"/>
  <c r="R751" i="5"/>
  <c r="S751" i="5"/>
  <c r="T751" i="5"/>
  <c r="U751" i="5"/>
  <c r="R752" i="5"/>
  <c r="S752" i="5"/>
  <c r="T752" i="5"/>
  <c r="U752" i="5"/>
  <c r="R753" i="5"/>
  <c r="S753" i="5"/>
  <c r="T753" i="5"/>
  <c r="U753" i="5"/>
  <c r="R754" i="5"/>
  <c r="S754" i="5"/>
  <c r="T754" i="5"/>
  <c r="U754" i="5"/>
  <c r="R755" i="5"/>
  <c r="S755" i="5"/>
  <c r="T755" i="5"/>
  <c r="U755" i="5"/>
  <c r="R756" i="5"/>
  <c r="S756" i="5"/>
  <c r="T756" i="5"/>
  <c r="U756" i="5"/>
  <c r="R757" i="5"/>
  <c r="S757" i="5"/>
  <c r="T757" i="5"/>
  <c r="U757" i="5"/>
  <c r="R758" i="5"/>
  <c r="S758" i="5"/>
  <c r="T758" i="5"/>
  <c r="U758" i="5"/>
  <c r="R759" i="5"/>
  <c r="S759" i="5"/>
  <c r="T759" i="5"/>
  <c r="U759" i="5"/>
  <c r="R760" i="5"/>
  <c r="S760" i="5"/>
  <c r="T760" i="5"/>
  <c r="U760" i="5"/>
  <c r="R761" i="5"/>
  <c r="S761" i="5"/>
  <c r="T761" i="5"/>
  <c r="U761" i="5"/>
  <c r="R762" i="5"/>
  <c r="S762" i="5"/>
  <c r="T762" i="5"/>
  <c r="U762" i="5"/>
  <c r="R763" i="5"/>
  <c r="S763" i="5"/>
  <c r="T763" i="5"/>
  <c r="U763" i="5"/>
  <c r="R764" i="5"/>
  <c r="S764" i="5"/>
  <c r="T764" i="5"/>
  <c r="U764" i="5"/>
  <c r="R765" i="5"/>
  <c r="S765" i="5"/>
  <c r="T765" i="5"/>
  <c r="U765" i="5"/>
  <c r="R766" i="5"/>
  <c r="S766" i="5"/>
  <c r="T766" i="5"/>
  <c r="U766" i="5"/>
  <c r="R767" i="5"/>
  <c r="S767" i="5"/>
  <c r="T767" i="5"/>
  <c r="U767" i="5"/>
  <c r="R768" i="5"/>
  <c r="S768" i="5"/>
  <c r="T768" i="5"/>
  <c r="U768" i="5"/>
  <c r="R769" i="5"/>
  <c r="S769" i="5"/>
  <c r="T769" i="5"/>
  <c r="U769" i="5"/>
  <c r="R770" i="5"/>
  <c r="S770" i="5"/>
  <c r="T770" i="5"/>
  <c r="U770" i="5"/>
  <c r="R771" i="5"/>
  <c r="S771" i="5"/>
  <c r="T771" i="5"/>
  <c r="U771" i="5"/>
  <c r="R772" i="5"/>
  <c r="S772" i="5"/>
  <c r="T772" i="5"/>
  <c r="U772" i="5"/>
  <c r="R773" i="5"/>
  <c r="S773" i="5"/>
  <c r="T773" i="5"/>
  <c r="U773" i="5"/>
  <c r="R774" i="5"/>
  <c r="S774" i="5"/>
  <c r="T774" i="5"/>
  <c r="U774" i="5"/>
  <c r="R775" i="5"/>
  <c r="S775" i="5"/>
  <c r="T775" i="5"/>
  <c r="U775" i="5"/>
  <c r="R776" i="5"/>
  <c r="S776" i="5"/>
  <c r="T776" i="5"/>
  <c r="U776" i="5"/>
  <c r="R777" i="5"/>
  <c r="S777" i="5"/>
  <c r="T777" i="5"/>
  <c r="U777" i="5"/>
  <c r="R778" i="5"/>
  <c r="S778" i="5"/>
  <c r="T778" i="5"/>
  <c r="U778" i="5"/>
  <c r="R779" i="5"/>
  <c r="S779" i="5"/>
  <c r="T779" i="5"/>
  <c r="U779" i="5"/>
  <c r="R780" i="5"/>
  <c r="S780" i="5"/>
  <c r="T780" i="5"/>
  <c r="U780" i="5"/>
  <c r="R781" i="5"/>
  <c r="S781" i="5"/>
  <c r="T781" i="5"/>
  <c r="U781" i="5"/>
  <c r="R782" i="5"/>
  <c r="S782" i="5"/>
  <c r="T782" i="5"/>
  <c r="U782" i="5"/>
  <c r="R783" i="5"/>
  <c r="S783" i="5"/>
  <c r="T783" i="5"/>
  <c r="U783" i="5"/>
  <c r="R784" i="5"/>
  <c r="S784" i="5"/>
  <c r="T784" i="5"/>
  <c r="U784" i="5"/>
  <c r="R785" i="5"/>
  <c r="S785" i="5"/>
  <c r="T785" i="5"/>
  <c r="U785" i="5"/>
  <c r="R786" i="5"/>
  <c r="S786" i="5"/>
  <c r="T786" i="5"/>
  <c r="U786" i="5"/>
  <c r="R787" i="5"/>
  <c r="S787" i="5"/>
  <c r="T787" i="5"/>
  <c r="U787" i="5"/>
  <c r="R788" i="5"/>
  <c r="S788" i="5"/>
  <c r="T788" i="5"/>
  <c r="U788" i="5"/>
  <c r="R789" i="5"/>
  <c r="S789" i="5"/>
  <c r="T789" i="5"/>
  <c r="U789" i="5"/>
  <c r="R790" i="5"/>
  <c r="S790" i="5"/>
  <c r="T790" i="5"/>
  <c r="U790" i="5"/>
  <c r="R791" i="5"/>
  <c r="S791" i="5"/>
  <c r="T791" i="5"/>
  <c r="U791" i="5"/>
  <c r="R792" i="5"/>
  <c r="S792" i="5"/>
  <c r="T792" i="5"/>
  <c r="U792" i="5"/>
  <c r="R793" i="5"/>
  <c r="S793" i="5"/>
  <c r="T793" i="5"/>
  <c r="U793" i="5"/>
  <c r="R794" i="5"/>
  <c r="S794" i="5"/>
  <c r="T794" i="5"/>
  <c r="U794" i="5"/>
  <c r="R795" i="5"/>
  <c r="S795" i="5"/>
  <c r="T795" i="5"/>
  <c r="U795" i="5"/>
  <c r="R796" i="5"/>
  <c r="S796" i="5"/>
  <c r="T796" i="5"/>
  <c r="U796" i="5"/>
  <c r="R797" i="5"/>
  <c r="S797" i="5"/>
  <c r="T797" i="5"/>
  <c r="U797" i="5"/>
  <c r="R798" i="5"/>
  <c r="S798" i="5"/>
  <c r="T798" i="5"/>
  <c r="U798" i="5"/>
  <c r="R799" i="5"/>
  <c r="S799" i="5"/>
  <c r="T799" i="5"/>
  <c r="U799" i="5"/>
  <c r="R800" i="5"/>
  <c r="S800" i="5"/>
  <c r="T800" i="5"/>
  <c r="U800" i="5"/>
  <c r="R801" i="5"/>
  <c r="S801" i="5"/>
  <c r="T801" i="5"/>
  <c r="U801" i="5"/>
  <c r="R802" i="5"/>
  <c r="S802" i="5"/>
  <c r="T802" i="5"/>
  <c r="U802" i="5"/>
  <c r="R803" i="5"/>
  <c r="S803" i="5"/>
  <c r="T803" i="5"/>
  <c r="U803" i="5"/>
  <c r="R804" i="5"/>
  <c r="S804" i="5"/>
  <c r="T804" i="5"/>
  <c r="U804" i="5"/>
  <c r="R805" i="5"/>
  <c r="S805" i="5"/>
  <c r="T805" i="5"/>
  <c r="U805" i="5"/>
  <c r="R806" i="5"/>
  <c r="S806" i="5"/>
  <c r="T806" i="5"/>
  <c r="U806" i="5"/>
  <c r="R807" i="5"/>
  <c r="S807" i="5"/>
  <c r="T807" i="5"/>
  <c r="U807" i="5"/>
  <c r="R808" i="5"/>
  <c r="S808" i="5"/>
  <c r="T808" i="5"/>
  <c r="U808" i="5"/>
  <c r="R809" i="5"/>
  <c r="S809" i="5"/>
  <c r="T809" i="5"/>
  <c r="U809" i="5"/>
  <c r="R810" i="5"/>
  <c r="S810" i="5"/>
  <c r="T810" i="5"/>
  <c r="U810" i="5"/>
  <c r="R811" i="5"/>
  <c r="S811" i="5"/>
  <c r="T811" i="5"/>
  <c r="U811" i="5"/>
  <c r="R812" i="5"/>
  <c r="S812" i="5"/>
  <c r="T812" i="5"/>
  <c r="U812" i="5"/>
  <c r="R813" i="5"/>
  <c r="S813" i="5"/>
  <c r="T813" i="5"/>
  <c r="U813" i="5"/>
  <c r="R814" i="5"/>
  <c r="S814" i="5"/>
  <c r="T814" i="5"/>
  <c r="U814" i="5"/>
  <c r="R815" i="5"/>
  <c r="S815" i="5"/>
  <c r="T815" i="5"/>
  <c r="U815" i="5"/>
  <c r="R816" i="5"/>
  <c r="S816" i="5"/>
  <c r="T816" i="5"/>
  <c r="U816" i="5"/>
  <c r="R817" i="5"/>
  <c r="S817" i="5"/>
  <c r="T817" i="5"/>
  <c r="U817" i="5"/>
  <c r="R818" i="5"/>
  <c r="S818" i="5"/>
  <c r="T818" i="5"/>
  <c r="U818" i="5"/>
  <c r="R819" i="5"/>
  <c r="S819" i="5"/>
  <c r="T819" i="5"/>
  <c r="U819" i="5"/>
  <c r="R820" i="5"/>
  <c r="S820" i="5"/>
  <c r="T820" i="5"/>
  <c r="U820" i="5"/>
  <c r="R821" i="5"/>
  <c r="S821" i="5"/>
  <c r="T821" i="5"/>
  <c r="U821" i="5"/>
  <c r="R822" i="5"/>
  <c r="S822" i="5"/>
  <c r="T822" i="5"/>
  <c r="U822" i="5"/>
  <c r="R823" i="5"/>
  <c r="S823" i="5"/>
  <c r="T823" i="5"/>
  <c r="U823" i="5"/>
  <c r="R824" i="5"/>
  <c r="S824" i="5"/>
  <c r="T824" i="5"/>
  <c r="U824" i="5"/>
  <c r="R825" i="5"/>
  <c r="S825" i="5"/>
  <c r="T825" i="5"/>
  <c r="U825" i="5"/>
  <c r="R826" i="5"/>
  <c r="S826" i="5"/>
  <c r="T826" i="5"/>
  <c r="U826" i="5"/>
  <c r="R827" i="5"/>
  <c r="S827" i="5"/>
  <c r="T827" i="5"/>
  <c r="U827" i="5"/>
  <c r="R828" i="5"/>
  <c r="S828" i="5"/>
  <c r="T828" i="5"/>
  <c r="U828" i="5"/>
  <c r="R829" i="5"/>
  <c r="S829" i="5"/>
  <c r="T829" i="5"/>
  <c r="U829" i="5"/>
  <c r="R830" i="5"/>
  <c r="S830" i="5"/>
  <c r="T830" i="5"/>
  <c r="U830" i="5"/>
  <c r="R831" i="5"/>
  <c r="S831" i="5"/>
  <c r="T831" i="5"/>
  <c r="U831" i="5"/>
  <c r="R832" i="5"/>
  <c r="S832" i="5"/>
  <c r="T832" i="5"/>
  <c r="U832" i="5"/>
  <c r="R833" i="5"/>
  <c r="S833" i="5"/>
  <c r="T833" i="5"/>
  <c r="U833" i="5"/>
  <c r="R834" i="5"/>
  <c r="S834" i="5"/>
  <c r="T834" i="5"/>
  <c r="U834" i="5"/>
  <c r="R835" i="5"/>
  <c r="S835" i="5"/>
  <c r="T835" i="5"/>
  <c r="U835" i="5"/>
  <c r="R836" i="5"/>
  <c r="S836" i="5"/>
  <c r="T836" i="5"/>
  <c r="U836" i="5"/>
  <c r="R837" i="5"/>
  <c r="S837" i="5"/>
  <c r="T837" i="5"/>
  <c r="U837" i="5"/>
  <c r="R838" i="5"/>
  <c r="S838" i="5"/>
  <c r="T838" i="5"/>
  <c r="U838" i="5"/>
  <c r="R839" i="5"/>
  <c r="S839" i="5"/>
  <c r="T839" i="5"/>
  <c r="U839" i="5"/>
  <c r="R840" i="5"/>
  <c r="S840" i="5"/>
  <c r="T840" i="5"/>
  <c r="U840" i="5"/>
  <c r="R841" i="5"/>
  <c r="S841" i="5"/>
  <c r="T841" i="5"/>
  <c r="U841" i="5"/>
  <c r="R842" i="5"/>
  <c r="S842" i="5"/>
  <c r="T842" i="5"/>
  <c r="U842" i="5"/>
  <c r="R843" i="5"/>
  <c r="S843" i="5"/>
  <c r="T843" i="5"/>
  <c r="U843" i="5"/>
  <c r="R844" i="5"/>
  <c r="S844" i="5"/>
  <c r="T844" i="5"/>
  <c r="U844" i="5"/>
  <c r="R845" i="5"/>
  <c r="S845" i="5"/>
  <c r="T845" i="5"/>
  <c r="U845" i="5"/>
  <c r="R846" i="5"/>
  <c r="S846" i="5"/>
  <c r="T846" i="5"/>
  <c r="U846" i="5"/>
  <c r="R847" i="5"/>
  <c r="S847" i="5"/>
  <c r="T847" i="5"/>
  <c r="U847" i="5"/>
  <c r="R848" i="5"/>
  <c r="S848" i="5"/>
  <c r="T848" i="5"/>
  <c r="U848" i="5"/>
  <c r="R849" i="5"/>
  <c r="S849" i="5"/>
  <c r="T849" i="5"/>
  <c r="U849" i="5"/>
  <c r="R850" i="5"/>
  <c r="S850" i="5"/>
  <c r="T850" i="5"/>
  <c r="U850" i="5"/>
  <c r="R851" i="5"/>
  <c r="S851" i="5"/>
  <c r="T851" i="5"/>
  <c r="U851" i="5"/>
  <c r="R852" i="5"/>
  <c r="S852" i="5"/>
  <c r="T852" i="5"/>
  <c r="U852" i="5"/>
  <c r="R853" i="5"/>
  <c r="S853" i="5"/>
  <c r="T853" i="5"/>
  <c r="U853" i="5"/>
  <c r="R854" i="5"/>
  <c r="S854" i="5"/>
  <c r="T854" i="5"/>
  <c r="U854" i="5"/>
  <c r="R855" i="5"/>
  <c r="S855" i="5"/>
  <c r="T855" i="5"/>
  <c r="U855" i="5"/>
  <c r="R856" i="5"/>
  <c r="S856" i="5"/>
  <c r="T856" i="5"/>
  <c r="U856" i="5"/>
  <c r="R857" i="5"/>
  <c r="S857" i="5"/>
  <c r="T857" i="5"/>
  <c r="U857" i="5"/>
  <c r="R858" i="5"/>
  <c r="S858" i="5"/>
  <c r="T858" i="5"/>
  <c r="U858" i="5"/>
  <c r="R859" i="5"/>
  <c r="S859" i="5"/>
  <c r="T859" i="5"/>
  <c r="U859" i="5"/>
  <c r="R860" i="5"/>
  <c r="S860" i="5"/>
  <c r="T860" i="5"/>
  <c r="U860" i="5"/>
  <c r="R861" i="5"/>
  <c r="S861" i="5"/>
  <c r="T861" i="5"/>
  <c r="U861" i="5"/>
  <c r="R862" i="5"/>
  <c r="S862" i="5"/>
  <c r="T862" i="5"/>
  <c r="U862" i="5"/>
  <c r="R863" i="5"/>
  <c r="S863" i="5"/>
  <c r="T863" i="5"/>
  <c r="U863" i="5"/>
  <c r="R864" i="5"/>
  <c r="S864" i="5"/>
  <c r="T864" i="5"/>
  <c r="U864" i="5"/>
  <c r="R865" i="5"/>
  <c r="S865" i="5"/>
  <c r="T865" i="5"/>
  <c r="U865" i="5"/>
  <c r="R866" i="5"/>
  <c r="S866" i="5"/>
  <c r="T866" i="5"/>
  <c r="U866" i="5"/>
  <c r="R867" i="5"/>
  <c r="S867" i="5"/>
  <c r="T867" i="5"/>
  <c r="U867" i="5"/>
  <c r="R868" i="5"/>
  <c r="S868" i="5"/>
  <c r="T868" i="5"/>
  <c r="U868" i="5"/>
  <c r="R869" i="5"/>
  <c r="S869" i="5"/>
  <c r="T869" i="5"/>
  <c r="U869" i="5"/>
  <c r="R870" i="5"/>
  <c r="S870" i="5"/>
  <c r="T870" i="5"/>
  <c r="U870" i="5"/>
  <c r="R871" i="5"/>
  <c r="S871" i="5"/>
  <c r="T871" i="5"/>
  <c r="U871" i="5"/>
  <c r="R872" i="5"/>
  <c r="S872" i="5"/>
  <c r="T872" i="5"/>
  <c r="U872" i="5"/>
  <c r="R873" i="5"/>
  <c r="S873" i="5"/>
  <c r="T873" i="5"/>
  <c r="U873" i="5"/>
  <c r="R874" i="5"/>
  <c r="S874" i="5"/>
  <c r="T874" i="5"/>
  <c r="U874" i="5"/>
  <c r="R875" i="5"/>
  <c r="S875" i="5"/>
  <c r="T875" i="5"/>
  <c r="U875" i="5"/>
  <c r="R876" i="5"/>
  <c r="S876" i="5"/>
  <c r="T876" i="5"/>
  <c r="U876" i="5"/>
  <c r="R877" i="5"/>
  <c r="S877" i="5"/>
  <c r="T877" i="5"/>
  <c r="U877" i="5"/>
  <c r="R878" i="5"/>
  <c r="S878" i="5"/>
  <c r="T878" i="5"/>
  <c r="U878" i="5"/>
  <c r="R879" i="5"/>
  <c r="S879" i="5"/>
  <c r="T879" i="5"/>
  <c r="U879" i="5"/>
  <c r="R880" i="5"/>
  <c r="S880" i="5"/>
  <c r="T880" i="5"/>
  <c r="U880" i="5"/>
  <c r="R881" i="5"/>
  <c r="S881" i="5"/>
  <c r="T881" i="5"/>
  <c r="U881" i="5"/>
  <c r="R882" i="5"/>
  <c r="S882" i="5"/>
  <c r="T882" i="5"/>
  <c r="U882" i="5"/>
  <c r="R883" i="5"/>
  <c r="S883" i="5"/>
  <c r="T883" i="5"/>
  <c r="U883" i="5"/>
  <c r="R884" i="5"/>
  <c r="S884" i="5"/>
  <c r="T884" i="5"/>
  <c r="U884" i="5"/>
  <c r="R885" i="5"/>
  <c r="S885" i="5"/>
  <c r="T885" i="5"/>
  <c r="U885" i="5"/>
  <c r="R886" i="5"/>
  <c r="S886" i="5"/>
  <c r="T886" i="5"/>
  <c r="U886" i="5"/>
  <c r="R887" i="5"/>
  <c r="S887" i="5"/>
  <c r="T887" i="5"/>
  <c r="U887" i="5"/>
  <c r="R888" i="5"/>
  <c r="S888" i="5"/>
  <c r="T888" i="5"/>
  <c r="U888" i="5"/>
  <c r="R889" i="5"/>
  <c r="S889" i="5"/>
  <c r="T889" i="5"/>
  <c r="U889" i="5"/>
  <c r="R890" i="5"/>
  <c r="S890" i="5"/>
  <c r="T890" i="5"/>
  <c r="U890" i="5"/>
  <c r="R891" i="5"/>
  <c r="S891" i="5"/>
  <c r="T891" i="5"/>
  <c r="U891" i="5"/>
  <c r="R892" i="5"/>
  <c r="S892" i="5"/>
  <c r="T892" i="5"/>
  <c r="U892" i="5"/>
  <c r="R893" i="5"/>
  <c r="S893" i="5"/>
  <c r="T893" i="5"/>
  <c r="U893" i="5"/>
  <c r="R894" i="5"/>
  <c r="S894" i="5"/>
  <c r="T894" i="5"/>
  <c r="U894" i="5"/>
  <c r="R895" i="5"/>
  <c r="S895" i="5"/>
  <c r="T895" i="5"/>
  <c r="U895" i="5"/>
  <c r="R896" i="5"/>
  <c r="S896" i="5"/>
  <c r="T896" i="5"/>
  <c r="U896" i="5"/>
  <c r="R897" i="5"/>
  <c r="S897" i="5"/>
  <c r="T897" i="5"/>
  <c r="U897" i="5"/>
  <c r="R898" i="5"/>
  <c r="S898" i="5"/>
  <c r="T898" i="5"/>
  <c r="U898" i="5"/>
  <c r="R899" i="5"/>
  <c r="S899" i="5"/>
  <c r="T899" i="5"/>
  <c r="U899" i="5"/>
  <c r="R900" i="5"/>
  <c r="S900" i="5"/>
  <c r="T900" i="5"/>
  <c r="U900" i="5"/>
  <c r="R901" i="5"/>
  <c r="S901" i="5"/>
  <c r="T901" i="5"/>
  <c r="U901" i="5"/>
  <c r="R902" i="5"/>
  <c r="S902" i="5"/>
  <c r="T902" i="5"/>
  <c r="U902" i="5"/>
  <c r="R903" i="5"/>
  <c r="S903" i="5"/>
  <c r="T903" i="5"/>
  <c r="U903" i="5"/>
  <c r="R904" i="5"/>
  <c r="S904" i="5"/>
  <c r="T904" i="5"/>
  <c r="U904" i="5"/>
  <c r="R905" i="5"/>
  <c r="S905" i="5"/>
  <c r="T905" i="5"/>
  <c r="U905" i="5"/>
  <c r="R906" i="5"/>
  <c r="S906" i="5"/>
  <c r="T906" i="5"/>
  <c r="U906" i="5"/>
  <c r="R907" i="5"/>
  <c r="S907" i="5"/>
  <c r="T907" i="5"/>
  <c r="U907" i="5"/>
  <c r="R908" i="5"/>
  <c r="S908" i="5"/>
  <c r="T908" i="5"/>
  <c r="U908" i="5"/>
  <c r="R909" i="5"/>
  <c r="S909" i="5"/>
  <c r="T909" i="5"/>
  <c r="U909" i="5"/>
  <c r="R910" i="5"/>
  <c r="S910" i="5"/>
  <c r="T910" i="5"/>
  <c r="U910" i="5"/>
  <c r="R911" i="5"/>
  <c r="S911" i="5"/>
  <c r="T911" i="5"/>
  <c r="U911" i="5"/>
  <c r="R912" i="5"/>
  <c r="S912" i="5"/>
  <c r="T912" i="5"/>
  <c r="U912" i="5"/>
  <c r="R913" i="5"/>
  <c r="S913" i="5"/>
  <c r="T913" i="5"/>
  <c r="U913" i="5"/>
  <c r="R914" i="5"/>
  <c r="S914" i="5"/>
  <c r="T914" i="5"/>
  <c r="U914" i="5"/>
  <c r="R915" i="5"/>
  <c r="S915" i="5"/>
  <c r="T915" i="5"/>
  <c r="U915" i="5"/>
  <c r="R916" i="5"/>
  <c r="S916" i="5"/>
  <c r="T916" i="5"/>
  <c r="U916" i="5"/>
  <c r="R917" i="5"/>
  <c r="S917" i="5"/>
  <c r="T917" i="5"/>
  <c r="U917" i="5"/>
  <c r="R918" i="5"/>
  <c r="S918" i="5"/>
  <c r="T918" i="5"/>
  <c r="U918" i="5"/>
  <c r="R919" i="5"/>
  <c r="S919" i="5"/>
  <c r="T919" i="5"/>
  <c r="U919" i="5"/>
  <c r="R920" i="5"/>
  <c r="S920" i="5"/>
  <c r="T920" i="5"/>
  <c r="U920" i="5"/>
  <c r="R921" i="5"/>
  <c r="S921" i="5"/>
  <c r="T921" i="5"/>
  <c r="U921" i="5"/>
  <c r="R922" i="5"/>
  <c r="S922" i="5"/>
  <c r="T922" i="5"/>
  <c r="U922" i="5"/>
  <c r="R923" i="5"/>
  <c r="S923" i="5"/>
  <c r="T923" i="5"/>
  <c r="U923" i="5"/>
  <c r="R924" i="5"/>
  <c r="S924" i="5"/>
  <c r="T924" i="5"/>
  <c r="U924" i="5"/>
  <c r="R925" i="5"/>
  <c r="S925" i="5"/>
  <c r="T925" i="5"/>
  <c r="U925" i="5"/>
  <c r="R926" i="5"/>
  <c r="S926" i="5"/>
  <c r="T926" i="5"/>
  <c r="U926" i="5"/>
  <c r="R927" i="5"/>
  <c r="S927" i="5"/>
  <c r="T927" i="5"/>
  <c r="U927" i="5"/>
  <c r="R928" i="5"/>
  <c r="S928" i="5"/>
  <c r="T928" i="5"/>
  <c r="U928" i="5"/>
  <c r="R929" i="5"/>
  <c r="S929" i="5"/>
  <c r="T929" i="5"/>
  <c r="U929" i="5"/>
  <c r="R930" i="5"/>
  <c r="S930" i="5"/>
  <c r="T930" i="5"/>
  <c r="U930" i="5"/>
  <c r="R931" i="5"/>
  <c r="S931" i="5"/>
  <c r="T931" i="5"/>
  <c r="U931" i="5"/>
  <c r="R932" i="5"/>
  <c r="S932" i="5"/>
  <c r="T932" i="5"/>
  <c r="U932" i="5"/>
  <c r="R933" i="5"/>
  <c r="S933" i="5"/>
  <c r="T933" i="5"/>
  <c r="U933" i="5"/>
  <c r="R934" i="5"/>
  <c r="S934" i="5"/>
  <c r="T934" i="5"/>
  <c r="U934" i="5"/>
  <c r="R935" i="5"/>
  <c r="S935" i="5"/>
  <c r="T935" i="5"/>
  <c r="U935" i="5"/>
  <c r="R936" i="5"/>
  <c r="S936" i="5"/>
  <c r="T936" i="5"/>
  <c r="U936" i="5"/>
  <c r="R937" i="5"/>
  <c r="S937" i="5"/>
  <c r="T937" i="5"/>
  <c r="U937" i="5"/>
  <c r="R938" i="5"/>
  <c r="S938" i="5"/>
  <c r="T938" i="5"/>
  <c r="U938" i="5"/>
  <c r="R939" i="5"/>
  <c r="S939" i="5"/>
  <c r="T939" i="5"/>
  <c r="U939" i="5"/>
  <c r="R940" i="5"/>
  <c r="S940" i="5"/>
  <c r="T940" i="5"/>
  <c r="U940" i="5"/>
  <c r="R941" i="5"/>
  <c r="S941" i="5"/>
  <c r="T941" i="5"/>
  <c r="U941" i="5"/>
  <c r="R942" i="5"/>
  <c r="S942" i="5"/>
  <c r="T942" i="5"/>
  <c r="U942" i="5"/>
  <c r="R943" i="5"/>
  <c r="S943" i="5"/>
  <c r="T943" i="5"/>
  <c r="U943" i="5"/>
  <c r="R944" i="5"/>
  <c r="S944" i="5"/>
  <c r="T944" i="5"/>
  <c r="U944" i="5"/>
  <c r="R945" i="5"/>
  <c r="S945" i="5"/>
  <c r="T945" i="5"/>
  <c r="U945" i="5"/>
  <c r="R946" i="5"/>
  <c r="S946" i="5"/>
  <c r="T946" i="5"/>
  <c r="U946" i="5"/>
  <c r="R947" i="5"/>
  <c r="S947" i="5"/>
  <c r="T947" i="5"/>
  <c r="U947" i="5"/>
  <c r="R948" i="5"/>
  <c r="S948" i="5"/>
  <c r="T948" i="5"/>
  <c r="U948" i="5"/>
  <c r="R949" i="5"/>
  <c r="S949" i="5"/>
  <c r="T949" i="5"/>
  <c r="U949" i="5"/>
  <c r="R950" i="5"/>
  <c r="S950" i="5"/>
  <c r="T950" i="5"/>
  <c r="U950" i="5"/>
  <c r="R951" i="5"/>
  <c r="S951" i="5"/>
  <c r="T951" i="5"/>
  <c r="U951" i="5"/>
  <c r="R952" i="5"/>
  <c r="S952" i="5"/>
  <c r="T952" i="5"/>
  <c r="U952" i="5"/>
  <c r="R953" i="5"/>
  <c r="S953" i="5"/>
  <c r="T953" i="5"/>
  <c r="U953" i="5"/>
  <c r="R954" i="5"/>
  <c r="S954" i="5"/>
  <c r="T954" i="5"/>
  <c r="U954" i="5"/>
  <c r="R955" i="5"/>
  <c r="S955" i="5"/>
  <c r="T955" i="5"/>
  <c r="U955" i="5"/>
  <c r="R956" i="5"/>
  <c r="S956" i="5"/>
  <c r="T956" i="5"/>
  <c r="U956" i="5"/>
  <c r="R957" i="5"/>
  <c r="S957" i="5"/>
  <c r="T957" i="5"/>
  <c r="U957" i="5"/>
  <c r="R958" i="5"/>
  <c r="S958" i="5"/>
  <c r="T958" i="5"/>
  <c r="U958" i="5"/>
  <c r="R959" i="5"/>
  <c r="S959" i="5"/>
  <c r="T959" i="5"/>
  <c r="U959" i="5"/>
  <c r="R960" i="5"/>
  <c r="S960" i="5"/>
  <c r="T960" i="5"/>
  <c r="U960" i="5"/>
  <c r="R961" i="5"/>
  <c r="S961" i="5"/>
  <c r="T961" i="5"/>
  <c r="U961" i="5"/>
  <c r="R962" i="5"/>
  <c r="S962" i="5"/>
  <c r="T962" i="5"/>
  <c r="U962" i="5"/>
  <c r="R963" i="5"/>
  <c r="S963" i="5"/>
  <c r="T963" i="5"/>
  <c r="U963" i="5"/>
  <c r="R964" i="5"/>
  <c r="S964" i="5"/>
  <c r="T964" i="5"/>
  <c r="U964" i="5"/>
  <c r="R965" i="5"/>
  <c r="S965" i="5"/>
  <c r="T965" i="5"/>
  <c r="U965" i="5"/>
  <c r="R966" i="5"/>
  <c r="S966" i="5"/>
  <c r="T966" i="5"/>
  <c r="U966" i="5"/>
  <c r="R967" i="5"/>
  <c r="S967" i="5"/>
  <c r="T967" i="5"/>
  <c r="U967" i="5"/>
  <c r="R968" i="5"/>
  <c r="S968" i="5"/>
  <c r="T968" i="5"/>
  <c r="U968" i="5"/>
  <c r="R969" i="5"/>
  <c r="S969" i="5"/>
  <c r="T969" i="5"/>
  <c r="U969" i="5"/>
  <c r="R970" i="5"/>
  <c r="S970" i="5"/>
  <c r="T970" i="5"/>
  <c r="U970" i="5"/>
  <c r="R971" i="5"/>
  <c r="S971" i="5"/>
  <c r="T971" i="5"/>
  <c r="U971" i="5"/>
  <c r="R972" i="5"/>
  <c r="S972" i="5"/>
  <c r="T972" i="5"/>
  <c r="U972" i="5"/>
  <c r="R973" i="5"/>
  <c r="S973" i="5"/>
  <c r="T973" i="5"/>
  <c r="U973" i="5"/>
  <c r="R974" i="5"/>
  <c r="S974" i="5"/>
  <c r="T974" i="5"/>
  <c r="U974" i="5"/>
  <c r="R975" i="5"/>
  <c r="S975" i="5"/>
  <c r="T975" i="5"/>
  <c r="U975" i="5"/>
  <c r="R976" i="5"/>
  <c r="S976" i="5"/>
  <c r="T976" i="5"/>
  <c r="U976" i="5"/>
  <c r="R977" i="5"/>
  <c r="S977" i="5"/>
  <c r="T977" i="5"/>
  <c r="U977" i="5"/>
  <c r="R978" i="5"/>
  <c r="S978" i="5"/>
  <c r="T978" i="5"/>
  <c r="U978" i="5"/>
  <c r="R979" i="5"/>
  <c r="S979" i="5"/>
  <c r="T979" i="5"/>
  <c r="U979" i="5"/>
  <c r="R980" i="5"/>
  <c r="S980" i="5"/>
  <c r="T980" i="5"/>
  <c r="U980" i="5"/>
  <c r="R981" i="5"/>
  <c r="S981" i="5"/>
  <c r="T981" i="5"/>
  <c r="U981" i="5"/>
  <c r="R982" i="5"/>
  <c r="S982" i="5"/>
  <c r="T982" i="5"/>
  <c r="U982" i="5"/>
  <c r="R983" i="5"/>
  <c r="S983" i="5"/>
  <c r="T983" i="5"/>
  <c r="U983" i="5"/>
  <c r="R984" i="5"/>
  <c r="S984" i="5"/>
  <c r="T984" i="5"/>
  <c r="U984" i="5"/>
  <c r="R985" i="5"/>
  <c r="S985" i="5"/>
  <c r="T985" i="5"/>
  <c r="U985" i="5"/>
  <c r="R986" i="5"/>
  <c r="S986" i="5"/>
  <c r="T986" i="5"/>
  <c r="U986" i="5"/>
  <c r="R987" i="5"/>
  <c r="S987" i="5"/>
  <c r="T987" i="5"/>
  <c r="U987" i="5"/>
  <c r="R988" i="5"/>
  <c r="S988" i="5"/>
  <c r="T988" i="5"/>
  <c r="U988" i="5"/>
  <c r="R989" i="5"/>
  <c r="S989" i="5"/>
  <c r="T989" i="5"/>
  <c r="U989" i="5"/>
  <c r="R990" i="5"/>
  <c r="S990" i="5"/>
  <c r="T990" i="5"/>
  <c r="U990" i="5"/>
  <c r="R991" i="5"/>
  <c r="S991" i="5"/>
  <c r="T991" i="5"/>
  <c r="U991" i="5"/>
  <c r="R992" i="5"/>
  <c r="S992" i="5"/>
  <c r="T992" i="5"/>
  <c r="U992" i="5"/>
  <c r="R993" i="5"/>
  <c r="S993" i="5"/>
  <c r="T993" i="5"/>
  <c r="U993" i="5"/>
  <c r="R994" i="5"/>
  <c r="S994" i="5"/>
  <c r="T994" i="5"/>
  <c r="U994" i="5"/>
  <c r="R995" i="5"/>
  <c r="S995" i="5"/>
  <c r="T995" i="5"/>
  <c r="U995" i="5"/>
  <c r="R996" i="5"/>
  <c r="S996" i="5"/>
  <c r="T996" i="5"/>
  <c r="U996" i="5"/>
  <c r="R997" i="5"/>
  <c r="S997" i="5"/>
  <c r="T997" i="5"/>
  <c r="U997" i="5"/>
  <c r="R998" i="5"/>
  <c r="S998" i="5"/>
  <c r="T998" i="5"/>
  <c r="U998" i="5"/>
  <c r="R999" i="5"/>
  <c r="S999" i="5"/>
  <c r="T999" i="5"/>
  <c r="U999" i="5"/>
  <c r="R1000" i="5"/>
  <c r="S1000" i="5"/>
  <c r="T1000" i="5"/>
  <c r="U1000" i="5"/>
  <c r="R1001" i="5"/>
  <c r="S1001" i="5"/>
  <c r="T1001" i="5"/>
  <c r="U1001" i="5"/>
  <c r="R1002" i="5"/>
  <c r="S1002" i="5"/>
  <c r="T1002" i="5"/>
  <c r="U1002" i="5"/>
  <c r="R1003" i="5"/>
  <c r="S1003" i="5"/>
  <c r="T1003" i="5"/>
  <c r="U1003" i="5"/>
  <c r="U4" i="5"/>
  <c r="T4" i="5"/>
  <c r="S4" i="5"/>
  <c r="R4" i="5"/>
  <c r="R4" i="4"/>
  <c r="Q28" i="7"/>
  <c r="R28" i="7"/>
  <c r="Q29" i="7"/>
  <c r="R29" i="7"/>
  <c r="Q30" i="7"/>
  <c r="R30" i="7"/>
  <c r="Q31" i="7"/>
  <c r="R31" i="7"/>
  <c r="Q32" i="7"/>
  <c r="R32" i="7"/>
  <c r="Q33" i="7"/>
  <c r="R33" i="7"/>
  <c r="Q34" i="7"/>
  <c r="R34" i="7"/>
  <c r="Q35" i="7"/>
  <c r="R35" i="7"/>
  <c r="N28" i="7"/>
  <c r="N29" i="7"/>
  <c r="N30" i="7"/>
  <c r="N31" i="7"/>
  <c r="N32" i="7"/>
  <c r="N33" i="7"/>
  <c r="N34" i="7"/>
  <c r="N35" i="7"/>
  <c r="N12" i="7"/>
  <c r="N13" i="7"/>
  <c r="N14" i="7"/>
  <c r="N15" i="7"/>
  <c r="N16" i="7"/>
  <c r="N17" i="7"/>
  <c r="N18" i="7"/>
  <c r="N19" i="7"/>
  <c r="N20" i="7"/>
  <c r="N21" i="7"/>
  <c r="N22" i="7"/>
  <c r="N23" i="7"/>
  <c r="N24" i="7"/>
  <c r="N25" i="7"/>
  <c r="N26" i="7"/>
  <c r="N27" i="7"/>
  <c r="E11" i="7" l="1"/>
  <c r="Q12" i="7" l="1"/>
  <c r="Q13" i="7"/>
  <c r="Q14" i="7"/>
  <c r="Q15" i="7"/>
  <c r="Q16" i="7"/>
  <c r="Q17" i="7"/>
  <c r="Q18" i="7"/>
  <c r="Q19" i="7"/>
  <c r="Q20" i="7"/>
  <c r="Q21" i="7"/>
  <c r="Q22" i="7"/>
  <c r="Q23" i="7"/>
  <c r="Q24" i="7"/>
  <c r="Q25" i="7"/>
  <c r="H20" i="14" l="1"/>
  <c r="K43" i="14"/>
  <c r="K42" i="14"/>
  <c r="K41" i="14"/>
  <c r="K40" i="14"/>
  <c r="E28" i="14"/>
  <c r="E28" i="13"/>
  <c r="K37" i="13"/>
  <c r="K36" i="13"/>
  <c r="K35" i="13"/>
  <c r="K34" i="13"/>
  <c r="H14" i="13"/>
  <c r="AS18" i="5" l="1"/>
  <c r="Q11" i="7" l="1"/>
  <c r="Q26" i="7"/>
  <c r="Q27" i="7"/>
  <c r="N11" i="7"/>
  <c r="U5" i="4" l="1"/>
  <c r="U6" i="4"/>
  <c r="U7" i="4"/>
  <c r="T8" i="4"/>
  <c r="U8" i="4"/>
  <c r="U9" i="4"/>
  <c r="T10" i="4"/>
  <c r="U10" i="4"/>
  <c r="T11" i="4"/>
  <c r="U11" i="4"/>
  <c r="U12" i="4"/>
  <c r="T13" i="4"/>
  <c r="U13" i="4"/>
  <c r="U14" i="4"/>
  <c r="T15" i="4"/>
  <c r="U15" i="4"/>
  <c r="U16" i="4"/>
  <c r="U17" i="4"/>
  <c r="T18" i="4"/>
  <c r="U18" i="4"/>
  <c r="T19" i="4"/>
  <c r="U19" i="4"/>
  <c r="T20" i="4"/>
  <c r="U20" i="4"/>
  <c r="T21" i="4"/>
  <c r="U21" i="4"/>
  <c r="T22" i="4"/>
  <c r="U22" i="4"/>
  <c r="T23" i="4"/>
  <c r="U23" i="4"/>
  <c r="T24" i="4"/>
  <c r="U24" i="4"/>
  <c r="U25" i="4"/>
  <c r="U26" i="4"/>
  <c r="U27" i="4"/>
  <c r="U28" i="4"/>
  <c r="U29" i="4"/>
  <c r="U30" i="4"/>
  <c r="T31" i="4"/>
  <c r="U31" i="4"/>
  <c r="U32" i="4"/>
  <c r="T33" i="4"/>
  <c r="U33" i="4"/>
  <c r="T34" i="4"/>
  <c r="U34" i="4"/>
  <c r="T35" i="4"/>
  <c r="U35" i="4"/>
  <c r="U36" i="4"/>
  <c r="U37" i="4"/>
  <c r="T38" i="4"/>
  <c r="U38" i="4"/>
  <c r="U39" i="4"/>
  <c r="T40" i="4"/>
  <c r="U40" i="4"/>
  <c r="T41" i="4"/>
  <c r="U41" i="4"/>
  <c r="T42" i="4"/>
  <c r="U42" i="4"/>
  <c r="T43" i="4"/>
  <c r="U43" i="4"/>
  <c r="T44" i="4"/>
  <c r="U44" i="4"/>
  <c r="U45" i="4"/>
  <c r="U46" i="4"/>
  <c r="T47" i="4"/>
  <c r="U47" i="4"/>
  <c r="T48" i="4"/>
  <c r="U48" i="4"/>
  <c r="U49" i="4"/>
  <c r="U50" i="4"/>
  <c r="U51" i="4"/>
  <c r="U52" i="4"/>
  <c r="T53" i="4"/>
  <c r="U53" i="4"/>
  <c r="U54" i="4"/>
  <c r="U55" i="4"/>
  <c r="U56" i="4"/>
  <c r="T57" i="4"/>
  <c r="U57" i="4"/>
  <c r="T58" i="4"/>
  <c r="U58" i="4"/>
  <c r="U59" i="4"/>
  <c r="T60" i="4"/>
  <c r="U60" i="4"/>
  <c r="T61" i="4"/>
  <c r="U61" i="4"/>
  <c r="T62" i="4"/>
  <c r="U62" i="4"/>
  <c r="T63" i="4"/>
  <c r="U63" i="4"/>
  <c r="T64" i="4"/>
  <c r="U64" i="4"/>
  <c r="T65" i="4"/>
  <c r="U65" i="4"/>
  <c r="T66" i="4"/>
  <c r="U66" i="4"/>
  <c r="T67" i="4"/>
  <c r="U67" i="4"/>
  <c r="T68" i="4"/>
  <c r="U68" i="4"/>
  <c r="T69" i="4"/>
  <c r="U69" i="4"/>
  <c r="T70" i="4"/>
  <c r="U70" i="4"/>
  <c r="T71" i="4"/>
  <c r="U71" i="4"/>
  <c r="T72" i="4"/>
  <c r="U72" i="4"/>
  <c r="T73" i="4"/>
  <c r="U73" i="4"/>
  <c r="T74" i="4"/>
  <c r="U74" i="4"/>
  <c r="T75" i="4"/>
  <c r="U75" i="4"/>
  <c r="T76" i="4"/>
  <c r="U76" i="4"/>
  <c r="T77" i="4"/>
  <c r="U77" i="4"/>
  <c r="T78" i="4"/>
  <c r="U78" i="4"/>
  <c r="T79" i="4"/>
  <c r="U79" i="4"/>
  <c r="T80" i="4"/>
  <c r="U80" i="4"/>
  <c r="T81" i="4"/>
  <c r="U81" i="4"/>
  <c r="T82" i="4"/>
  <c r="U82" i="4"/>
  <c r="T83" i="4"/>
  <c r="U83" i="4"/>
  <c r="T84" i="4"/>
  <c r="U84" i="4"/>
  <c r="T85" i="4"/>
  <c r="U85" i="4"/>
  <c r="T86" i="4"/>
  <c r="U86" i="4"/>
  <c r="T87" i="4"/>
  <c r="U87" i="4"/>
  <c r="T88" i="4"/>
  <c r="U88" i="4"/>
  <c r="T89" i="4"/>
  <c r="U89" i="4"/>
  <c r="T90" i="4"/>
  <c r="U90" i="4"/>
  <c r="T91" i="4"/>
  <c r="U91" i="4"/>
  <c r="T92" i="4"/>
  <c r="U92" i="4"/>
  <c r="T93" i="4"/>
  <c r="U93" i="4"/>
  <c r="T94" i="4"/>
  <c r="U94" i="4"/>
  <c r="T95" i="4"/>
  <c r="U95" i="4"/>
  <c r="T96" i="4"/>
  <c r="U96" i="4"/>
  <c r="T97" i="4"/>
  <c r="U97" i="4"/>
  <c r="T98" i="4"/>
  <c r="U98" i="4"/>
  <c r="T99" i="4"/>
  <c r="U99" i="4"/>
  <c r="T100" i="4"/>
  <c r="U100" i="4"/>
  <c r="T101" i="4"/>
  <c r="U101" i="4"/>
  <c r="T102" i="4"/>
  <c r="U102" i="4"/>
  <c r="T103" i="4"/>
  <c r="U103" i="4"/>
  <c r="T104" i="4"/>
  <c r="U104" i="4"/>
  <c r="T105" i="4"/>
  <c r="U105" i="4"/>
  <c r="T106" i="4"/>
  <c r="U106" i="4"/>
  <c r="T107" i="4"/>
  <c r="U107" i="4"/>
  <c r="T108" i="4"/>
  <c r="U108" i="4"/>
  <c r="T109" i="4"/>
  <c r="U109" i="4"/>
  <c r="T110" i="4"/>
  <c r="U110" i="4"/>
  <c r="T111" i="4"/>
  <c r="U111" i="4"/>
  <c r="T112" i="4"/>
  <c r="U112" i="4"/>
  <c r="T113" i="4"/>
  <c r="U113" i="4"/>
  <c r="T114" i="4"/>
  <c r="U114" i="4"/>
  <c r="T115" i="4"/>
  <c r="U115" i="4"/>
  <c r="T116" i="4"/>
  <c r="U116" i="4"/>
  <c r="T117" i="4"/>
  <c r="U117" i="4"/>
  <c r="T118" i="4"/>
  <c r="U118" i="4"/>
  <c r="T119" i="4"/>
  <c r="U119" i="4"/>
  <c r="T120" i="4"/>
  <c r="U120" i="4"/>
  <c r="T121" i="4"/>
  <c r="U121" i="4"/>
  <c r="T122" i="4"/>
  <c r="U122" i="4"/>
  <c r="T123" i="4"/>
  <c r="U123" i="4"/>
  <c r="T124" i="4"/>
  <c r="U124" i="4"/>
  <c r="T125" i="4"/>
  <c r="U125" i="4"/>
  <c r="T126" i="4"/>
  <c r="U126" i="4"/>
  <c r="T127" i="4"/>
  <c r="U127" i="4"/>
  <c r="T128" i="4"/>
  <c r="U128" i="4"/>
  <c r="T129" i="4"/>
  <c r="U129" i="4"/>
  <c r="T130" i="4"/>
  <c r="U130" i="4"/>
  <c r="T131" i="4"/>
  <c r="U131" i="4"/>
  <c r="T132" i="4"/>
  <c r="U132" i="4"/>
  <c r="T133" i="4"/>
  <c r="U133" i="4"/>
  <c r="T134" i="4"/>
  <c r="U134" i="4"/>
  <c r="T135" i="4"/>
  <c r="U135" i="4"/>
  <c r="T136" i="4"/>
  <c r="U136" i="4"/>
  <c r="T137" i="4"/>
  <c r="U137" i="4"/>
  <c r="T138" i="4"/>
  <c r="U138" i="4"/>
  <c r="T139" i="4"/>
  <c r="U139" i="4"/>
  <c r="T140" i="4"/>
  <c r="U140" i="4"/>
  <c r="T141" i="4"/>
  <c r="U141" i="4"/>
  <c r="T142" i="4"/>
  <c r="U142" i="4"/>
  <c r="T143" i="4"/>
  <c r="U143" i="4"/>
  <c r="T144" i="4"/>
  <c r="U144" i="4"/>
  <c r="T145" i="4"/>
  <c r="U145" i="4"/>
  <c r="T146" i="4"/>
  <c r="U146" i="4"/>
  <c r="T147" i="4"/>
  <c r="U147" i="4"/>
  <c r="T148" i="4"/>
  <c r="U148" i="4"/>
  <c r="T149" i="4"/>
  <c r="U149" i="4"/>
  <c r="T150" i="4"/>
  <c r="U150" i="4"/>
  <c r="T151" i="4"/>
  <c r="U151" i="4"/>
  <c r="T152" i="4"/>
  <c r="U152" i="4"/>
  <c r="T153" i="4"/>
  <c r="U153" i="4"/>
  <c r="T154" i="4"/>
  <c r="U154" i="4"/>
  <c r="T155" i="4"/>
  <c r="U155" i="4"/>
  <c r="T156" i="4"/>
  <c r="U156" i="4"/>
  <c r="T157" i="4"/>
  <c r="U157" i="4"/>
  <c r="T158" i="4"/>
  <c r="U158" i="4"/>
  <c r="T159" i="4"/>
  <c r="U159" i="4"/>
  <c r="T160" i="4"/>
  <c r="U160" i="4"/>
  <c r="T161" i="4"/>
  <c r="U161" i="4"/>
  <c r="T162" i="4"/>
  <c r="U162" i="4"/>
  <c r="T163" i="4"/>
  <c r="U163" i="4"/>
  <c r="T164" i="4"/>
  <c r="U164" i="4"/>
  <c r="T165" i="4"/>
  <c r="U165" i="4"/>
  <c r="T166" i="4"/>
  <c r="U166" i="4"/>
  <c r="T167" i="4"/>
  <c r="U167" i="4"/>
  <c r="T168" i="4"/>
  <c r="U168" i="4"/>
  <c r="T169" i="4"/>
  <c r="U169" i="4"/>
  <c r="T170" i="4"/>
  <c r="U170" i="4"/>
  <c r="T171" i="4"/>
  <c r="U171" i="4"/>
  <c r="T172" i="4"/>
  <c r="U172" i="4"/>
  <c r="T173" i="4"/>
  <c r="U173" i="4"/>
  <c r="T174" i="4"/>
  <c r="U174" i="4"/>
  <c r="T175" i="4"/>
  <c r="U175" i="4"/>
  <c r="T176" i="4"/>
  <c r="U176" i="4"/>
  <c r="T177" i="4"/>
  <c r="U177" i="4"/>
  <c r="T178" i="4"/>
  <c r="U178" i="4"/>
  <c r="T179" i="4"/>
  <c r="U179" i="4"/>
  <c r="T180" i="4"/>
  <c r="U180" i="4"/>
  <c r="T181" i="4"/>
  <c r="U181" i="4"/>
  <c r="T182" i="4"/>
  <c r="U182" i="4"/>
  <c r="T183" i="4"/>
  <c r="U183" i="4"/>
  <c r="T184" i="4"/>
  <c r="U184" i="4"/>
  <c r="T185" i="4"/>
  <c r="U185" i="4"/>
  <c r="T186" i="4"/>
  <c r="U186" i="4"/>
  <c r="T187" i="4"/>
  <c r="U187" i="4"/>
  <c r="T188" i="4"/>
  <c r="U188" i="4"/>
  <c r="T189" i="4"/>
  <c r="U189" i="4"/>
  <c r="T190" i="4"/>
  <c r="U190" i="4"/>
  <c r="T191" i="4"/>
  <c r="U191" i="4"/>
  <c r="T192" i="4"/>
  <c r="U192" i="4"/>
  <c r="T193" i="4"/>
  <c r="U193" i="4"/>
  <c r="T194" i="4"/>
  <c r="U194" i="4"/>
  <c r="T195" i="4"/>
  <c r="U195" i="4"/>
  <c r="T196" i="4"/>
  <c r="U196" i="4"/>
  <c r="T197" i="4"/>
  <c r="U197" i="4"/>
  <c r="T198" i="4"/>
  <c r="U198" i="4"/>
  <c r="T199" i="4"/>
  <c r="U199" i="4"/>
  <c r="T200" i="4"/>
  <c r="U200" i="4"/>
  <c r="T201" i="4"/>
  <c r="U201" i="4"/>
  <c r="T202" i="4"/>
  <c r="U202" i="4"/>
  <c r="T203" i="4"/>
  <c r="U203" i="4"/>
  <c r="T204" i="4"/>
  <c r="U204" i="4"/>
  <c r="T205" i="4"/>
  <c r="U205" i="4"/>
  <c r="T206" i="4"/>
  <c r="U206" i="4"/>
  <c r="T207" i="4"/>
  <c r="U207" i="4"/>
  <c r="T208" i="4"/>
  <c r="U208" i="4"/>
  <c r="T209" i="4"/>
  <c r="U209" i="4"/>
  <c r="T210" i="4"/>
  <c r="U210" i="4"/>
  <c r="T211" i="4"/>
  <c r="U211" i="4"/>
  <c r="T212" i="4"/>
  <c r="U212" i="4"/>
  <c r="T213" i="4"/>
  <c r="U213" i="4"/>
  <c r="T214" i="4"/>
  <c r="U214" i="4"/>
  <c r="T215" i="4"/>
  <c r="U215" i="4"/>
  <c r="T216" i="4"/>
  <c r="U216" i="4"/>
  <c r="T217" i="4"/>
  <c r="U217" i="4"/>
  <c r="T218" i="4"/>
  <c r="U218" i="4"/>
  <c r="T219" i="4"/>
  <c r="U219" i="4"/>
  <c r="T220" i="4"/>
  <c r="U220" i="4"/>
  <c r="T221" i="4"/>
  <c r="U221" i="4"/>
  <c r="T222" i="4"/>
  <c r="U222" i="4"/>
  <c r="T223" i="4"/>
  <c r="U223" i="4"/>
  <c r="T224" i="4"/>
  <c r="U224" i="4"/>
  <c r="T225" i="4"/>
  <c r="U225" i="4"/>
  <c r="T226" i="4"/>
  <c r="U226" i="4"/>
  <c r="T227" i="4"/>
  <c r="U227" i="4"/>
  <c r="T228" i="4"/>
  <c r="U228" i="4"/>
  <c r="T229" i="4"/>
  <c r="U229" i="4"/>
  <c r="T230" i="4"/>
  <c r="U230" i="4"/>
  <c r="T231" i="4"/>
  <c r="U231" i="4"/>
  <c r="T232" i="4"/>
  <c r="U232" i="4"/>
  <c r="T233" i="4"/>
  <c r="U233" i="4"/>
  <c r="T234" i="4"/>
  <c r="U234" i="4"/>
  <c r="T235" i="4"/>
  <c r="U235" i="4"/>
  <c r="T236" i="4"/>
  <c r="U236" i="4"/>
  <c r="T237" i="4"/>
  <c r="U237" i="4"/>
  <c r="T238" i="4"/>
  <c r="U238" i="4"/>
  <c r="T239" i="4"/>
  <c r="U239" i="4"/>
  <c r="T240" i="4"/>
  <c r="U240" i="4"/>
  <c r="T241" i="4"/>
  <c r="U241" i="4"/>
  <c r="T242" i="4"/>
  <c r="U242" i="4"/>
  <c r="T243" i="4"/>
  <c r="U243" i="4"/>
  <c r="T244" i="4"/>
  <c r="U244" i="4"/>
  <c r="T245" i="4"/>
  <c r="U245" i="4"/>
  <c r="T246" i="4"/>
  <c r="U246" i="4"/>
  <c r="T247" i="4"/>
  <c r="U247" i="4"/>
  <c r="T248" i="4"/>
  <c r="U248" i="4"/>
  <c r="T249" i="4"/>
  <c r="U249" i="4"/>
  <c r="T250" i="4"/>
  <c r="U250" i="4"/>
  <c r="T251" i="4"/>
  <c r="U251" i="4"/>
  <c r="T252" i="4"/>
  <c r="U252" i="4"/>
  <c r="T253" i="4"/>
  <c r="U253" i="4"/>
  <c r="T254" i="4"/>
  <c r="U254" i="4"/>
  <c r="T255" i="4"/>
  <c r="U255" i="4"/>
  <c r="T256" i="4"/>
  <c r="U256" i="4"/>
  <c r="T257" i="4"/>
  <c r="U257" i="4"/>
  <c r="T258" i="4"/>
  <c r="U258" i="4"/>
  <c r="T259" i="4"/>
  <c r="U259" i="4"/>
  <c r="T260" i="4"/>
  <c r="U260" i="4"/>
  <c r="T261" i="4"/>
  <c r="U261" i="4"/>
  <c r="T262" i="4"/>
  <c r="U262" i="4"/>
  <c r="T263" i="4"/>
  <c r="U263" i="4"/>
  <c r="T264" i="4"/>
  <c r="U264" i="4"/>
  <c r="T265" i="4"/>
  <c r="U265" i="4"/>
  <c r="T266" i="4"/>
  <c r="U266" i="4"/>
  <c r="T267" i="4"/>
  <c r="U267" i="4"/>
  <c r="T268" i="4"/>
  <c r="U268" i="4"/>
  <c r="T269" i="4"/>
  <c r="U269" i="4"/>
  <c r="T270" i="4"/>
  <c r="U270" i="4"/>
  <c r="T271" i="4"/>
  <c r="U271" i="4"/>
  <c r="T272" i="4"/>
  <c r="U272" i="4"/>
  <c r="T273" i="4"/>
  <c r="U273" i="4"/>
  <c r="T274" i="4"/>
  <c r="U274" i="4"/>
  <c r="T275" i="4"/>
  <c r="U275" i="4"/>
  <c r="T276" i="4"/>
  <c r="U276" i="4"/>
  <c r="T277" i="4"/>
  <c r="U277" i="4"/>
  <c r="T278" i="4"/>
  <c r="U278" i="4"/>
  <c r="T279" i="4"/>
  <c r="U279" i="4"/>
  <c r="T280" i="4"/>
  <c r="U280" i="4"/>
  <c r="T281" i="4"/>
  <c r="U281" i="4"/>
  <c r="T282" i="4"/>
  <c r="U282" i="4"/>
  <c r="T283" i="4"/>
  <c r="U283" i="4"/>
  <c r="T284" i="4"/>
  <c r="U284" i="4"/>
  <c r="T285" i="4"/>
  <c r="U285" i="4"/>
  <c r="T286" i="4"/>
  <c r="U286" i="4"/>
  <c r="T287" i="4"/>
  <c r="U287" i="4"/>
  <c r="T288" i="4"/>
  <c r="U288" i="4"/>
  <c r="T289" i="4"/>
  <c r="U289" i="4"/>
  <c r="T290" i="4"/>
  <c r="U290" i="4"/>
  <c r="T291" i="4"/>
  <c r="U291" i="4"/>
  <c r="T292" i="4"/>
  <c r="U292" i="4"/>
  <c r="T293" i="4"/>
  <c r="U293" i="4"/>
  <c r="T294" i="4"/>
  <c r="U294" i="4"/>
  <c r="T295" i="4"/>
  <c r="U295" i="4"/>
  <c r="T296" i="4"/>
  <c r="U296" i="4"/>
  <c r="T297" i="4"/>
  <c r="U297" i="4"/>
  <c r="T298" i="4"/>
  <c r="U298" i="4"/>
  <c r="T299" i="4"/>
  <c r="U299" i="4"/>
  <c r="T300" i="4"/>
  <c r="U300" i="4"/>
  <c r="T301" i="4"/>
  <c r="U301" i="4"/>
  <c r="T302" i="4"/>
  <c r="U302" i="4"/>
  <c r="T303" i="4"/>
  <c r="U303" i="4"/>
  <c r="T304" i="4"/>
  <c r="U304" i="4"/>
  <c r="T305" i="4"/>
  <c r="U305" i="4"/>
  <c r="T306" i="4"/>
  <c r="U306" i="4"/>
  <c r="T307" i="4"/>
  <c r="U307" i="4"/>
  <c r="T308" i="4"/>
  <c r="U308" i="4"/>
  <c r="T309" i="4"/>
  <c r="U309" i="4"/>
  <c r="T310" i="4"/>
  <c r="U310" i="4"/>
  <c r="T311" i="4"/>
  <c r="U311" i="4"/>
  <c r="T312" i="4"/>
  <c r="U312" i="4"/>
  <c r="T313" i="4"/>
  <c r="U313" i="4"/>
  <c r="T314" i="4"/>
  <c r="U314" i="4"/>
  <c r="T315" i="4"/>
  <c r="U315" i="4"/>
  <c r="T316" i="4"/>
  <c r="U316" i="4"/>
  <c r="T317" i="4"/>
  <c r="U317" i="4"/>
  <c r="T318" i="4"/>
  <c r="U318" i="4"/>
  <c r="T319" i="4"/>
  <c r="U319" i="4"/>
  <c r="T320" i="4"/>
  <c r="U320" i="4"/>
  <c r="T321" i="4"/>
  <c r="U321" i="4"/>
  <c r="T322" i="4"/>
  <c r="U322" i="4"/>
  <c r="T323" i="4"/>
  <c r="U323" i="4"/>
  <c r="T324" i="4"/>
  <c r="U324" i="4"/>
  <c r="T325" i="4"/>
  <c r="U325" i="4"/>
  <c r="T326" i="4"/>
  <c r="U326" i="4"/>
  <c r="T327" i="4"/>
  <c r="U327" i="4"/>
  <c r="T328" i="4"/>
  <c r="U328" i="4"/>
  <c r="T329" i="4"/>
  <c r="U329" i="4"/>
  <c r="T330" i="4"/>
  <c r="U330" i="4"/>
  <c r="T331" i="4"/>
  <c r="U331" i="4"/>
  <c r="T332" i="4"/>
  <c r="U332" i="4"/>
  <c r="T333" i="4"/>
  <c r="U333" i="4"/>
  <c r="T334" i="4"/>
  <c r="U334" i="4"/>
  <c r="T335" i="4"/>
  <c r="U335" i="4"/>
  <c r="T336" i="4"/>
  <c r="U336" i="4"/>
  <c r="T337" i="4"/>
  <c r="U337" i="4"/>
  <c r="T338" i="4"/>
  <c r="U338" i="4"/>
  <c r="T339" i="4"/>
  <c r="U339" i="4"/>
  <c r="T340" i="4"/>
  <c r="U340" i="4"/>
  <c r="T341" i="4"/>
  <c r="U341" i="4"/>
  <c r="T342" i="4"/>
  <c r="U342" i="4"/>
  <c r="T343" i="4"/>
  <c r="U343" i="4"/>
  <c r="T344" i="4"/>
  <c r="U344" i="4"/>
  <c r="T345" i="4"/>
  <c r="U345" i="4"/>
  <c r="T346" i="4"/>
  <c r="U346" i="4"/>
  <c r="T347" i="4"/>
  <c r="U347" i="4"/>
  <c r="T348" i="4"/>
  <c r="U348" i="4"/>
  <c r="T349" i="4"/>
  <c r="U349" i="4"/>
  <c r="T350" i="4"/>
  <c r="U350" i="4"/>
  <c r="T351" i="4"/>
  <c r="U351" i="4"/>
  <c r="T352" i="4"/>
  <c r="U352" i="4"/>
  <c r="T353" i="4"/>
  <c r="U353" i="4"/>
  <c r="T354" i="4"/>
  <c r="U354" i="4"/>
  <c r="T355" i="4"/>
  <c r="U355" i="4"/>
  <c r="T356" i="4"/>
  <c r="U356" i="4"/>
  <c r="T357" i="4"/>
  <c r="U357" i="4"/>
  <c r="T358" i="4"/>
  <c r="U358" i="4"/>
  <c r="T359" i="4"/>
  <c r="U359" i="4"/>
  <c r="T360" i="4"/>
  <c r="U360" i="4"/>
  <c r="T361" i="4"/>
  <c r="U361" i="4"/>
  <c r="T362" i="4"/>
  <c r="U362" i="4"/>
  <c r="T363" i="4"/>
  <c r="U363" i="4"/>
  <c r="T364" i="4"/>
  <c r="U364" i="4"/>
  <c r="T365" i="4"/>
  <c r="U365" i="4"/>
  <c r="T366" i="4"/>
  <c r="U366" i="4"/>
  <c r="T367" i="4"/>
  <c r="U367" i="4"/>
  <c r="T368" i="4"/>
  <c r="U368" i="4"/>
  <c r="T369" i="4"/>
  <c r="U369" i="4"/>
  <c r="T370" i="4"/>
  <c r="U370" i="4"/>
  <c r="T371" i="4"/>
  <c r="U371" i="4"/>
  <c r="T372" i="4"/>
  <c r="U372" i="4"/>
  <c r="T373" i="4"/>
  <c r="U373" i="4"/>
  <c r="T374" i="4"/>
  <c r="U374" i="4"/>
  <c r="T375" i="4"/>
  <c r="U375" i="4"/>
  <c r="T376" i="4"/>
  <c r="U376" i="4"/>
  <c r="T377" i="4"/>
  <c r="U377" i="4"/>
  <c r="T378" i="4"/>
  <c r="U378" i="4"/>
  <c r="T379" i="4"/>
  <c r="U379" i="4"/>
  <c r="T380" i="4"/>
  <c r="U380" i="4"/>
  <c r="T381" i="4"/>
  <c r="U381" i="4"/>
  <c r="T382" i="4"/>
  <c r="U382" i="4"/>
  <c r="T383" i="4"/>
  <c r="U383" i="4"/>
  <c r="T384" i="4"/>
  <c r="U384" i="4"/>
  <c r="T385" i="4"/>
  <c r="U385" i="4"/>
  <c r="T386" i="4"/>
  <c r="U386" i="4"/>
  <c r="T387" i="4"/>
  <c r="U387" i="4"/>
  <c r="T388" i="4"/>
  <c r="U388" i="4"/>
  <c r="T389" i="4"/>
  <c r="U389" i="4"/>
  <c r="T390" i="4"/>
  <c r="U390" i="4"/>
  <c r="T391" i="4"/>
  <c r="U391" i="4"/>
  <c r="T392" i="4"/>
  <c r="U392" i="4"/>
  <c r="T393" i="4"/>
  <c r="U393" i="4"/>
  <c r="T394" i="4"/>
  <c r="U394" i="4"/>
  <c r="T395" i="4"/>
  <c r="U395" i="4"/>
  <c r="T396" i="4"/>
  <c r="U396" i="4"/>
  <c r="T397" i="4"/>
  <c r="U397" i="4"/>
  <c r="T398" i="4"/>
  <c r="U398" i="4"/>
  <c r="T399" i="4"/>
  <c r="U399" i="4"/>
  <c r="T400" i="4"/>
  <c r="U400" i="4"/>
  <c r="T401" i="4"/>
  <c r="U401" i="4"/>
  <c r="T402" i="4"/>
  <c r="U402" i="4"/>
  <c r="T403" i="4"/>
  <c r="U403" i="4"/>
  <c r="T404" i="4"/>
  <c r="U404" i="4"/>
  <c r="T405" i="4"/>
  <c r="U405" i="4"/>
  <c r="T406" i="4"/>
  <c r="U406" i="4"/>
  <c r="T407" i="4"/>
  <c r="U407" i="4"/>
  <c r="T408" i="4"/>
  <c r="U408" i="4"/>
  <c r="T409" i="4"/>
  <c r="U409" i="4"/>
  <c r="T410" i="4"/>
  <c r="U410" i="4"/>
  <c r="T411" i="4"/>
  <c r="U411" i="4"/>
  <c r="T412" i="4"/>
  <c r="U412" i="4"/>
  <c r="T413" i="4"/>
  <c r="U413" i="4"/>
  <c r="T414" i="4"/>
  <c r="U414" i="4"/>
  <c r="T415" i="4"/>
  <c r="U415" i="4"/>
  <c r="T416" i="4"/>
  <c r="U416" i="4"/>
  <c r="T417" i="4"/>
  <c r="U417" i="4"/>
  <c r="T418" i="4"/>
  <c r="U418" i="4"/>
  <c r="T419" i="4"/>
  <c r="U419" i="4"/>
  <c r="T420" i="4"/>
  <c r="U420" i="4"/>
  <c r="T421" i="4"/>
  <c r="U421" i="4"/>
  <c r="T422" i="4"/>
  <c r="U422" i="4"/>
  <c r="T423" i="4"/>
  <c r="U423" i="4"/>
  <c r="T424" i="4"/>
  <c r="U424" i="4"/>
  <c r="T425" i="4"/>
  <c r="U425" i="4"/>
  <c r="T426" i="4"/>
  <c r="U426" i="4"/>
  <c r="T427" i="4"/>
  <c r="U427" i="4"/>
  <c r="T428" i="4"/>
  <c r="U428" i="4"/>
  <c r="T429" i="4"/>
  <c r="U429" i="4"/>
  <c r="T430" i="4"/>
  <c r="U430" i="4"/>
  <c r="T431" i="4"/>
  <c r="U431" i="4"/>
  <c r="T432" i="4"/>
  <c r="U432" i="4"/>
  <c r="T433" i="4"/>
  <c r="U433" i="4"/>
  <c r="T434" i="4"/>
  <c r="U434" i="4"/>
  <c r="T435" i="4"/>
  <c r="U435" i="4"/>
  <c r="T436" i="4"/>
  <c r="U436" i="4"/>
  <c r="T437" i="4"/>
  <c r="U437" i="4"/>
  <c r="T438" i="4"/>
  <c r="U438" i="4"/>
  <c r="T439" i="4"/>
  <c r="U439" i="4"/>
  <c r="T440" i="4"/>
  <c r="U440" i="4"/>
  <c r="T441" i="4"/>
  <c r="U441" i="4"/>
  <c r="T442" i="4"/>
  <c r="U442" i="4"/>
  <c r="T443" i="4"/>
  <c r="U443" i="4"/>
  <c r="T444" i="4"/>
  <c r="U444" i="4"/>
  <c r="T445" i="4"/>
  <c r="U445" i="4"/>
  <c r="T446" i="4"/>
  <c r="U446" i="4"/>
  <c r="T447" i="4"/>
  <c r="U447" i="4"/>
  <c r="T448" i="4"/>
  <c r="U448" i="4"/>
  <c r="T449" i="4"/>
  <c r="U449" i="4"/>
  <c r="T450" i="4"/>
  <c r="U450" i="4"/>
  <c r="T451" i="4"/>
  <c r="U451" i="4"/>
  <c r="T452" i="4"/>
  <c r="U452" i="4"/>
  <c r="T453" i="4"/>
  <c r="U453" i="4"/>
  <c r="T454" i="4"/>
  <c r="U454" i="4"/>
  <c r="T455" i="4"/>
  <c r="U455" i="4"/>
  <c r="T456" i="4"/>
  <c r="U456" i="4"/>
  <c r="T457" i="4"/>
  <c r="U457" i="4"/>
  <c r="T458" i="4"/>
  <c r="U458" i="4"/>
  <c r="T459" i="4"/>
  <c r="U459" i="4"/>
  <c r="T460" i="4"/>
  <c r="U460" i="4"/>
  <c r="T461" i="4"/>
  <c r="U461" i="4"/>
  <c r="T462" i="4"/>
  <c r="U462" i="4"/>
  <c r="T463" i="4"/>
  <c r="U463" i="4"/>
  <c r="T464" i="4"/>
  <c r="U464" i="4"/>
  <c r="T465" i="4"/>
  <c r="U465" i="4"/>
  <c r="T466" i="4"/>
  <c r="U466" i="4"/>
  <c r="T467" i="4"/>
  <c r="U467" i="4"/>
  <c r="T468" i="4"/>
  <c r="U468" i="4"/>
  <c r="T469" i="4"/>
  <c r="U469" i="4"/>
  <c r="T470" i="4"/>
  <c r="U470" i="4"/>
  <c r="T471" i="4"/>
  <c r="U471" i="4"/>
  <c r="T472" i="4"/>
  <c r="U472" i="4"/>
  <c r="T473" i="4"/>
  <c r="U473" i="4"/>
  <c r="T474" i="4"/>
  <c r="U474" i="4"/>
  <c r="T475" i="4"/>
  <c r="U475" i="4"/>
  <c r="T476" i="4"/>
  <c r="U476" i="4"/>
  <c r="T477" i="4"/>
  <c r="U477" i="4"/>
  <c r="T478" i="4"/>
  <c r="U478" i="4"/>
  <c r="T479" i="4"/>
  <c r="U479" i="4"/>
  <c r="T480" i="4"/>
  <c r="U480" i="4"/>
  <c r="T481" i="4"/>
  <c r="U481" i="4"/>
  <c r="T482" i="4"/>
  <c r="U482" i="4"/>
  <c r="T483" i="4"/>
  <c r="U483" i="4"/>
  <c r="T484" i="4"/>
  <c r="U484" i="4"/>
  <c r="T485" i="4"/>
  <c r="U485" i="4"/>
  <c r="T486" i="4"/>
  <c r="U486" i="4"/>
  <c r="T487" i="4"/>
  <c r="U487" i="4"/>
  <c r="T488" i="4"/>
  <c r="U488" i="4"/>
  <c r="T489" i="4"/>
  <c r="U489" i="4"/>
  <c r="T490" i="4"/>
  <c r="U490" i="4"/>
  <c r="T491" i="4"/>
  <c r="U491" i="4"/>
  <c r="T492" i="4"/>
  <c r="U492" i="4"/>
  <c r="T493" i="4"/>
  <c r="U493" i="4"/>
  <c r="T494" i="4"/>
  <c r="U494" i="4"/>
  <c r="T495" i="4"/>
  <c r="U495" i="4"/>
  <c r="T496" i="4"/>
  <c r="U496" i="4"/>
  <c r="T497" i="4"/>
  <c r="U497" i="4"/>
  <c r="T498" i="4"/>
  <c r="U498" i="4"/>
  <c r="T499" i="4"/>
  <c r="U499" i="4"/>
  <c r="T500" i="4"/>
  <c r="U500" i="4"/>
  <c r="T501" i="4"/>
  <c r="U501" i="4"/>
  <c r="T502" i="4"/>
  <c r="U502" i="4"/>
  <c r="T503" i="4"/>
  <c r="U503" i="4"/>
  <c r="T504" i="4"/>
  <c r="U504" i="4"/>
  <c r="T505" i="4"/>
  <c r="U505" i="4"/>
  <c r="T506" i="4"/>
  <c r="U506" i="4"/>
  <c r="T507" i="4"/>
  <c r="U507" i="4"/>
  <c r="T508" i="4"/>
  <c r="U508" i="4"/>
  <c r="T509" i="4"/>
  <c r="U509" i="4"/>
  <c r="T510" i="4"/>
  <c r="U510" i="4"/>
  <c r="T511" i="4"/>
  <c r="U511" i="4"/>
  <c r="T512" i="4"/>
  <c r="U512" i="4"/>
  <c r="T513" i="4"/>
  <c r="U513" i="4"/>
  <c r="T514" i="4"/>
  <c r="U514" i="4"/>
  <c r="T515" i="4"/>
  <c r="U515" i="4"/>
  <c r="T516" i="4"/>
  <c r="U516" i="4"/>
  <c r="T517" i="4"/>
  <c r="U517" i="4"/>
  <c r="T518" i="4"/>
  <c r="U518" i="4"/>
  <c r="T519" i="4"/>
  <c r="U519" i="4"/>
  <c r="T520" i="4"/>
  <c r="U520" i="4"/>
  <c r="T521" i="4"/>
  <c r="U521" i="4"/>
  <c r="T522" i="4"/>
  <c r="U522" i="4"/>
  <c r="T523" i="4"/>
  <c r="U523" i="4"/>
  <c r="T524" i="4"/>
  <c r="U524" i="4"/>
  <c r="T525" i="4"/>
  <c r="U525" i="4"/>
  <c r="T526" i="4"/>
  <c r="U526" i="4"/>
  <c r="T527" i="4"/>
  <c r="U527" i="4"/>
  <c r="T528" i="4"/>
  <c r="U528" i="4"/>
  <c r="T529" i="4"/>
  <c r="U529" i="4"/>
  <c r="T530" i="4"/>
  <c r="U530" i="4"/>
  <c r="T531" i="4"/>
  <c r="U531" i="4"/>
  <c r="T532" i="4"/>
  <c r="U532" i="4"/>
  <c r="T533" i="4"/>
  <c r="U533" i="4"/>
  <c r="T534" i="4"/>
  <c r="U534" i="4"/>
  <c r="T535" i="4"/>
  <c r="U535" i="4"/>
  <c r="T536" i="4"/>
  <c r="U536" i="4"/>
  <c r="T537" i="4"/>
  <c r="U537" i="4"/>
  <c r="T538" i="4"/>
  <c r="U538" i="4"/>
  <c r="T539" i="4"/>
  <c r="U539" i="4"/>
  <c r="T540" i="4"/>
  <c r="U540" i="4"/>
  <c r="T541" i="4"/>
  <c r="U541" i="4"/>
  <c r="T542" i="4"/>
  <c r="U542" i="4"/>
  <c r="T543" i="4"/>
  <c r="U543" i="4"/>
  <c r="T544" i="4"/>
  <c r="U544" i="4"/>
  <c r="T545" i="4"/>
  <c r="U545" i="4"/>
  <c r="T546" i="4"/>
  <c r="U546" i="4"/>
  <c r="T547" i="4"/>
  <c r="U547" i="4"/>
  <c r="T548" i="4"/>
  <c r="U548" i="4"/>
  <c r="T549" i="4"/>
  <c r="U549" i="4"/>
  <c r="T550" i="4"/>
  <c r="U550" i="4"/>
  <c r="T551" i="4"/>
  <c r="U551" i="4"/>
  <c r="T552" i="4"/>
  <c r="U552" i="4"/>
  <c r="T553" i="4"/>
  <c r="U553" i="4"/>
  <c r="T554" i="4"/>
  <c r="U554" i="4"/>
  <c r="T555" i="4"/>
  <c r="U555" i="4"/>
  <c r="T556" i="4"/>
  <c r="U556" i="4"/>
  <c r="T557" i="4"/>
  <c r="U557" i="4"/>
  <c r="T558" i="4"/>
  <c r="U558" i="4"/>
  <c r="T559" i="4"/>
  <c r="U559" i="4"/>
  <c r="T560" i="4"/>
  <c r="U560" i="4"/>
  <c r="T561" i="4"/>
  <c r="U561" i="4"/>
  <c r="T562" i="4"/>
  <c r="U562" i="4"/>
  <c r="T563" i="4"/>
  <c r="U563" i="4"/>
  <c r="T564" i="4"/>
  <c r="U564" i="4"/>
  <c r="T565" i="4"/>
  <c r="U565" i="4"/>
  <c r="T566" i="4"/>
  <c r="U566" i="4"/>
  <c r="T567" i="4"/>
  <c r="U567" i="4"/>
  <c r="T568" i="4"/>
  <c r="U568" i="4"/>
  <c r="T569" i="4"/>
  <c r="U569" i="4"/>
  <c r="T570" i="4"/>
  <c r="U570" i="4"/>
  <c r="T571" i="4"/>
  <c r="U571" i="4"/>
  <c r="T572" i="4"/>
  <c r="U572" i="4"/>
  <c r="T573" i="4"/>
  <c r="U573" i="4"/>
  <c r="T574" i="4"/>
  <c r="U574" i="4"/>
  <c r="T575" i="4"/>
  <c r="U575" i="4"/>
  <c r="T576" i="4"/>
  <c r="U576" i="4"/>
  <c r="T577" i="4"/>
  <c r="U577" i="4"/>
  <c r="T578" i="4"/>
  <c r="U578" i="4"/>
  <c r="T579" i="4"/>
  <c r="U579" i="4"/>
  <c r="T580" i="4"/>
  <c r="U580" i="4"/>
  <c r="T581" i="4"/>
  <c r="U581" i="4"/>
  <c r="T582" i="4"/>
  <c r="U582" i="4"/>
  <c r="T583" i="4"/>
  <c r="U583" i="4"/>
  <c r="T584" i="4"/>
  <c r="U584" i="4"/>
  <c r="T585" i="4"/>
  <c r="U585" i="4"/>
  <c r="T586" i="4"/>
  <c r="U586" i="4"/>
  <c r="T587" i="4"/>
  <c r="U587" i="4"/>
  <c r="T588" i="4"/>
  <c r="U588" i="4"/>
  <c r="T589" i="4"/>
  <c r="U589" i="4"/>
  <c r="T590" i="4"/>
  <c r="U590" i="4"/>
  <c r="T591" i="4"/>
  <c r="U591" i="4"/>
  <c r="T592" i="4"/>
  <c r="U592" i="4"/>
  <c r="T593" i="4"/>
  <c r="U593" i="4"/>
  <c r="T594" i="4"/>
  <c r="U594" i="4"/>
  <c r="T595" i="4"/>
  <c r="U595" i="4"/>
  <c r="T596" i="4"/>
  <c r="U596" i="4"/>
  <c r="T597" i="4"/>
  <c r="U597" i="4"/>
  <c r="T598" i="4"/>
  <c r="U598" i="4"/>
  <c r="T599" i="4"/>
  <c r="U599" i="4"/>
  <c r="T600" i="4"/>
  <c r="U600" i="4"/>
  <c r="T601" i="4"/>
  <c r="U601" i="4"/>
  <c r="T602" i="4"/>
  <c r="U602" i="4"/>
  <c r="T603" i="4"/>
  <c r="U603" i="4"/>
  <c r="T604" i="4"/>
  <c r="U604" i="4"/>
  <c r="T605" i="4"/>
  <c r="U605" i="4"/>
  <c r="T606" i="4"/>
  <c r="U606" i="4"/>
  <c r="T607" i="4"/>
  <c r="U607" i="4"/>
  <c r="T608" i="4"/>
  <c r="U608" i="4"/>
  <c r="T609" i="4"/>
  <c r="U609" i="4"/>
  <c r="T610" i="4"/>
  <c r="U610" i="4"/>
  <c r="T611" i="4"/>
  <c r="U611" i="4"/>
  <c r="T612" i="4"/>
  <c r="U612" i="4"/>
  <c r="T613" i="4"/>
  <c r="U613" i="4"/>
  <c r="T614" i="4"/>
  <c r="U614" i="4"/>
  <c r="T615" i="4"/>
  <c r="U615" i="4"/>
  <c r="T616" i="4"/>
  <c r="U616" i="4"/>
  <c r="T617" i="4"/>
  <c r="U617" i="4"/>
  <c r="T618" i="4"/>
  <c r="U618" i="4"/>
  <c r="T619" i="4"/>
  <c r="U619" i="4"/>
  <c r="T620" i="4"/>
  <c r="U620" i="4"/>
  <c r="T621" i="4"/>
  <c r="U621" i="4"/>
  <c r="T622" i="4"/>
  <c r="U622" i="4"/>
  <c r="T623" i="4"/>
  <c r="U623" i="4"/>
  <c r="T624" i="4"/>
  <c r="U624" i="4"/>
  <c r="T625" i="4"/>
  <c r="U625" i="4"/>
  <c r="T626" i="4"/>
  <c r="U626" i="4"/>
  <c r="T627" i="4"/>
  <c r="U627" i="4"/>
  <c r="T628" i="4"/>
  <c r="U628" i="4"/>
  <c r="T629" i="4"/>
  <c r="U629" i="4"/>
  <c r="T630" i="4"/>
  <c r="U630" i="4"/>
  <c r="T631" i="4"/>
  <c r="U631" i="4"/>
  <c r="T632" i="4"/>
  <c r="U632" i="4"/>
  <c r="T633" i="4"/>
  <c r="U633" i="4"/>
  <c r="T634" i="4"/>
  <c r="U634" i="4"/>
  <c r="T635" i="4"/>
  <c r="U635" i="4"/>
  <c r="T636" i="4"/>
  <c r="U636" i="4"/>
  <c r="T637" i="4"/>
  <c r="U637" i="4"/>
  <c r="T638" i="4"/>
  <c r="U638" i="4"/>
  <c r="T639" i="4"/>
  <c r="U639" i="4"/>
  <c r="T640" i="4"/>
  <c r="U640" i="4"/>
  <c r="T641" i="4"/>
  <c r="U641" i="4"/>
  <c r="T642" i="4"/>
  <c r="U642" i="4"/>
  <c r="T643" i="4"/>
  <c r="U643" i="4"/>
  <c r="T644" i="4"/>
  <c r="U644" i="4"/>
  <c r="T645" i="4"/>
  <c r="U645" i="4"/>
  <c r="T646" i="4"/>
  <c r="U646" i="4"/>
  <c r="T647" i="4"/>
  <c r="U647" i="4"/>
  <c r="T648" i="4"/>
  <c r="U648" i="4"/>
  <c r="T649" i="4"/>
  <c r="U649" i="4"/>
  <c r="T650" i="4"/>
  <c r="U650" i="4"/>
  <c r="T651" i="4"/>
  <c r="U651" i="4"/>
  <c r="T652" i="4"/>
  <c r="U652" i="4"/>
  <c r="T653" i="4"/>
  <c r="U653" i="4"/>
  <c r="T654" i="4"/>
  <c r="U654" i="4"/>
  <c r="T655" i="4"/>
  <c r="U655" i="4"/>
  <c r="T656" i="4"/>
  <c r="U656" i="4"/>
  <c r="T657" i="4"/>
  <c r="U657" i="4"/>
  <c r="T658" i="4"/>
  <c r="U658" i="4"/>
  <c r="T659" i="4"/>
  <c r="U659" i="4"/>
  <c r="T660" i="4"/>
  <c r="U660" i="4"/>
  <c r="T661" i="4"/>
  <c r="U661" i="4"/>
  <c r="T662" i="4"/>
  <c r="U662" i="4"/>
  <c r="T663" i="4"/>
  <c r="U663" i="4"/>
  <c r="T664" i="4"/>
  <c r="U664" i="4"/>
  <c r="T665" i="4"/>
  <c r="U665" i="4"/>
  <c r="T666" i="4"/>
  <c r="U666" i="4"/>
  <c r="T667" i="4"/>
  <c r="U667" i="4"/>
  <c r="T668" i="4"/>
  <c r="U668" i="4"/>
  <c r="T669" i="4"/>
  <c r="U669" i="4"/>
  <c r="T670" i="4"/>
  <c r="U670" i="4"/>
  <c r="T671" i="4"/>
  <c r="U671" i="4"/>
  <c r="T672" i="4"/>
  <c r="U672" i="4"/>
  <c r="T673" i="4"/>
  <c r="U673" i="4"/>
  <c r="T674" i="4"/>
  <c r="U674" i="4"/>
  <c r="T675" i="4"/>
  <c r="U675" i="4"/>
  <c r="T676" i="4"/>
  <c r="U676" i="4"/>
  <c r="T677" i="4"/>
  <c r="U677" i="4"/>
  <c r="T678" i="4"/>
  <c r="U678" i="4"/>
  <c r="T679" i="4"/>
  <c r="U679" i="4"/>
  <c r="T680" i="4"/>
  <c r="U680" i="4"/>
  <c r="T681" i="4"/>
  <c r="U681" i="4"/>
  <c r="T682" i="4"/>
  <c r="U682" i="4"/>
  <c r="T683" i="4"/>
  <c r="U683" i="4"/>
  <c r="T684" i="4"/>
  <c r="U684" i="4"/>
  <c r="T685" i="4"/>
  <c r="U685" i="4"/>
  <c r="T686" i="4"/>
  <c r="U686" i="4"/>
  <c r="T687" i="4"/>
  <c r="U687" i="4"/>
  <c r="T688" i="4"/>
  <c r="U688" i="4"/>
  <c r="T689" i="4"/>
  <c r="U689" i="4"/>
  <c r="T690" i="4"/>
  <c r="U690" i="4"/>
  <c r="T691" i="4"/>
  <c r="U691" i="4"/>
  <c r="T692" i="4"/>
  <c r="U692" i="4"/>
  <c r="T693" i="4"/>
  <c r="U693" i="4"/>
  <c r="T694" i="4"/>
  <c r="U694" i="4"/>
  <c r="T695" i="4"/>
  <c r="U695" i="4"/>
  <c r="T696" i="4"/>
  <c r="U696" i="4"/>
  <c r="T697" i="4"/>
  <c r="U697" i="4"/>
  <c r="T698" i="4"/>
  <c r="U698" i="4"/>
  <c r="T699" i="4"/>
  <c r="U699" i="4"/>
  <c r="T700" i="4"/>
  <c r="U700" i="4"/>
  <c r="T701" i="4"/>
  <c r="U701" i="4"/>
  <c r="T702" i="4"/>
  <c r="U702" i="4"/>
  <c r="T703" i="4"/>
  <c r="U703" i="4"/>
  <c r="T704" i="4"/>
  <c r="U704" i="4"/>
  <c r="T705" i="4"/>
  <c r="U705" i="4"/>
  <c r="T706" i="4"/>
  <c r="U706" i="4"/>
  <c r="T707" i="4"/>
  <c r="U707" i="4"/>
  <c r="T708" i="4"/>
  <c r="U708" i="4"/>
  <c r="T709" i="4"/>
  <c r="U709" i="4"/>
  <c r="T710" i="4"/>
  <c r="U710" i="4"/>
  <c r="T711" i="4"/>
  <c r="U711" i="4"/>
  <c r="T712" i="4"/>
  <c r="U712" i="4"/>
  <c r="T713" i="4"/>
  <c r="U713" i="4"/>
  <c r="T714" i="4"/>
  <c r="U714" i="4"/>
  <c r="T715" i="4"/>
  <c r="U715" i="4"/>
  <c r="T716" i="4"/>
  <c r="U716" i="4"/>
  <c r="T717" i="4"/>
  <c r="U717" i="4"/>
  <c r="T718" i="4"/>
  <c r="U718" i="4"/>
  <c r="T719" i="4"/>
  <c r="U719" i="4"/>
  <c r="T720" i="4"/>
  <c r="U720" i="4"/>
  <c r="T721" i="4"/>
  <c r="U721" i="4"/>
  <c r="T722" i="4"/>
  <c r="U722" i="4"/>
  <c r="T723" i="4"/>
  <c r="U723" i="4"/>
  <c r="T724" i="4"/>
  <c r="U724" i="4"/>
  <c r="T725" i="4"/>
  <c r="U725" i="4"/>
  <c r="T726" i="4"/>
  <c r="U726" i="4"/>
  <c r="T727" i="4"/>
  <c r="U727" i="4"/>
  <c r="T728" i="4"/>
  <c r="U728" i="4"/>
  <c r="T729" i="4"/>
  <c r="U729" i="4"/>
  <c r="T730" i="4"/>
  <c r="U730" i="4"/>
  <c r="T731" i="4"/>
  <c r="U731" i="4"/>
  <c r="T732" i="4"/>
  <c r="U732" i="4"/>
  <c r="T733" i="4"/>
  <c r="U733" i="4"/>
  <c r="T734" i="4"/>
  <c r="U734" i="4"/>
  <c r="T735" i="4"/>
  <c r="U735" i="4"/>
  <c r="T736" i="4"/>
  <c r="U736" i="4"/>
  <c r="T737" i="4"/>
  <c r="U737" i="4"/>
  <c r="T738" i="4"/>
  <c r="U738" i="4"/>
  <c r="T739" i="4"/>
  <c r="U739" i="4"/>
  <c r="T740" i="4"/>
  <c r="U740" i="4"/>
  <c r="T741" i="4"/>
  <c r="U741" i="4"/>
  <c r="T742" i="4"/>
  <c r="U742" i="4"/>
  <c r="T743" i="4"/>
  <c r="U743" i="4"/>
  <c r="T744" i="4"/>
  <c r="U744" i="4"/>
  <c r="T745" i="4"/>
  <c r="U745" i="4"/>
  <c r="T746" i="4"/>
  <c r="U746" i="4"/>
  <c r="T747" i="4"/>
  <c r="U747" i="4"/>
  <c r="T748" i="4"/>
  <c r="U748" i="4"/>
  <c r="T749" i="4"/>
  <c r="U749" i="4"/>
  <c r="T750" i="4"/>
  <c r="U750" i="4"/>
  <c r="T751" i="4"/>
  <c r="U751" i="4"/>
  <c r="T752" i="4"/>
  <c r="U752" i="4"/>
  <c r="T753" i="4"/>
  <c r="U753" i="4"/>
  <c r="T754" i="4"/>
  <c r="U754" i="4"/>
  <c r="T755" i="4"/>
  <c r="U755" i="4"/>
  <c r="T756" i="4"/>
  <c r="U756" i="4"/>
  <c r="T757" i="4"/>
  <c r="U757" i="4"/>
  <c r="T758" i="4"/>
  <c r="U758" i="4"/>
  <c r="T759" i="4"/>
  <c r="U759" i="4"/>
  <c r="T760" i="4"/>
  <c r="U760" i="4"/>
  <c r="T761" i="4"/>
  <c r="U761" i="4"/>
  <c r="T762" i="4"/>
  <c r="U762" i="4"/>
  <c r="T763" i="4"/>
  <c r="U763" i="4"/>
  <c r="T764" i="4"/>
  <c r="U764" i="4"/>
  <c r="T765" i="4"/>
  <c r="U765" i="4"/>
  <c r="T766" i="4"/>
  <c r="U766" i="4"/>
  <c r="T767" i="4"/>
  <c r="U767" i="4"/>
  <c r="T768" i="4"/>
  <c r="U768" i="4"/>
  <c r="T769" i="4"/>
  <c r="U769" i="4"/>
  <c r="T770" i="4"/>
  <c r="U770" i="4"/>
  <c r="T771" i="4"/>
  <c r="U771" i="4"/>
  <c r="T772" i="4"/>
  <c r="U772" i="4"/>
  <c r="T773" i="4"/>
  <c r="U773" i="4"/>
  <c r="T774" i="4"/>
  <c r="U774" i="4"/>
  <c r="T775" i="4"/>
  <c r="U775" i="4"/>
  <c r="T776" i="4"/>
  <c r="U776" i="4"/>
  <c r="T777" i="4"/>
  <c r="U777" i="4"/>
  <c r="T778" i="4"/>
  <c r="U778" i="4"/>
  <c r="T779" i="4"/>
  <c r="U779" i="4"/>
  <c r="T780" i="4"/>
  <c r="U780" i="4"/>
  <c r="T781" i="4"/>
  <c r="U781" i="4"/>
  <c r="T782" i="4"/>
  <c r="U782" i="4"/>
  <c r="T783" i="4"/>
  <c r="U783" i="4"/>
  <c r="T784" i="4"/>
  <c r="U784" i="4"/>
  <c r="T785" i="4"/>
  <c r="U785" i="4"/>
  <c r="T786" i="4"/>
  <c r="U786" i="4"/>
  <c r="T787" i="4"/>
  <c r="U787" i="4"/>
  <c r="T788" i="4"/>
  <c r="U788" i="4"/>
  <c r="T789" i="4"/>
  <c r="U789" i="4"/>
  <c r="T790" i="4"/>
  <c r="U790" i="4"/>
  <c r="T791" i="4"/>
  <c r="U791" i="4"/>
  <c r="T792" i="4"/>
  <c r="U792" i="4"/>
  <c r="T793" i="4"/>
  <c r="U793" i="4"/>
  <c r="T794" i="4"/>
  <c r="U794" i="4"/>
  <c r="T795" i="4"/>
  <c r="U795" i="4"/>
  <c r="T796" i="4"/>
  <c r="U796" i="4"/>
  <c r="T797" i="4"/>
  <c r="U797" i="4"/>
  <c r="T798" i="4"/>
  <c r="U798" i="4"/>
  <c r="T799" i="4"/>
  <c r="U799" i="4"/>
  <c r="T800" i="4"/>
  <c r="U800" i="4"/>
  <c r="T801" i="4"/>
  <c r="U801" i="4"/>
  <c r="T802" i="4"/>
  <c r="U802" i="4"/>
  <c r="T803" i="4"/>
  <c r="U803" i="4"/>
  <c r="T804" i="4"/>
  <c r="U804" i="4"/>
  <c r="T805" i="4"/>
  <c r="U805" i="4"/>
  <c r="T806" i="4"/>
  <c r="U806" i="4"/>
  <c r="T807" i="4"/>
  <c r="U807" i="4"/>
  <c r="T808" i="4"/>
  <c r="U808" i="4"/>
  <c r="T809" i="4"/>
  <c r="U809" i="4"/>
  <c r="T810" i="4"/>
  <c r="U810" i="4"/>
  <c r="T811" i="4"/>
  <c r="U811" i="4"/>
  <c r="T812" i="4"/>
  <c r="U812" i="4"/>
  <c r="T813" i="4"/>
  <c r="U813" i="4"/>
  <c r="T814" i="4"/>
  <c r="U814" i="4"/>
  <c r="T815" i="4"/>
  <c r="U815" i="4"/>
  <c r="T816" i="4"/>
  <c r="U816" i="4"/>
  <c r="T817" i="4"/>
  <c r="U817" i="4"/>
  <c r="T818" i="4"/>
  <c r="U818" i="4"/>
  <c r="T819" i="4"/>
  <c r="U819" i="4"/>
  <c r="T820" i="4"/>
  <c r="U820" i="4"/>
  <c r="T821" i="4"/>
  <c r="U821" i="4"/>
  <c r="T822" i="4"/>
  <c r="U822" i="4"/>
  <c r="T823" i="4"/>
  <c r="U823" i="4"/>
  <c r="T824" i="4"/>
  <c r="U824" i="4"/>
  <c r="T825" i="4"/>
  <c r="U825" i="4"/>
  <c r="T826" i="4"/>
  <c r="U826" i="4"/>
  <c r="T827" i="4"/>
  <c r="U827" i="4"/>
  <c r="T828" i="4"/>
  <c r="U828" i="4"/>
  <c r="T829" i="4"/>
  <c r="U829" i="4"/>
  <c r="T830" i="4"/>
  <c r="U830" i="4"/>
  <c r="T831" i="4"/>
  <c r="U831" i="4"/>
  <c r="T832" i="4"/>
  <c r="U832" i="4"/>
  <c r="T833" i="4"/>
  <c r="U833" i="4"/>
  <c r="T834" i="4"/>
  <c r="U834" i="4"/>
  <c r="T835" i="4"/>
  <c r="U835" i="4"/>
  <c r="T836" i="4"/>
  <c r="U836" i="4"/>
  <c r="T837" i="4"/>
  <c r="U837" i="4"/>
  <c r="T838" i="4"/>
  <c r="U838" i="4"/>
  <c r="T839" i="4"/>
  <c r="U839" i="4"/>
  <c r="T840" i="4"/>
  <c r="U840" i="4"/>
  <c r="T841" i="4"/>
  <c r="U841" i="4"/>
  <c r="T842" i="4"/>
  <c r="U842" i="4"/>
  <c r="T843" i="4"/>
  <c r="U843" i="4"/>
  <c r="T844" i="4"/>
  <c r="U844" i="4"/>
  <c r="T845" i="4"/>
  <c r="U845" i="4"/>
  <c r="T846" i="4"/>
  <c r="U846" i="4"/>
  <c r="T847" i="4"/>
  <c r="U847" i="4"/>
  <c r="T848" i="4"/>
  <c r="U848" i="4"/>
  <c r="T849" i="4"/>
  <c r="U849" i="4"/>
  <c r="T850" i="4"/>
  <c r="U850" i="4"/>
  <c r="T851" i="4"/>
  <c r="U851" i="4"/>
  <c r="T852" i="4"/>
  <c r="U852" i="4"/>
  <c r="T853" i="4"/>
  <c r="U853" i="4"/>
  <c r="T854" i="4"/>
  <c r="U854" i="4"/>
  <c r="T855" i="4"/>
  <c r="U855" i="4"/>
  <c r="T856" i="4"/>
  <c r="U856" i="4"/>
  <c r="T857" i="4"/>
  <c r="U857" i="4"/>
  <c r="T858" i="4"/>
  <c r="U858" i="4"/>
  <c r="T859" i="4"/>
  <c r="U859" i="4"/>
  <c r="T860" i="4"/>
  <c r="U860" i="4"/>
  <c r="T861" i="4"/>
  <c r="U861" i="4"/>
  <c r="T862" i="4"/>
  <c r="U862" i="4"/>
  <c r="T863" i="4"/>
  <c r="U863" i="4"/>
  <c r="T864" i="4"/>
  <c r="U864" i="4"/>
  <c r="T865" i="4"/>
  <c r="U865" i="4"/>
  <c r="T866" i="4"/>
  <c r="U866" i="4"/>
  <c r="T867" i="4"/>
  <c r="U867" i="4"/>
  <c r="T868" i="4"/>
  <c r="U868" i="4"/>
  <c r="T869" i="4"/>
  <c r="U869" i="4"/>
  <c r="T870" i="4"/>
  <c r="U870" i="4"/>
  <c r="T871" i="4"/>
  <c r="U871" i="4"/>
  <c r="T872" i="4"/>
  <c r="U872" i="4"/>
  <c r="T873" i="4"/>
  <c r="U873" i="4"/>
  <c r="T874" i="4"/>
  <c r="U874" i="4"/>
  <c r="T875" i="4"/>
  <c r="U875" i="4"/>
  <c r="T876" i="4"/>
  <c r="U876" i="4"/>
  <c r="T877" i="4"/>
  <c r="U877" i="4"/>
  <c r="T878" i="4"/>
  <c r="U878" i="4"/>
  <c r="T879" i="4"/>
  <c r="U879" i="4"/>
  <c r="T880" i="4"/>
  <c r="U880" i="4"/>
  <c r="T881" i="4"/>
  <c r="U881" i="4"/>
  <c r="T882" i="4"/>
  <c r="U882" i="4"/>
  <c r="T883" i="4"/>
  <c r="U883" i="4"/>
  <c r="T884" i="4"/>
  <c r="U884" i="4"/>
  <c r="T885" i="4"/>
  <c r="U885" i="4"/>
  <c r="T886" i="4"/>
  <c r="U886" i="4"/>
  <c r="T887" i="4"/>
  <c r="U887" i="4"/>
  <c r="T888" i="4"/>
  <c r="U888" i="4"/>
  <c r="T889" i="4"/>
  <c r="U889" i="4"/>
  <c r="T890" i="4"/>
  <c r="U890" i="4"/>
  <c r="T891" i="4"/>
  <c r="U891" i="4"/>
  <c r="T892" i="4"/>
  <c r="U892" i="4"/>
  <c r="T893" i="4"/>
  <c r="U893" i="4"/>
  <c r="T894" i="4"/>
  <c r="U894" i="4"/>
  <c r="T895" i="4"/>
  <c r="U895" i="4"/>
  <c r="T896" i="4"/>
  <c r="U896" i="4"/>
  <c r="T897" i="4"/>
  <c r="U897" i="4"/>
  <c r="T898" i="4"/>
  <c r="U898" i="4"/>
  <c r="T899" i="4"/>
  <c r="U899" i="4"/>
  <c r="T900" i="4"/>
  <c r="U900" i="4"/>
  <c r="T901" i="4"/>
  <c r="U901" i="4"/>
  <c r="T902" i="4"/>
  <c r="U902" i="4"/>
  <c r="T903" i="4"/>
  <c r="U903" i="4"/>
  <c r="T904" i="4"/>
  <c r="U904" i="4"/>
  <c r="T905" i="4"/>
  <c r="U905" i="4"/>
  <c r="T906" i="4"/>
  <c r="U906" i="4"/>
  <c r="T907" i="4"/>
  <c r="U907" i="4"/>
  <c r="T908" i="4"/>
  <c r="U908" i="4"/>
  <c r="T909" i="4"/>
  <c r="U909" i="4"/>
  <c r="T910" i="4"/>
  <c r="U910" i="4"/>
  <c r="T911" i="4"/>
  <c r="U911" i="4"/>
  <c r="T912" i="4"/>
  <c r="U912" i="4"/>
  <c r="T913" i="4"/>
  <c r="U913" i="4"/>
  <c r="T914" i="4"/>
  <c r="U914" i="4"/>
  <c r="T915" i="4"/>
  <c r="U915" i="4"/>
  <c r="T916" i="4"/>
  <c r="U916" i="4"/>
  <c r="T917" i="4"/>
  <c r="U917" i="4"/>
  <c r="T918" i="4"/>
  <c r="U918" i="4"/>
  <c r="T919" i="4"/>
  <c r="U919" i="4"/>
  <c r="T920" i="4"/>
  <c r="U920" i="4"/>
  <c r="T921" i="4"/>
  <c r="U921" i="4"/>
  <c r="T922" i="4"/>
  <c r="U922" i="4"/>
  <c r="T923" i="4"/>
  <c r="U923" i="4"/>
  <c r="T924" i="4"/>
  <c r="U924" i="4"/>
  <c r="T925" i="4"/>
  <c r="U925" i="4"/>
  <c r="T926" i="4"/>
  <c r="U926" i="4"/>
  <c r="T927" i="4"/>
  <c r="U927" i="4"/>
  <c r="T928" i="4"/>
  <c r="U928" i="4"/>
  <c r="T929" i="4"/>
  <c r="U929" i="4"/>
  <c r="T930" i="4"/>
  <c r="U930" i="4"/>
  <c r="T931" i="4"/>
  <c r="U931" i="4"/>
  <c r="T932" i="4"/>
  <c r="U932" i="4"/>
  <c r="T933" i="4"/>
  <c r="U933" i="4"/>
  <c r="T934" i="4"/>
  <c r="U934" i="4"/>
  <c r="T935" i="4"/>
  <c r="U935" i="4"/>
  <c r="T936" i="4"/>
  <c r="U936" i="4"/>
  <c r="T937" i="4"/>
  <c r="U937" i="4"/>
  <c r="T938" i="4"/>
  <c r="U938" i="4"/>
  <c r="T939" i="4"/>
  <c r="U939" i="4"/>
  <c r="T940" i="4"/>
  <c r="U940" i="4"/>
  <c r="T941" i="4"/>
  <c r="U941" i="4"/>
  <c r="T942" i="4"/>
  <c r="U942" i="4"/>
  <c r="T943" i="4"/>
  <c r="U943" i="4"/>
  <c r="T944" i="4"/>
  <c r="U944" i="4"/>
  <c r="T945" i="4"/>
  <c r="U945" i="4"/>
  <c r="T946" i="4"/>
  <c r="U946" i="4"/>
  <c r="T947" i="4"/>
  <c r="U947" i="4"/>
  <c r="T948" i="4"/>
  <c r="U948" i="4"/>
  <c r="T949" i="4"/>
  <c r="U949" i="4"/>
  <c r="T950" i="4"/>
  <c r="U950" i="4"/>
  <c r="T951" i="4"/>
  <c r="U951" i="4"/>
  <c r="T952" i="4"/>
  <c r="U952" i="4"/>
  <c r="T953" i="4"/>
  <c r="U953" i="4"/>
  <c r="T954" i="4"/>
  <c r="U954" i="4"/>
  <c r="T955" i="4"/>
  <c r="U955" i="4"/>
  <c r="T956" i="4"/>
  <c r="U956" i="4"/>
  <c r="T957" i="4"/>
  <c r="U957" i="4"/>
  <c r="T958" i="4"/>
  <c r="U958" i="4"/>
  <c r="T959" i="4"/>
  <c r="U959" i="4"/>
  <c r="T960" i="4"/>
  <c r="U960" i="4"/>
  <c r="T961" i="4"/>
  <c r="U961" i="4"/>
  <c r="T962" i="4"/>
  <c r="U962" i="4"/>
  <c r="T963" i="4"/>
  <c r="U963" i="4"/>
  <c r="T964" i="4"/>
  <c r="U964" i="4"/>
  <c r="T965" i="4"/>
  <c r="U965" i="4"/>
  <c r="T966" i="4"/>
  <c r="U966" i="4"/>
  <c r="T967" i="4"/>
  <c r="U967" i="4"/>
  <c r="T968" i="4"/>
  <c r="U968" i="4"/>
  <c r="T969" i="4"/>
  <c r="U969" i="4"/>
  <c r="T970" i="4"/>
  <c r="U970" i="4"/>
  <c r="T971" i="4"/>
  <c r="U971" i="4"/>
  <c r="T972" i="4"/>
  <c r="U972" i="4"/>
  <c r="T973" i="4"/>
  <c r="U973" i="4"/>
  <c r="T974" i="4"/>
  <c r="U974" i="4"/>
  <c r="T975" i="4"/>
  <c r="U975" i="4"/>
  <c r="T976" i="4"/>
  <c r="U976" i="4"/>
  <c r="T977" i="4"/>
  <c r="U977" i="4"/>
  <c r="T978" i="4"/>
  <c r="U978" i="4"/>
  <c r="T979" i="4"/>
  <c r="U979" i="4"/>
  <c r="T980" i="4"/>
  <c r="U980" i="4"/>
  <c r="T981" i="4"/>
  <c r="U981" i="4"/>
  <c r="T982" i="4"/>
  <c r="U982" i="4"/>
  <c r="T983" i="4"/>
  <c r="U983" i="4"/>
  <c r="T984" i="4"/>
  <c r="U984" i="4"/>
  <c r="T985" i="4"/>
  <c r="U985" i="4"/>
  <c r="T986" i="4"/>
  <c r="U986" i="4"/>
  <c r="T987" i="4"/>
  <c r="U987" i="4"/>
  <c r="T988" i="4"/>
  <c r="U988" i="4"/>
  <c r="T989" i="4"/>
  <c r="U989" i="4"/>
  <c r="T990" i="4"/>
  <c r="U990" i="4"/>
  <c r="T991" i="4"/>
  <c r="U991" i="4"/>
  <c r="T992" i="4"/>
  <c r="U992" i="4"/>
  <c r="T993" i="4"/>
  <c r="U993" i="4"/>
  <c r="T994" i="4"/>
  <c r="U994" i="4"/>
  <c r="T995" i="4"/>
  <c r="U995" i="4"/>
  <c r="T996" i="4"/>
  <c r="U996" i="4"/>
  <c r="T997" i="4"/>
  <c r="U997" i="4"/>
  <c r="T998" i="4"/>
  <c r="U998" i="4"/>
  <c r="T999" i="4"/>
  <c r="U999" i="4"/>
  <c r="T1000" i="4"/>
  <c r="U1000" i="4"/>
  <c r="T1001" i="4"/>
  <c r="U1001" i="4"/>
  <c r="T1002" i="4"/>
  <c r="U1002" i="4"/>
  <c r="T1003" i="4"/>
  <c r="U1003" i="4"/>
  <c r="U4" i="4"/>
  <c r="T4"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90" i="4"/>
  <c r="S91" i="4"/>
  <c r="S92" i="4"/>
  <c r="S93" i="4"/>
  <c r="S94" i="4"/>
  <c r="S95"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152" i="4"/>
  <c r="S153" i="4"/>
  <c r="S154" i="4"/>
  <c r="S155" i="4"/>
  <c r="S156"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S202" i="4"/>
  <c r="S203" i="4"/>
  <c r="S204" i="4"/>
  <c r="S205" i="4"/>
  <c r="S206" i="4"/>
  <c r="S207" i="4"/>
  <c r="S208" i="4"/>
  <c r="S209" i="4"/>
  <c r="S210" i="4"/>
  <c r="S211" i="4"/>
  <c r="S212" i="4"/>
  <c r="S213" i="4"/>
  <c r="S214" i="4"/>
  <c r="S215" i="4"/>
  <c r="S216" i="4"/>
  <c r="S217" i="4"/>
  <c r="S218" i="4"/>
  <c r="S219" i="4"/>
  <c r="S220" i="4"/>
  <c r="S221" i="4"/>
  <c r="S222" i="4"/>
  <c r="S223" i="4"/>
  <c r="S224" i="4"/>
  <c r="S225" i="4"/>
  <c r="S226" i="4"/>
  <c r="S227" i="4"/>
  <c r="S228" i="4"/>
  <c r="S229" i="4"/>
  <c r="S230" i="4"/>
  <c r="S231" i="4"/>
  <c r="S232" i="4"/>
  <c r="S233" i="4"/>
  <c r="S234" i="4"/>
  <c r="S235" i="4"/>
  <c r="S236" i="4"/>
  <c r="S237" i="4"/>
  <c r="S238" i="4"/>
  <c r="S239" i="4"/>
  <c r="S240" i="4"/>
  <c r="S241" i="4"/>
  <c r="S242" i="4"/>
  <c r="S243" i="4"/>
  <c r="S244" i="4"/>
  <c r="S245" i="4"/>
  <c r="S246" i="4"/>
  <c r="S247" i="4"/>
  <c r="S248" i="4"/>
  <c r="S249" i="4"/>
  <c r="S250" i="4"/>
  <c r="S251" i="4"/>
  <c r="S252" i="4"/>
  <c r="S253" i="4"/>
  <c r="S254" i="4"/>
  <c r="S255" i="4"/>
  <c r="S256" i="4"/>
  <c r="S257" i="4"/>
  <c r="S258" i="4"/>
  <c r="S259" i="4"/>
  <c r="S260" i="4"/>
  <c r="S261" i="4"/>
  <c r="S262" i="4"/>
  <c r="S263" i="4"/>
  <c r="S264" i="4"/>
  <c r="S265" i="4"/>
  <c r="S266" i="4"/>
  <c r="S267" i="4"/>
  <c r="S268" i="4"/>
  <c r="S269" i="4"/>
  <c r="S270" i="4"/>
  <c r="S271" i="4"/>
  <c r="S272" i="4"/>
  <c r="S273" i="4"/>
  <c r="S274" i="4"/>
  <c r="S275" i="4"/>
  <c r="S276" i="4"/>
  <c r="S277" i="4"/>
  <c r="S278" i="4"/>
  <c r="S279" i="4"/>
  <c r="S280" i="4"/>
  <c r="S281" i="4"/>
  <c r="S282" i="4"/>
  <c r="S283" i="4"/>
  <c r="S284" i="4"/>
  <c r="S285" i="4"/>
  <c r="S286" i="4"/>
  <c r="S287" i="4"/>
  <c r="S288" i="4"/>
  <c r="S289" i="4"/>
  <c r="S290" i="4"/>
  <c r="S291" i="4"/>
  <c r="S292" i="4"/>
  <c r="S293" i="4"/>
  <c r="S294" i="4"/>
  <c r="S295" i="4"/>
  <c r="S296" i="4"/>
  <c r="S297" i="4"/>
  <c r="S298" i="4"/>
  <c r="S299" i="4"/>
  <c r="S300" i="4"/>
  <c r="S301" i="4"/>
  <c r="S302" i="4"/>
  <c r="S303" i="4"/>
  <c r="S304" i="4"/>
  <c r="S305" i="4"/>
  <c r="S306" i="4"/>
  <c r="S307" i="4"/>
  <c r="S308" i="4"/>
  <c r="S309" i="4"/>
  <c r="S310" i="4"/>
  <c r="S311" i="4"/>
  <c r="S312" i="4"/>
  <c r="S313" i="4"/>
  <c r="S314" i="4"/>
  <c r="S315" i="4"/>
  <c r="S316" i="4"/>
  <c r="S317" i="4"/>
  <c r="S318" i="4"/>
  <c r="S319" i="4"/>
  <c r="S320" i="4"/>
  <c r="S321" i="4"/>
  <c r="S322" i="4"/>
  <c r="S323" i="4"/>
  <c r="S324" i="4"/>
  <c r="S325" i="4"/>
  <c r="S326" i="4"/>
  <c r="S327" i="4"/>
  <c r="S328" i="4"/>
  <c r="S329" i="4"/>
  <c r="S330" i="4"/>
  <c r="S331" i="4"/>
  <c r="S332" i="4"/>
  <c r="S333" i="4"/>
  <c r="S334" i="4"/>
  <c r="S335" i="4"/>
  <c r="S336" i="4"/>
  <c r="S337" i="4"/>
  <c r="S338" i="4"/>
  <c r="S339" i="4"/>
  <c r="S340" i="4"/>
  <c r="S341" i="4"/>
  <c r="S342" i="4"/>
  <c r="S343" i="4"/>
  <c r="S344" i="4"/>
  <c r="S345" i="4"/>
  <c r="S346" i="4"/>
  <c r="S347" i="4"/>
  <c r="S348" i="4"/>
  <c r="S349" i="4"/>
  <c r="S350" i="4"/>
  <c r="S351" i="4"/>
  <c r="S352" i="4"/>
  <c r="S353" i="4"/>
  <c r="S354" i="4"/>
  <c r="S355" i="4"/>
  <c r="S356" i="4"/>
  <c r="S357" i="4"/>
  <c r="S358" i="4"/>
  <c r="S359" i="4"/>
  <c r="S360" i="4"/>
  <c r="S361" i="4"/>
  <c r="S362" i="4"/>
  <c r="S363" i="4"/>
  <c r="S364" i="4"/>
  <c r="S365" i="4"/>
  <c r="S366" i="4"/>
  <c r="S367" i="4"/>
  <c r="S368" i="4"/>
  <c r="S369" i="4"/>
  <c r="S370" i="4"/>
  <c r="S371" i="4"/>
  <c r="S372" i="4"/>
  <c r="S373" i="4"/>
  <c r="S374" i="4"/>
  <c r="S375" i="4"/>
  <c r="S376" i="4"/>
  <c r="S377" i="4"/>
  <c r="S378" i="4"/>
  <c r="S379" i="4"/>
  <c r="S380" i="4"/>
  <c r="S381" i="4"/>
  <c r="S382" i="4"/>
  <c r="S383" i="4"/>
  <c r="S384" i="4"/>
  <c r="S385" i="4"/>
  <c r="S386" i="4"/>
  <c r="S387" i="4"/>
  <c r="S388" i="4"/>
  <c r="S389" i="4"/>
  <c r="S390" i="4"/>
  <c r="S391" i="4"/>
  <c r="S392" i="4"/>
  <c r="S393" i="4"/>
  <c r="S394" i="4"/>
  <c r="S395" i="4"/>
  <c r="S396" i="4"/>
  <c r="S397" i="4"/>
  <c r="S398" i="4"/>
  <c r="S399" i="4"/>
  <c r="S400" i="4"/>
  <c r="S401" i="4"/>
  <c r="S402" i="4"/>
  <c r="S403" i="4"/>
  <c r="S404" i="4"/>
  <c r="S405" i="4"/>
  <c r="S406" i="4"/>
  <c r="S407" i="4"/>
  <c r="S408" i="4"/>
  <c r="S409" i="4"/>
  <c r="S410" i="4"/>
  <c r="S411" i="4"/>
  <c r="S412" i="4"/>
  <c r="S413" i="4"/>
  <c r="S414" i="4"/>
  <c r="S415" i="4"/>
  <c r="S416" i="4"/>
  <c r="S417" i="4"/>
  <c r="S418" i="4"/>
  <c r="S419" i="4"/>
  <c r="S420" i="4"/>
  <c r="S421" i="4"/>
  <c r="S422" i="4"/>
  <c r="S423" i="4"/>
  <c r="S424" i="4"/>
  <c r="S425" i="4"/>
  <c r="S426" i="4"/>
  <c r="S427" i="4"/>
  <c r="S428" i="4"/>
  <c r="S429" i="4"/>
  <c r="S430" i="4"/>
  <c r="S431" i="4"/>
  <c r="S432" i="4"/>
  <c r="S433" i="4"/>
  <c r="S434" i="4"/>
  <c r="S435" i="4"/>
  <c r="S436" i="4"/>
  <c r="S437" i="4"/>
  <c r="S438" i="4"/>
  <c r="S439" i="4"/>
  <c r="S440" i="4"/>
  <c r="S441" i="4"/>
  <c r="S442" i="4"/>
  <c r="S443" i="4"/>
  <c r="S444" i="4"/>
  <c r="S445" i="4"/>
  <c r="S446" i="4"/>
  <c r="S447" i="4"/>
  <c r="S448" i="4"/>
  <c r="S449" i="4"/>
  <c r="S450" i="4"/>
  <c r="S451" i="4"/>
  <c r="S452" i="4"/>
  <c r="S453" i="4"/>
  <c r="S454" i="4"/>
  <c r="S455" i="4"/>
  <c r="S456" i="4"/>
  <c r="S457" i="4"/>
  <c r="S458" i="4"/>
  <c r="S459" i="4"/>
  <c r="S460" i="4"/>
  <c r="S461" i="4"/>
  <c r="S462" i="4"/>
  <c r="S463" i="4"/>
  <c r="S464" i="4"/>
  <c r="S465" i="4"/>
  <c r="S466" i="4"/>
  <c r="S467" i="4"/>
  <c r="S468" i="4"/>
  <c r="S469" i="4"/>
  <c r="S470" i="4"/>
  <c r="S471" i="4"/>
  <c r="S472" i="4"/>
  <c r="S473" i="4"/>
  <c r="S474" i="4"/>
  <c r="S475" i="4"/>
  <c r="S476" i="4"/>
  <c r="S477" i="4"/>
  <c r="S478" i="4"/>
  <c r="S479" i="4"/>
  <c r="S480" i="4"/>
  <c r="S481" i="4"/>
  <c r="S482" i="4"/>
  <c r="S483" i="4"/>
  <c r="S484" i="4"/>
  <c r="S485" i="4"/>
  <c r="S486" i="4"/>
  <c r="S487" i="4"/>
  <c r="S488" i="4"/>
  <c r="S489" i="4"/>
  <c r="S490" i="4"/>
  <c r="S491" i="4"/>
  <c r="S492" i="4"/>
  <c r="S493" i="4"/>
  <c r="S494" i="4"/>
  <c r="S495" i="4"/>
  <c r="S496" i="4"/>
  <c r="S497" i="4"/>
  <c r="S498" i="4"/>
  <c r="S499" i="4"/>
  <c r="S500" i="4"/>
  <c r="S501" i="4"/>
  <c r="S502" i="4"/>
  <c r="S503" i="4"/>
  <c r="S504" i="4"/>
  <c r="S505" i="4"/>
  <c r="S506" i="4"/>
  <c r="S507" i="4"/>
  <c r="S508" i="4"/>
  <c r="S509" i="4"/>
  <c r="S510" i="4"/>
  <c r="S511" i="4"/>
  <c r="S512" i="4"/>
  <c r="S513" i="4"/>
  <c r="S514" i="4"/>
  <c r="S515" i="4"/>
  <c r="S516" i="4"/>
  <c r="S517" i="4"/>
  <c r="S518" i="4"/>
  <c r="S519" i="4"/>
  <c r="S520" i="4"/>
  <c r="S521" i="4"/>
  <c r="S522" i="4"/>
  <c r="S523" i="4"/>
  <c r="S524" i="4"/>
  <c r="S525" i="4"/>
  <c r="S526" i="4"/>
  <c r="S527" i="4"/>
  <c r="S528" i="4"/>
  <c r="S529" i="4"/>
  <c r="S530" i="4"/>
  <c r="S531" i="4"/>
  <c r="S532" i="4"/>
  <c r="S533" i="4"/>
  <c r="S534" i="4"/>
  <c r="S535" i="4"/>
  <c r="S536" i="4"/>
  <c r="S537" i="4"/>
  <c r="S538" i="4"/>
  <c r="S539" i="4"/>
  <c r="S540" i="4"/>
  <c r="S541" i="4"/>
  <c r="S542" i="4"/>
  <c r="S543" i="4"/>
  <c r="S544" i="4"/>
  <c r="S545" i="4"/>
  <c r="S546" i="4"/>
  <c r="S547" i="4"/>
  <c r="S548" i="4"/>
  <c r="S549" i="4"/>
  <c r="S550" i="4"/>
  <c r="S551" i="4"/>
  <c r="S552" i="4"/>
  <c r="S553" i="4"/>
  <c r="S554" i="4"/>
  <c r="S555" i="4"/>
  <c r="S556" i="4"/>
  <c r="S557" i="4"/>
  <c r="S558" i="4"/>
  <c r="S559" i="4"/>
  <c r="S560" i="4"/>
  <c r="S561" i="4"/>
  <c r="S562" i="4"/>
  <c r="S563" i="4"/>
  <c r="S564" i="4"/>
  <c r="S565" i="4"/>
  <c r="S566" i="4"/>
  <c r="S567" i="4"/>
  <c r="S568" i="4"/>
  <c r="S569" i="4"/>
  <c r="S570" i="4"/>
  <c r="S571" i="4"/>
  <c r="S572" i="4"/>
  <c r="S573" i="4"/>
  <c r="S574" i="4"/>
  <c r="S575" i="4"/>
  <c r="S576" i="4"/>
  <c r="S577" i="4"/>
  <c r="S578" i="4"/>
  <c r="S579" i="4"/>
  <c r="S580" i="4"/>
  <c r="S581" i="4"/>
  <c r="S582" i="4"/>
  <c r="S583" i="4"/>
  <c r="S584" i="4"/>
  <c r="S585" i="4"/>
  <c r="S586" i="4"/>
  <c r="S587" i="4"/>
  <c r="S588" i="4"/>
  <c r="S589" i="4"/>
  <c r="S590" i="4"/>
  <c r="S591" i="4"/>
  <c r="S592" i="4"/>
  <c r="S593" i="4"/>
  <c r="S594" i="4"/>
  <c r="S595" i="4"/>
  <c r="S596" i="4"/>
  <c r="S597" i="4"/>
  <c r="S598" i="4"/>
  <c r="S599" i="4"/>
  <c r="S600" i="4"/>
  <c r="S601" i="4"/>
  <c r="S602" i="4"/>
  <c r="S603" i="4"/>
  <c r="S604" i="4"/>
  <c r="S605" i="4"/>
  <c r="S606" i="4"/>
  <c r="S607" i="4"/>
  <c r="S608" i="4"/>
  <c r="S609" i="4"/>
  <c r="S610" i="4"/>
  <c r="S611" i="4"/>
  <c r="S612" i="4"/>
  <c r="S613" i="4"/>
  <c r="S614" i="4"/>
  <c r="S615" i="4"/>
  <c r="S616" i="4"/>
  <c r="S617" i="4"/>
  <c r="S618" i="4"/>
  <c r="S619" i="4"/>
  <c r="S620" i="4"/>
  <c r="S621" i="4"/>
  <c r="S622" i="4"/>
  <c r="S623" i="4"/>
  <c r="S624" i="4"/>
  <c r="S625" i="4"/>
  <c r="S626" i="4"/>
  <c r="S627" i="4"/>
  <c r="S628" i="4"/>
  <c r="S629" i="4"/>
  <c r="S630" i="4"/>
  <c r="S631" i="4"/>
  <c r="S632" i="4"/>
  <c r="S633" i="4"/>
  <c r="S634" i="4"/>
  <c r="S635" i="4"/>
  <c r="S636" i="4"/>
  <c r="S637" i="4"/>
  <c r="S638" i="4"/>
  <c r="S639" i="4"/>
  <c r="S640" i="4"/>
  <c r="S641" i="4"/>
  <c r="S642" i="4"/>
  <c r="S643" i="4"/>
  <c r="S644" i="4"/>
  <c r="S645" i="4"/>
  <c r="S646" i="4"/>
  <c r="S647" i="4"/>
  <c r="S648" i="4"/>
  <c r="S649" i="4"/>
  <c r="S650" i="4"/>
  <c r="S651" i="4"/>
  <c r="S652" i="4"/>
  <c r="S653" i="4"/>
  <c r="S654" i="4"/>
  <c r="S655" i="4"/>
  <c r="S656" i="4"/>
  <c r="S657" i="4"/>
  <c r="S658" i="4"/>
  <c r="S659" i="4"/>
  <c r="S660" i="4"/>
  <c r="S661" i="4"/>
  <c r="S662" i="4"/>
  <c r="S663" i="4"/>
  <c r="S664" i="4"/>
  <c r="S665" i="4"/>
  <c r="S666" i="4"/>
  <c r="S667" i="4"/>
  <c r="S668" i="4"/>
  <c r="S669" i="4"/>
  <c r="S670" i="4"/>
  <c r="S671" i="4"/>
  <c r="S672" i="4"/>
  <c r="S673" i="4"/>
  <c r="S674" i="4"/>
  <c r="S675" i="4"/>
  <c r="S676" i="4"/>
  <c r="S677" i="4"/>
  <c r="S678" i="4"/>
  <c r="S679" i="4"/>
  <c r="S680" i="4"/>
  <c r="S681" i="4"/>
  <c r="S682" i="4"/>
  <c r="S683" i="4"/>
  <c r="S684" i="4"/>
  <c r="S685" i="4"/>
  <c r="S686" i="4"/>
  <c r="S687" i="4"/>
  <c r="S688" i="4"/>
  <c r="S689" i="4"/>
  <c r="S690" i="4"/>
  <c r="S691" i="4"/>
  <c r="S692" i="4"/>
  <c r="S693" i="4"/>
  <c r="S694" i="4"/>
  <c r="S695" i="4"/>
  <c r="S696" i="4"/>
  <c r="S697" i="4"/>
  <c r="S698" i="4"/>
  <c r="S699" i="4"/>
  <c r="S700" i="4"/>
  <c r="S701" i="4"/>
  <c r="S702" i="4"/>
  <c r="S703" i="4"/>
  <c r="S704" i="4"/>
  <c r="S705" i="4"/>
  <c r="S706" i="4"/>
  <c r="S707" i="4"/>
  <c r="S708" i="4"/>
  <c r="S709" i="4"/>
  <c r="S710" i="4"/>
  <c r="S711" i="4"/>
  <c r="S712" i="4"/>
  <c r="S713" i="4"/>
  <c r="S714" i="4"/>
  <c r="S715" i="4"/>
  <c r="S716" i="4"/>
  <c r="S717" i="4"/>
  <c r="S718" i="4"/>
  <c r="S719" i="4"/>
  <c r="S720" i="4"/>
  <c r="S721" i="4"/>
  <c r="S722" i="4"/>
  <c r="S723" i="4"/>
  <c r="S724" i="4"/>
  <c r="S725" i="4"/>
  <c r="S726" i="4"/>
  <c r="S727" i="4"/>
  <c r="S728" i="4"/>
  <c r="S729" i="4"/>
  <c r="S730" i="4"/>
  <c r="S731" i="4"/>
  <c r="S732" i="4"/>
  <c r="S733" i="4"/>
  <c r="S734" i="4"/>
  <c r="S735" i="4"/>
  <c r="S736" i="4"/>
  <c r="S737" i="4"/>
  <c r="S738" i="4"/>
  <c r="S739" i="4"/>
  <c r="S740" i="4"/>
  <c r="S741" i="4"/>
  <c r="S742" i="4"/>
  <c r="S743" i="4"/>
  <c r="S744" i="4"/>
  <c r="S745" i="4"/>
  <c r="S746" i="4"/>
  <c r="S747" i="4"/>
  <c r="S748" i="4"/>
  <c r="S749" i="4"/>
  <c r="S750" i="4"/>
  <c r="S751" i="4"/>
  <c r="S752" i="4"/>
  <c r="S753" i="4"/>
  <c r="S754" i="4"/>
  <c r="S755" i="4"/>
  <c r="S756" i="4"/>
  <c r="S757" i="4"/>
  <c r="S758" i="4"/>
  <c r="S759" i="4"/>
  <c r="S760" i="4"/>
  <c r="S761" i="4"/>
  <c r="S762" i="4"/>
  <c r="S763" i="4"/>
  <c r="S764" i="4"/>
  <c r="S765" i="4"/>
  <c r="S766" i="4"/>
  <c r="S767" i="4"/>
  <c r="S768" i="4"/>
  <c r="S769" i="4"/>
  <c r="S770" i="4"/>
  <c r="S771" i="4"/>
  <c r="S772" i="4"/>
  <c r="S773" i="4"/>
  <c r="S774" i="4"/>
  <c r="S775" i="4"/>
  <c r="S776" i="4"/>
  <c r="S777" i="4"/>
  <c r="S778" i="4"/>
  <c r="S779" i="4"/>
  <c r="S780" i="4"/>
  <c r="S781" i="4"/>
  <c r="S782" i="4"/>
  <c r="S783" i="4"/>
  <c r="S784" i="4"/>
  <c r="S785" i="4"/>
  <c r="S786" i="4"/>
  <c r="S787" i="4"/>
  <c r="S788" i="4"/>
  <c r="S789" i="4"/>
  <c r="S790" i="4"/>
  <c r="S791" i="4"/>
  <c r="S792" i="4"/>
  <c r="S793" i="4"/>
  <c r="S794" i="4"/>
  <c r="S795" i="4"/>
  <c r="S796" i="4"/>
  <c r="S797" i="4"/>
  <c r="S798" i="4"/>
  <c r="S799" i="4"/>
  <c r="S800" i="4"/>
  <c r="S801" i="4"/>
  <c r="S802" i="4"/>
  <c r="S803" i="4"/>
  <c r="S804" i="4"/>
  <c r="S805" i="4"/>
  <c r="S806" i="4"/>
  <c r="S807" i="4"/>
  <c r="S808" i="4"/>
  <c r="S809" i="4"/>
  <c r="S810" i="4"/>
  <c r="S811" i="4"/>
  <c r="S812" i="4"/>
  <c r="S813" i="4"/>
  <c r="S814" i="4"/>
  <c r="S815" i="4"/>
  <c r="S816" i="4"/>
  <c r="S817" i="4"/>
  <c r="S818" i="4"/>
  <c r="S819" i="4"/>
  <c r="S820" i="4"/>
  <c r="S821" i="4"/>
  <c r="S822" i="4"/>
  <c r="S823" i="4"/>
  <c r="S824" i="4"/>
  <c r="S825" i="4"/>
  <c r="S826" i="4"/>
  <c r="S827" i="4"/>
  <c r="S828" i="4"/>
  <c r="S829" i="4"/>
  <c r="S830" i="4"/>
  <c r="S831" i="4"/>
  <c r="S832" i="4"/>
  <c r="S833" i="4"/>
  <c r="S834" i="4"/>
  <c r="S835" i="4"/>
  <c r="S836" i="4"/>
  <c r="S837" i="4"/>
  <c r="S838" i="4"/>
  <c r="S839" i="4"/>
  <c r="S840" i="4"/>
  <c r="S841" i="4"/>
  <c r="S842" i="4"/>
  <c r="S843" i="4"/>
  <c r="S844" i="4"/>
  <c r="S845" i="4"/>
  <c r="S846" i="4"/>
  <c r="S847" i="4"/>
  <c r="S848" i="4"/>
  <c r="S849" i="4"/>
  <c r="S850" i="4"/>
  <c r="S851" i="4"/>
  <c r="S852" i="4"/>
  <c r="S853" i="4"/>
  <c r="S854" i="4"/>
  <c r="S855" i="4"/>
  <c r="S856" i="4"/>
  <c r="S857" i="4"/>
  <c r="S858" i="4"/>
  <c r="S859" i="4"/>
  <c r="S860" i="4"/>
  <c r="S861" i="4"/>
  <c r="S862" i="4"/>
  <c r="S863" i="4"/>
  <c r="S864" i="4"/>
  <c r="S865" i="4"/>
  <c r="S866" i="4"/>
  <c r="S867" i="4"/>
  <c r="S868" i="4"/>
  <c r="S869" i="4"/>
  <c r="S870" i="4"/>
  <c r="S871" i="4"/>
  <c r="S872" i="4"/>
  <c r="S873" i="4"/>
  <c r="S874" i="4"/>
  <c r="S875" i="4"/>
  <c r="S876" i="4"/>
  <c r="S877" i="4"/>
  <c r="S878" i="4"/>
  <c r="S879" i="4"/>
  <c r="S880" i="4"/>
  <c r="S881" i="4"/>
  <c r="S882" i="4"/>
  <c r="S883" i="4"/>
  <c r="S884" i="4"/>
  <c r="S885" i="4"/>
  <c r="S886" i="4"/>
  <c r="S887" i="4"/>
  <c r="S888" i="4"/>
  <c r="S889" i="4"/>
  <c r="S890" i="4"/>
  <c r="S891" i="4"/>
  <c r="S892" i="4"/>
  <c r="S893" i="4"/>
  <c r="S894" i="4"/>
  <c r="S895" i="4"/>
  <c r="S896" i="4"/>
  <c r="S897" i="4"/>
  <c r="S898" i="4"/>
  <c r="S899" i="4"/>
  <c r="S900" i="4"/>
  <c r="S901" i="4"/>
  <c r="S902" i="4"/>
  <c r="S903" i="4"/>
  <c r="S904" i="4"/>
  <c r="S905" i="4"/>
  <c r="S906" i="4"/>
  <c r="S907" i="4"/>
  <c r="S908" i="4"/>
  <c r="S909" i="4"/>
  <c r="S910" i="4"/>
  <c r="S911" i="4"/>
  <c r="S912" i="4"/>
  <c r="S913" i="4"/>
  <c r="S914" i="4"/>
  <c r="S915" i="4"/>
  <c r="S916" i="4"/>
  <c r="S917" i="4"/>
  <c r="S918" i="4"/>
  <c r="S919" i="4"/>
  <c r="S920" i="4"/>
  <c r="S921" i="4"/>
  <c r="S922" i="4"/>
  <c r="S923" i="4"/>
  <c r="S924" i="4"/>
  <c r="S925" i="4"/>
  <c r="S926" i="4"/>
  <c r="S927" i="4"/>
  <c r="S928" i="4"/>
  <c r="S929" i="4"/>
  <c r="S930" i="4"/>
  <c r="S931" i="4"/>
  <c r="S932" i="4"/>
  <c r="S933" i="4"/>
  <c r="S934" i="4"/>
  <c r="S935" i="4"/>
  <c r="S936" i="4"/>
  <c r="S937" i="4"/>
  <c r="S938" i="4"/>
  <c r="S939" i="4"/>
  <c r="S940" i="4"/>
  <c r="S941" i="4"/>
  <c r="S942" i="4"/>
  <c r="S943" i="4"/>
  <c r="S944" i="4"/>
  <c r="S945" i="4"/>
  <c r="S946" i="4"/>
  <c r="S947" i="4"/>
  <c r="S948" i="4"/>
  <c r="S949" i="4"/>
  <c r="S950" i="4"/>
  <c r="S951" i="4"/>
  <c r="S952" i="4"/>
  <c r="S953" i="4"/>
  <c r="S954" i="4"/>
  <c r="S955" i="4"/>
  <c r="S956" i="4"/>
  <c r="S957" i="4"/>
  <c r="S958" i="4"/>
  <c r="S959" i="4"/>
  <c r="S960" i="4"/>
  <c r="S961" i="4"/>
  <c r="S962" i="4"/>
  <c r="S963" i="4"/>
  <c r="S964" i="4"/>
  <c r="S965" i="4"/>
  <c r="S966" i="4"/>
  <c r="S967" i="4"/>
  <c r="S968" i="4"/>
  <c r="S969" i="4"/>
  <c r="S970" i="4"/>
  <c r="S971" i="4"/>
  <c r="S972" i="4"/>
  <c r="S973" i="4"/>
  <c r="S974" i="4"/>
  <c r="S975" i="4"/>
  <c r="S976" i="4"/>
  <c r="S977" i="4"/>
  <c r="S978" i="4"/>
  <c r="S979" i="4"/>
  <c r="S980" i="4"/>
  <c r="S981" i="4"/>
  <c r="S982" i="4"/>
  <c r="S983" i="4"/>
  <c r="S984" i="4"/>
  <c r="S985" i="4"/>
  <c r="S986" i="4"/>
  <c r="S987" i="4"/>
  <c r="S988" i="4"/>
  <c r="S989" i="4"/>
  <c r="S990" i="4"/>
  <c r="S991" i="4"/>
  <c r="S992" i="4"/>
  <c r="S993" i="4"/>
  <c r="S994" i="4"/>
  <c r="S995" i="4"/>
  <c r="S996" i="4"/>
  <c r="S997" i="4"/>
  <c r="S998" i="4"/>
  <c r="S999" i="4"/>
  <c r="S1000" i="4"/>
  <c r="S1001" i="4"/>
  <c r="S1002" i="4"/>
  <c r="S1003" i="4"/>
  <c r="S4" i="4"/>
  <c r="R8" i="4"/>
  <c r="R12" i="4"/>
  <c r="R21" i="4"/>
  <c r="R22" i="4"/>
  <c r="R26" i="4"/>
  <c r="R27" i="4"/>
  <c r="R30" i="4"/>
  <c r="R31" i="4"/>
  <c r="R32" i="4"/>
  <c r="R33" i="4"/>
  <c r="R34" i="4"/>
  <c r="R35" i="4"/>
  <c r="R36" i="4"/>
  <c r="R38" i="4"/>
  <c r="R39" i="4"/>
  <c r="R41" i="4"/>
  <c r="R42" i="4"/>
  <c r="R43" i="4"/>
  <c r="R44" i="4"/>
  <c r="R45" i="4"/>
  <c r="R46" i="4"/>
  <c r="R48" i="4"/>
  <c r="R49" i="4"/>
  <c r="R50" i="4"/>
  <c r="R51" i="4"/>
  <c r="R52" i="4"/>
  <c r="R54" i="4"/>
  <c r="R55" i="4"/>
  <c r="R58"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R392" i="4"/>
  <c r="R393" i="4"/>
  <c r="R394" i="4"/>
  <c r="R395" i="4"/>
  <c r="R396" i="4"/>
  <c r="R397" i="4"/>
  <c r="R398" i="4"/>
  <c r="R399" i="4"/>
  <c r="R400" i="4"/>
  <c r="R401" i="4"/>
  <c r="R402" i="4"/>
  <c r="R403" i="4"/>
  <c r="R404" i="4"/>
  <c r="R405" i="4"/>
  <c r="R406" i="4"/>
  <c r="R407" i="4"/>
  <c r="R408" i="4"/>
  <c r="R409" i="4"/>
  <c r="R410" i="4"/>
  <c r="R411" i="4"/>
  <c r="R412" i="4"/>
  <c r="R413" i="4"/>
  <c r="R414" i="4"/>
  <c r="R415" i="4"/>
  <c r="R416" i="4"/>
  <c r="R417" i="4"/>
  <c r="R418" i="4"/>
  <c r="R419" i="4"/>
  <c r="R420" i="4"/>
  <c r="R421" i="4"/>
  <c r="R422" i="4"/>
  <c r="R423" i="4"/>
  <c r="R424" i="4"/>
  <c r="R425" i="4"/>
  <c r="R426" i="4"/>
  <c r="R427" i="4"/>
  <c r="R428" i="4"/>
  <c r="R429" i="4"/>
  <c r="R430" i="4"/>
  <c r="R431" i="4"/>
  <c r="R432" i="4"/>
  <c r="R433" i="4"/>
  <c r="R434" i="4"/>
  <c r="R435" i="4"/>
  <c r="R436" i="4"/>
  <c r="R437" i="4"/>
  <c r="R438" i="4"/>
  <c r="R439" i="4"/>
  <c r="R440" i="4"/>
  <c r="R441" i="4"/>
  <c r="R442" i="4"/>
  <c r="R443" i="4"/>
  <c r="R444" i="4"/>
  <c r="R445" i="4"/>
  <c r="R446" i="4"/>
  <c r="R447" i="4"/>
  <c r="R448" i="4"/>
  <c r="R449" i="4"/>
  <c r="R450" i="4"/>
  <c r="R451" i="4"/>
  <c r="R452" i="4"/>
  <c r="R453" i="4"/>
  <c r="R454" i="4"/>
  <c r="R455" i="4"/>
  <c r="R456" i="4"/>
  <c r="R457" i="4"/>
  <c r="R458" i="4"/>
  <c r="R459" i="4"/>
  <c r="R460" i="4"/>
  <c r="R461" i="4"/>
  <c r="R462" i="4"/>
  <c r="R463" i="4"/>
  <c r="R464" i="4"/>
  <c r="R465" i="4"/>
  <c r="R466" i="4"/>
  <c r="R467" i="4"/>
  <c r="R468" i="4"/>
  <c r="R469" i="4"/>
  <c r="R470" i="4"/>
  <c r="R471" i="4"/>
  <c r="R472" i="4"/>
  <c r="R473" i="4"/>
  <c r="R474" i="4"/>
  <c r="R475" i="4"/>
  <c r="R476" i="4"/>
  <c r="R477" i="4"/>
  <c r="R478" i="4"/>
  <c r="R479" i="4"/>
  <c r="R480" i="4"/>
  <c r="R481" i="4"/>
  <c r="R482" i="4"/>
  <c r="R483" i="4"/>
  <c r="R484" i="4"/>
  <c r="R485" i="4"/>
  <c r="R486" i="4"/>
  <c r="R487" i="4"/>
  <c r="R488" i="4"/>
  <c r="R489" i="4"/>
  <c r="R490" i="4"/>
  <c r="R491" i="4"/>
  <c r="R492" i="4"/>
  <c r="R493" i="4"/>
  <c r="R494" i="4"/>
  <c r="R495" i="4"/>
  <c r="R496" i="4"/>
  <c r="R497" i="4"/>
  <c r="R498" i="4"/>
  <c r="R499" i="4"/>
  <c r="R500" i="4"/>
  <c r="R501" i="4"/>
  <c r="R502" i="4"/>
  <c r="R503" i="4"/>
  <c r="R504" i="4"/>
  <c r="R505" i="4"/>
  <c r="R506" i="4"/>
  <c r="R507" i="4"/>
  <c r="R508" i="4"/>
  <c r="R509" i="4"/>
  <c r="R510" i="4"/>
  <c r="R511" i="4"/>
  <c r="R512" i="4"/>
  <c r="R513" i="4"/>
  <c r="R514" i="4"/>
  <c r="R515" i="4"/>
  <c r="R516" i="4"/>
  <c r="R517" i="4"/>
  <c r="R518" i="4"/>
  <c r="R519" i="4"/>
  <c r="R520" i="4"/>
  <c r="R521" i="4"/>
  <c r="R522" i="4"/>
  <c r="R523" i="4"/>
  <c r="R524" i="4"/>
  <c r="R525" i="4"/>
  <c r="R526" i="4"/>
  <c r="R527" i="4"/>
  <c r="R528" i="4"/>
  <c r="R529" i="4"/>
  <c r="R530" i="4"/>
  <c r="R531" i="4"/>
  <c r="R532" i="4"/>
  <c r="R533" i="4"/>
  <c r="R534" i="4"/>
  <c r="R535" i="4"/>
  <c r="R536" i="4"/>
  <c r="R537" i="4"/>
  <c r="R538" i="4"/>
  <c r="R539" i="4"/>
  <c r="R540" i="4"/>
  <c r="R541" i="4"/>
  <c r="R542" i="4"/>
  <c r="R543" i="4"/>
  <c r="R544" i="4"/>
  <c r="R545" i="4"/>
  <c r="R546" i="4"/>
  <c r="R547" i="4"/>
  <c r="R548" i="4"/>
  <c r="R549" i="4"/>
  <c r="R550" i="4"/>
  <c r="R551" i="4"/>
  <c r="R552" i="4"/>
  <c r="R553" i="4"/>
  <c r="R554" i="4"/>
  <c r="R555" i="4"/>
  <c r="R556" i="4"/>
  <c r="R557" i="4"/>
  <c r="R558" i="4"/>
  <c r="R559" i="4"/>
  <c r="R560" i="4"/>
  <c r="R561" i="4"/>
  <c r="R562" i="4"/>
  <c r="R563" i="4"/>
  <c r="R564" i="4"/>
  <c r="R565" i="4"/>
  <c r="R566" i="4"/>
  <c r="R567" i="4"/>
  <c r="R568" i="4"/>
  <c r="R569" i="4"/>
  <c r="R570" i="4"/>
  <c r="R571" i="4"/>
  <c r="R572" i="4"/>
  <c r="R573" i="4"/>
  <c r="R574" i="4"/>
  <c r="R575" i="4"/>
  <c r="R576" i="4"/>
  <c r="R577" i="4"/>
  <c r="R578" i="4"/>
  <c r="R579" i="4"/>
  <c r="R580" i="4"/>
  <c r="R581" i="4"/>
  <c r="R582" i="4"/>
  <c r="R583" i="4"/>
  <c r="R584" i="4"/>
  <c r="R585" i="4"/>
  <c r="R586" i="4"/>
  <c r="R587" i="4"/>
  <c r="R588" i="4"/>
  <c r="R589" i="4"/>
  <c r="R590" i="4"/>
  <c r="R591" i="4"/>
  <c r="R592" i="4"/>
  <c r="R593" i="4"/>
  <c r="R594" i="4"/>
  <c r="R595" i="4"/>
  <c r="R596" i="4"/>
  <c r="R597" i="4"/>
  <c r="R598" i="4"/>
  <c r="R599" i="4"/>
  <c r="R600" i="4"/>
  <c r="R601" i="4"/>
  <c r="R602" i="4"/>
  <c r="R603" i="4"/>
  <c r="R604" i="4"/>
  <c r="R605" i="4"/>
  <c r="R606" i="4"/>
  <c r="R607" i="4"/>
  <c r="R608" i="4"/>
  <c r="R609" i="4"/>
  <c r="R610" i="4"/>
  <c r="R611" i="4"/>
  <c r="R612" i="4"/>
  <c r="R613" i="4"/>
  <c r="R614" i="4"/>
  <c r="R615" i="4"/>
  <c r="R616" i="4"/>
  <c r="R617" i="4"/>
  <c r="R618" i="4"/>
  <c r="R619" i="4"/>
  <c r="R620" i="4"/>
  <c r="R621" i="4"/>
  <c r="R622" i="4"/>
  <c r="R623" i="4"/>
  <c r="R624" i="4"/>
  <c r="R625" i="4"/>
  <c r="R626" i="4"/>
  <c r="R627" i="4"/>
  <c r="R628" i="4"/>
  <c r="R629" i="4"/>
  <c r="R630" i="4"/>
  <c r="R631" i="4"/>
  <c r="R632" i="4"/>
  <c r="R633" i="4"/>
  <c r="R634" i="4"/>
  <c r="R635" i="4"/>
  <c r="R636" i="4"/>
  <c r="R637" i="4"/>
  <c r="R638" i="4"/>
  <c r="R639" i="4"/>
  <c r="R640" i="4"/>
  <c r="R641" i="4"/>
  <c r="R642" i="4"/>
  <c r="R643" i="4"/>
  <c r="R644" i="4"/>
  <c r="R645" i="4"/>
  <c r="R646" i="4"/>
  <c r="R647" i="4"/>
  <c r="R648" i="4"/>
  <c r="R649" i="4"/>
  <c r="R650" i="4"/>
  <c r="R651" i="4"/>
  <c r="R652" i="4"/>
  <c r="R653" i="4"/>
  <c r="R654" i="4"/>
  <c r="R655" i="4"/>
  <c r="R656" i="4"/>
  <c r="R657" i="4"/>
  <c r="R658" i="4"/>
  <c r="R659" i="4"/>
  <c r="R660" i="4"/>
  <c r="R661" i="4"/>
  <c r="R662" i="4"/>
  <c r="R663" i="4"/>
  <c r="R664" i="4"/>
  <c r="R665" i="4"/>
  <c r="R666" i="4"/>
  <c r="R667" i="4"/>
  <c r="R668" i="4"/>
  <c r="R669" i="4"/>
  <c r="R670" i="4"/>
  <c r="R671" i="4"/>
  <c r="R672" i="4"/>
  <c r="R673" i="4"/>
  <c r="R674" i="4"/>
  <c r="R675" i="4"/>
  <c r="R676" i="4"/>
  <c r="R677" i="4"/>
  <c r="R678" i="4"/>
  <c r="R679" i="4"/>
  <c r="R680" i="4"/>
  <c r="R681" i="4"/>
  <c r="R682" i="4"/>
  <c r="R683" i="4"/>
  <c r="R684" i="4"/>
  <c r="R685" i="4"/>
  <c r="R686" i="4"/>
  <c r="R687" i="4"/>
  <c r="R688" i="4"/>
  <c r="R689" i="4"/>
  <c r="R690" i="4"/>
  <c r="R691" i="4"/>
  <c r="R692" i="4"/>
  <c r="R693" i="4"/>
  <c r="R694" i="4"/>
  <c r="R695" i="4"/>
  <c r="R696" i="4"/>
  <c r="R697" i="4"/>
  <c r="R698" i="4"/>
  <c r="R699" i="4"/>
  <c r="R700" i="4"/>
  <c r="R701" i="4"/>
  <c r="R702" i="4"/>
  <c r="R703" i="4"/>
  <c r="R704" i="4"/>
  <c r="R705" i="4"/>
  <c r="R706" i="4"/>
  <c r="R707" i="4"/>
  <c r="R708" i="4"/>
  <c r="R709" i="4"/>
  <c r="R710" i="4"/>
  <c r="R711" i="4"/>
  <c r="R712" i="4"/>
  <c r="R713" i="4"/>
  <c r="R714" i="4"/>
  <c r="R715" i="4"/>
  <c r="R716" i="4"/>
  <c r="R717" i="4"/>
  <c r="R718" i="4"/>
  <c r="R719" i="4"/>
  <c r="R720" i="4"/>
  <c r="R721" i="4"/>
  <c r="R722" i="4"/>
  <c r="R723" i="4"/>
  <c r="R724" i="4"/>
  <c r="R725" i="4"/>
  <c r="R726" i="4"/>
  <c r="R727" i="4"/>
  <c r="R728" i="4"/>
  <c r="R729" i="4"/>
  <c r="R730" i="4"/>
  <c r="R731" i="4"/>
  <c r="R732" i="4"/>
  <c r="R733" i="4"/>
  <c r="R734" i="4"/>
  <c r="R735" i="4"/>
  <c r="R736" i="4"/>
  <c r="R737" i="4"/>
  <c r="R738" i="4"/>
  <c r="R739" i="4"/>
  <c r="R740" i="4"/>
  <c r="R741" i="4"/>
  <c r="R742" i="4"/>
  <c r="R743" i="4"/>
  <c r="R744" i="4"/>
  <c r="R745" i="4"/>
  <c r="R746" i="4"/>
  <c r="R747" i="4"/>
  <c r="R748" i="4"/>
  <c r="R749" i="4"/>
  <c r="R750" i="4"/>
  <c r="R751" i="4"/>
  <c r="R752" i="4"/>
  <c r="R753" i="4"/>
  <c r="R754" i="4"/>
  <c r="R755" i="4"/>
  <c r="R756" i="4"/>
  <c r="R757" i="4"/>
  <c r="R758" i="4"/>
  <c r="R759" i="4"/>
  <c r="R760" i="4"/>
  <c r="R761" i="4"/>
  <c r="R762" i="4"/>
  <c r="R763" i="4"/>
  <c r="R764" i="4"/>
  <c r="R765" i="4"/>
  <c r="R766" i="4"/>
  <c r="R767" i="4"/>
  <c r="R768" i="4"/>
  <c r="R769" i="4"/>
  <c r="R770" i="4"/>
  <c r="R771" i="4"/>
  <c r="R772" i="4"/>
  <c r="R773" i="4"/>
  <c r="R774" i="4"/>
  <c r="R775" i="4"/>
  <c r="R776" i="4"/>
  <c r="R777" i="4"/>
  <c r="R778" i="4"/>
  <c r="R779" i="4"/>
  <c r="R780" i="4"/>
  <c r="R781" i="4"/>
  <c r="R782" i="4"/>
  <c r="R783" i="4"/>
  <c r="R784" i="4"/>
  <c r="R785" i="4"/>
  <c r="R786" i="4"/>
  <c r="R787" i="4"/>
  <c r="R788" i="4"/>
  <c r="R789" i="4"/>
  <c r="R790" i="4"/>
  <c r="R791" i="4"/>
  <c r="R792" i="4"/>
  <c r="R793" i="4"/>
  <c r="R794" i="4"/>
  <c r="R795" i="4"/>
  <c r="R796" i="4"/>
  <c r="R797" i="4"/>
  <c r="R798" i="4"/>
  <c r="R799" i="4"/>
  <c r="R800" i="4"/>
  <c r="R801" i="4"/>
  <c r="R802" i="4"/>
  <c r="R803" i="4"/>
  <c r="R804" i="4"/>
  <c r="R805" i="4"/>
  <c r="R806" i="4"/>
  <c r="R807" i="4"/>
  <c r="R808" i="4"/>
  <c r="R809" i="4"/>
  <c r="R810" i="4"/>
  <c r="R811" i="4"/>
  <c r="R812" i="4"/>
  <c r="R813" i="4"/>
  <c r="R814" i="4"/>
  <c r="R815" i="4"/>
  <c r="R816" i="4"/>
  <c r="R817" i="4"/>
  <c r="R818" i="4"/>
  <c r="R819" i="4"/>
  <c r="R820" i="4"/>
  <c r="R821" i="4"/>
  <c r="R822" i="4"/>
  <c r="R823" i="4"/>
  <c r="R824" i="4"/>
  <c r="R825" i="4"/>
  <c r="R826" i="4"/>
  <c r="R827" i="4"/>
  <c r="R828" i="4"/>
  <c r="R829" i="4"/>
  <c r="R830" i="4"/>
  <c r="R831" i="4"/>
  <c r="R832" i="4"/>
  <c r="R833" i="4"/>
  <c r="R834" i="4"/>
  <c r="R835" i="4"/>
  <c r="R836" i="4"/>
  <c r="R837" i="4"/>
  <c r="R838" i="4"/>
  <c r="R839" i="4"/>
  <c r="R840" i="4"/>
  <c r="R841" i="4"/>
  <c r="R842" i="4"/>
  <c r="R843" i="4"/>
  <c r="R844" i="4"/>
  <c r="R845" i="4"/>
  <c r="R846" i="4"/>
  <c r="R847" i="4"/>
  <c r="R848" i="4"/>
  <c r="R849" i="4"/>
  <c r="R850" i="4"/>
  <c r="R851" i="4"/>
  <c r="R852" i="4"/>
  <c r="R853" i="4"/>
  <c r="R854" i="4"/>
  <c r="R855" i="4"/>
  <c r="R856" i="4"/>
  <c r="R857" i="4"/>
  <c r="R858" i="4"/>
  <c r="R859" i="4"/>
  <c r="R860" i="4"/>
  <c r="R861" i="4"/>
  <c r="R862" i="4"/>
  <c r="R863" i="4"/>
  <c r="R864" i="4"/>
  <c r="R865" i="4"/>
  <c r="R866" i="4"/>
  <c r="R867" i="4"/>
  <c r="R868" i="4"/>
  <c r="R869" i="4"/>
  <c r="R870" i="4"/>
  <c r="R871" i="4"/>
  <c r="R872" i="4"/>
  <c r="R873" i="4"/>
  <c r="R874" i="4"/>
  <c r="R875" i="4"/>
  <c r="R876" i="4"/>
  <c r="R877" i="4"/>
  <c r="R878" i="4"/>
  <c r="R879" i="4"/>
  <c r="R880" i="4"/>
  <c r="R881" i="4"/>
  <c r="R882" i="4"/>
  <c r="R883" i="4"/>
  <c r="R884" i="4"/>
  <c r="R885" i="4"/>
  <c r="R886" i="4"/>
  <c r="R887" i="4"/>
  <c r="R888" i="4"/>
  <c r="R889" i="4"/>
  <c r="R890" i="4"/>
  <c r="R891" i="4"/>
  <c r="R892" i="4"/>
  <c r="R893" i="4"/>
  <c r="R894" i="4"/>
  <c r="R895" i="4"/>
  <c r="R896" i="4"/>
  <c r="R897" i="4"/>
  <c r="R898" i="4"/>
  <c r="R899" i="4"/>
  <c r="R900" i="4"/>
  <c r="R901" i="4"/>
  <c r="R902" i="4"/>
  <c r="R903" i="4"/>
  <c r="R904" i="4"/>
  <c r="R905" i="4"/>
  <c r="R906" i="4"/>
  <c r="R907" i="4"/>
  <c r="R908" i="4"/>
  <c r="R909" i="4"/>
  <c r="R910" i="4"/>
  <c r="R911" i="4"/>
  <c r="R912" i="4"/>
  <c r="R913" i="4"/>
  <c r="R914" i="4"/>
  <c r="R915" i="4"/>
  <c r="R916" i="4"/>
  <c r="R917" i="4"/>
  <c r="R918" i="4"/>
  <c r="R919" i="4"/>
  <c r="R920" i="4"/>
  <c r="R921" i="4"/>
  <c r="R922" i="4"/>
  <c r="R923" i="4"/>
  <c r="R924" i="4"/>
  <c r="R925" i="4"/>
  <c r="R926" i="4"/>
  <c r="R927" i="4"/>
  <c r="R928" i="4"/>
  <c r="R929" i="4"/>
  <c r="R930" i="4"/>
  <c r="R931" i="4"/>
  <c r="R932" i="4"/>
  <c r="R933" i="4"/>
  <c r="R934" i="4"/>
  <c r="R935" i="4"/>
  <c r="R936" i="4"/>
  <c r="R937" i="4"/>
  <c r="R938" i="4"/>
  <c r="R939" i="4"/>
  <c r="R940" i="4"/>
  <c r="R941" i="4"/>
  <c r="R942" i="4"/>
  <c r="R943" i="4"/>
  <c r="R944" i="4"/>
  <c r="R945" i="4"/>
  <c r="R946" i="4"/>
  <c r="R947" i="4"/>
  <c r="R948" i="4"/>
  <c r="R949" i="4"/>
  <c r="R950" i="4"/>
  <c r="R951" i="4"/>
  <c r="R952" i="4"/>
  <c r="R953" i="4"/>
  <c r="R954" i="4"/>
  <c r="R955" i="4"/>
  <c r="R956" i="4"/>
  <c r="R957" i="4"/>
  <c r="R958" i="4"/>
  <c r="R959" i="4"/>
  <c r="R960" i="4"/>
  <c r="R961" i="4"/>
  <c r="R962" i="4"/>
  <c r="R963" i="4"/>
  <c r="R964" i="4"/>
  <c r="R965" i="4"/>
  <c r="R966" i="4"/>
  <c r="R967" i="4"/>
  <c r="R968" i="4"/>
  <c r="R969" i="4"/>
  <c r="R970" i="4"/>
  <c r="R971" i="4"/>
  <c r="R972" i="4"/>
  <c r="R973" i="4"/>
  <c r="R974" i="4"/>
  <c r="R975" i="4"/>
  <c r="R976" i="4"/>
  <c r="R977" i="4"/>
  <c r="R978" i="4"/>
  <c r="R979" i="4"/>
  <c r="R980" i="4"/>
  <c r="R981" i="4"/>
  <c r="R982" i="4"/>
  <c r="R983" i="4"/>
  <c r="R984" i="4"/>
  <c r="R985" i="4"/>
  <c r="R986" i="4"/>
  <c r="R987" i="4"/>
  <c r="R988" i="4"/>
  <c r="R989" i="4"/>
  <c r="R990" i="4"/>
  <c r="R991" i="4"/>
  <c r="R992" i="4"/>
  <c r="R993" i="4"/>
  <c r="R994" i="4"/>
  <c r="R995" i="4"/>
  <c r="R996" i="4"/>
  <c r="R997" i="4"/>
  <c r="R998" i="4"/>
  <c r="R999" i="4"/>
  <c r="R1000" i="4"/>
  <c r="R1001" i="4"/>
  <c r="R1002" i="4"/>
  <c r="R1003" i="4"/>
  <c r="R5" i="4"/>
  <c r="P28" i="5"/>
  <c r="Q28" i="5"/>
  <c r="P29" i="5"/>
  <c r="Q29" i="5"/>
  <c r="P30" i="5"/>
  <c r="Q30" i="5"/>
  <c r="P31" i="5"/>
  <c r="Q31" i="5"/>
  <c r="P32" i="5"/>
  <c r="Q32" i="5"/>
  <c r="P33" i="5"/>
  <c r="Q33" i="5"/>
  <c r="P34" i="5"/>
  <c r="Q34" i="5"/>
  <c r="P35" i="5"/>
  <c r="Q35" i="5"/>
  <c r="P36" i="5"/>
  <c r="Q36" i="5"/>
  <c r="P37" i="5"/>
  <c r="Q37" i="5"/>
  <c r="P38" i="5"/>
  <c r="Q38" i="5"/>
  <c r="P39" i="5"/>
  <c r="Q39" i="5"/>
  <c r="P40" i="5"/>
  <c r="Q40" i="5"/>
  <c r="P41" i="5"/>
  <c r="Q41" i="5"/>
  <c r="P42" i="5"/>
  <c r="Q42" i="5"/>
  <c r="P43" i="5"/>
  <c r="Q43" i="5"/>
  <c r="P44" i="5"/>
  <c r="Q44" i="5"/>
  <c r="P45" i="5"/>
  <c r="Q45" i="5"/>
  <c r="P46" i="5"/>
  <c r="Q46" i="5"/>
  <c r="P47" i="5"/>
  <c r="Q47" i="5"/>
  <c r="P48" i="5"/>
  <c r="Q48" i="5"/>
  <c r="P49" i="5"/>
  <c r="Q49" i="5"/>
  <c r="P50" i="5"/>
  <c r="Q50" i="5"/>
  <c r="P51" i="5"/>
  <c r="Q51" i="5"/>
  <c r="P52" i="5"/>
  <c r="Q52" i="5"/>
  <c r="P53" i="5"/>
  <c r="Q53" i="5"/>
  <c r="P54" i="5"/>
  <c r="Q54" i="5"/>
  <c r="P55" i="5"/>
  <c r="Q55" i="5"/>
  <c r="P56" i="5"/>
  <c r="Q56" i="5"/>
  <c r="P57" i="5"/>
  <c r="Q57" i="5"/>
  <c r="P58" i="5"/>
  <c r="Q58" i="5"/>
  <c r="P59" i="5"/>
  <c r="Q59" i="5"/>
  <c r="P60" i="5"/>
  <c r="Q60" i="5"/>
  <c r="P61" i="5"/>
  <c r="Q61" i="5"/>
  <c r="P62" i="5"/>
  <c r="Q62" i="5"/>
  <c r="P63" i="5"/>
  <c r="Q63" i="5"/>
  <c r="O63" i="5" s="1"/>
  <c r="P64" i="5"/>
  <c r="Q64" i="5"/>
  <c r="O64" i="5" s="1"/>
  <c r="P65" i="5"/>
  <c r="Q65" i="5"/>
  <c r="O65" i="5" s="1"/>
  <c r="P66" i="5"/>
  <c r="Q66" i="5"/>
  <c r="O66" i="5" s="1"/>
  <c r="P67" i="5"/>
  <c r="Q67" i="5"/>
  <c r="O67" i="5" s="1"/>
  <c r="P68" i="5"/>
  <c r="Q68" i="5"/>
  <c r="O68" i="5" s="1"/>
  <c r="P69" i="5"/>
  <c r="Q69" i="5"/>
  <c r="O69" i="5" s="1"/>
  <c r="P70" i="5"/>
  <c r="Q70" i="5"/>
  <c r="O70" i="5" s="1"/>
  <c r="P71" i="5"/>
  <c r="Q71" i="5"/>
  <c r="O71" i="5" s="1"/>
  <c r="P72" i="5"/>
  <c r="Q72" i="5"/>
  <c r="O72" i="5" s="1"/>
  <c r="P73" i="5"/>
  <c r="Q73" i="5"/>
  <c r="O73" i="5" s="1"/>
  <c r="P74" i="5"/>
  <c r="Q74" i="5"/>
  <c r="O74" i="5" s="1"/>
  <c r="P75" i="5"/>
  <c r="Q75" i="5"/>
  <c r="O75" i="5" s="1"/>
  <c r="P76" i="5"/>
  <c r="Q76" i="5"/>
  <c r="O76" i="5" s="1"/>
  <c r="P77" i="5"/>
  <c r="Q77" i="5"/>
  <c r="O77" i="5" s="1"/>
  <c r="P78" i="5"/>
  <c r="Q78" i="5"/>
  <c r="O78" i="5" s="1"/>
  <c r="P79" i="5"/>
  <c r="Q79" i="5"/>
  <c r="O79" i="5" s="1"/>
  <c r="P80" i="5"/>
  <c r="Q80" i="5"/>
  <c r="O80" i="5" s="1"/>
  <c r="P81" i="5"/>
  <c r="Q81" i="5"/>
  <c r="O81" i="5" s="1"/>
  <c r="P82" i="5"/>
  <c r="Q82" i="5"/>
  <c r="O82" i="5" s="1"/>
  <c r="P83" i="5"/>
  <c r="Q83" i="5"/>
  <c r="O83" i="5" s="1"/>
  <c r="P84" i="5"/>
  <c r="Q84" i="5"/>
  <c r="O84" i="5" s="1"/>
  <c r="P85" i="5"/>
  <c r="Q85" i="5"/>
  <c r="O85" i="5" s="1"/>
  <c r="P86" i="5"/>
  <c r="Q86" i="5"/>
  <c r="O86" i="5" s="1"/>
  <c r="P87" i="5"/>
  <c r="Q87" i="5"/>
  <c r="O87" i="5" s="1"/>
  <c r="P88" i="5"/>
  <c r="Q88" i="5"/>
  <c r="O88" i="5" s="1"/>
  <c r="P89" i="5"/>
  <c r="Q89" i="5"/>
  <c r="O89" i="5" s="1"/>
  <c r="P90" i="5"/>
  <c r="Q90" i="5"/>
  <c r="O90" i="5" s="1"/>
  <c r="P91" i="5"/>
  <c r="Q91" i="5"/>
  <c r="O91" i="5" s="1"/>
  <c r="P92" i="5"/>
  <c r="Q92" i="5"/>
  <c r="O92" i="5" s="1"/>
  <c r="P93" i="5"/>
  <c r="Q93" i="5"/>
  <c r="O93" i="5" s="1"/>
  <c r="P94" i="5"/>
  <c r="Q94" i="5"/>
  <c r="O94" i="5" s="1"/>
  <c r="P95" i="5"/>
  <c r="Q95" i="5"/>
  <c r="O95" i="5" s="1"/>
  <c r="P96" i="5"/>
  <c r="Q96" i="5"/>
  <c r="O96" i="5" s="1"/>
  <c r="P97" i="5"/>
  <c r="Q97" i="5"/>
  <c r="O97" i="5" s="1"/>
  <c r="P98" i="5"/>
  <c r="Q98" i="5"/>
  <c r="O98" i="5" s="1"/>
  <c r="P99" i="5"/>
  <c r="Q99" i="5"/>
  <c r="O99" i="5" s="1"/>
  <c r="P100" i="5"/>
  <c r="Q100" i="5"/>
  <c r="O100" i="5" s="1"/>
  <c r="P101" i="5"/>
  <c r="Q101" i="5"/>
  <c r="O101" i="5" s="1"/>
  <c r="P102" i="5"/>
  <c r="Q102" i="5"/>
  <c r="O102" i="5" s="1"/>
  <c r="P103" i="5"/>
  <c r="Q103" i="5"/>
  <c r="O103" i="5" s="1"/>
  <c r="P104" i="5"/>
  <c r="Q104" i="5"/>
  <c r="O104" i="5" s="1"/>
  <c r="P105" i="5"/>
  <c r="Q105" i="5"/>
  <c r="O105" i="5" s="1"/>
  <c r="P106" i="5"/>
  <c r="Q106" i="5"/>
  <c r="O106" i="5" s="1"/>
  <c r="P107" i="5"/>
  <c r="Q107" i="5"/>
  <c r="O107" i="5" s="1"/>
  <c r="P108" i="5"/>
  <c r="Q108" i="5"/>
  <c r="O108" i="5" s="1"/>
  <c r="P109" i="5"/>
  <c r="Q109" i="5"/>
  <c r="O109" i="5" s="1"/>
  <c r="P110" i="5"/>
  <c r="Q110" i="5"/>
  <c r="O110" i="5" s="1"/>
  <c r="P111" i="5"/>
  <c r="Q111" i="5"/>
  <c r="O111" i="5" s="1"/>
  <c r="P112" i="5"/>
  <c r="Q112" i="5"/>
  <c r="O112" i="5" s="1"/>
  <c r="P113" i="5"/>
  <c r="Q113" i="5"/>
  <c r="O113" i="5" s="1"/>
  <c r="P114" i="5"/>
  <c r="Q114" i="5"/>
  <c r="O114" i="5" s="1"/>
  <c r="P115" i="5"/>
  <c r="Q115" i="5"/>
  <c r="O115" i="5" s="1"/>
  <c r="P116" i="5"/>
  <c r="Q116" i="5"/>
  <c r="O116" i="5" s="1"/>
  <c r="P117" i="5"/>
  <c r="Q117" i="5"/>
  <c r="O117" i="5" s="1"/>
  <c r="P118" i="5"/>
  <c r="Q118" i="5"/>
  <c r="O118" i="5" s="1"/>
  <c r="P119" i="5"/>
  <c r="Q119" i="5"/>
  <c r="O119" i="5" s="1"/>
  <c r="P120" i="5"/>
  <c r="Q120" i="5"/>
  <c r="O120" i="5" s="1"/>
  <c r="P121" i="5"/>
  <c r="Q121" i="5"/>
  <c r="O121" i="5" s="1"/>
  <c r="P122" i="5"/>
  <c r="Q122" i="5"/>
  <c r="O122" i="5" s="1"/>
  <c r="P123" i="5"/>
  <c r="Q123" i="5"/>
  <c r="O123" i="5" s="1"/>
  <c r="P124" i="5"/>
  <c r="Q124" i="5"/>
  <c r="O124" i="5" s="1"/>
  <c r="P125" i="5"/>
  <c r="Q125" i="5"/>
  <c r="O125" i="5" s="1"/>
  <c r="P126" i="5"/>
  <c r="Q126" i="5"/>
  <c r="O126" i="5" s="1"/>
  <c r="P127" i="5"/>
  <c r="Q127" i="5"/>
  <c r="O127" i="5" s="1"/>
  <c r="P128" i="5"/>
  <c r="Q128" i="5"/>
  <c r="O128" i="5" s="1"/>
  <c r="P129" i="5"/>
  <c r="Q129" i="5"/>
  <c r="O129" i="5" s="1"/>
  <c r="P130" i="5"/>
  <c r="Q130" i="5"/>
  <c r="O130" i="5" s="1"/>
  <c r="P131" i="5"/>
  <c r="Q131" i="5"/>
  <c r="O131" i="5" s="1"/>
  <c r="P132" i="5"/>
  <c r="Q132" i="5"/>
  <c r="O132" i="5" s="1"/>
  <c r="P133" i="5"/>
  <c r="Q133" i="5"/>
  <c r="O133" i="5" s="1"/>
  <c r="P134" i="5"/>
  <c r="Q134" i="5"/>
  <c r="O134" i="5" s="1"/>
  <c r="P135" i="5"/>
  <c r="Q135" i="5"/>
  <c r="O135" i="5" s="1"/>
  <c r="P136" i="5"/>
  <c r="Q136" i="5"/>
  <c r="O136" i="5" s="1"/>
  <c r="P137" i="5"/>
  <c r="Q137" i="5"/>
  <c r="O137" i="5" s="1"/>
  <c r="P138" i="5"/>
  <c r="Q138" i="5"/>
  <c r="O138" i="5" s="1"/>
  <c r="P139" i="5"/>
  <c r="Q139" i="5"/>
  <c r="O139" i="5" s="1"/>
  <c r="P140" i="5"/>
  <c r="Q140" i="5"/>
  <c r="O140" i="5" s="1"/>
  <c r="P141" i="5"/>
  <c r="Q141" i="5"/>
  <c r="O141" i="5" s="1"/>
  <c r="P142" i="5"/>
  <c r="Q142" i="5"/>
  <c r="O142" i="5" s="1"/>
  <c r="P143" i="5"/>
  <c r="Q143" i="5"/>
  <c r="O143" i="5" s="1"/>
  <c r="P144" i="5"/>
  <c r="Q144" i="5"/>
  <c r="O144" i="5" s="1"/>
  <c r="P145" i="5"/>
  <c r="Q145" i="5"/>
  <c r="O145" i="5" s="1"/>
  <c r="P146" i="5"/>
  <c r="Q146" i="5"/>
  <c r="O146" i="5" s="1"/>
  <c r="P147" i="5"/>
  <c r="Q147" i="5"/>
  <c r="O147" i="5" s="1"/>
  <c r="P148" i="5"/>
  <c r="Q148" i="5"/>
  <c r="O148" i="5" s="1"/>
  <c r="P149" i="5"/>
  <c r="Q149" i="5"/>
  <c r="O149" i="5" s="1"/>
  <c r="P150" i="5"/>
  <c r="Q150" i="5"/>
  <c r="O150" i="5" s="1"/>
  <c r="P151" i="5"/>
  <c r="Q151" i="5"/>
  <c r="O151" i="5" s="1"/>
  <c r="P152" i="5"/>
  <c r="Q152" i="5"/>
  <c r="O152" i="5" s="1"/>
  <c r="P153" i="5"/>
  <c r="Q153" i="5"/>
  <c r="O153" i="5" s="1"/>
  <c r="P154" i="5"/>
  <c r="Q154" i="5"/>
  <c r="O154" i="5" s="1"/>
  <c r="P155" i="5"/>
  <c r="Q155" i="5"/>
  <c r="O155" i="5" s="1"/>
  <c r="P156" i="5"/>
  <c r="Q156" i="5"/>
  <c r="O156" i="5" s="1"/>
  <c r="P157" i="5"/>
  <c r="Q157" i="5"/>
  <c r="O157" i="5" s="1"/>
  <c r="P158" i="5"/>
  <c r="Q158" i="5"/>
  <c r="O158" i="5" s="1"/>
  <c r="P159" i="5"/>
  <c r="Q159" i="5"/>
  <c r="O159" i="5" s="1"/>
  <c r="P160" i="5"/>
  <c r="Q160" i="5"/>
  <c r="O160" i="5" s="1"/>
  <c r="P161" i="5"/>
  <c r="Q161" i="5"/>
  <c r="O161" i="5" s="1"/>
  <c r="P162" i="5"/>
  <c r="Q162" i="5"/>
  <c r="O162" i="5" s="1"/>
  <c r="P163" i="5"/>
  <c r="Q163" i="5"/>
  <c r="O163" i="5" s="1"/>
  <c r="P164" i="5"/>
  <c r="Q164" i="5"/>
  <c r="O164" i="5" s="1"/>
  <c r="P165" i="5"/>
  <c r="Q165" i="5"/>
  <c r="O165" i="5" s="1"/>
  <c r="P166" i="5"/>
  <c r="Q166" i="5"/>
  <c r="O166" i="5" s="1"/>
  <c r="P167" i="5"/>
  <c r="Q167" i="5"/>
  <c r="O167" i="5" s="1"/>
  <c r="P168" i="5"/>
  <c r="Q168" i="5"/>
  <c r="O168" i="5" s="1"/>
  <c r="P169" i="5"/>
  <c r="Q169" i="5"/>
  <c r="O169" i="5" s="1"/>
  <c r="P170" i="5"/>
  <c r="Q170" i="5"/>
  <c r="O170" i="5" s="1"/>
  <c r="P171" i="5"/>
  <c r="Q171" i="5"/>
  <c r="O171" i="5" s="1"/>
  <c r="P172" i="5"/>
  <c r="Q172" i="5"/>
  <c r="O172" i="5" s="1"/>
  <c r="P173" i="5"/>
  <c r="Q173" i="5"/>
  <c r="O173" i="5" s="1"/>
  <c r="P174" i="5"/>
  <c r="Q174" i="5"/>
  <c r="O174" i="5" s="1"/>
  <c r="P175" i="5"/>
  <c r="Q175" i="5"/>
  <c r="O175" i="5" s="1"/>
  <c r="P176" i="5"/>
  <c r="Q176" i="5"/>
  <c r="O176" i="5" s="1"/>
  <c r="P177" i="5"/>
  <c r="Q177" i="5"/>
  <c r="O177" i="5" s="1"/>
  <c r="P178" i="5"/>
  <c r="Q178" i="5"/>
  <c r="O178" i="5" s="1"/>
  <c r="P179" i="5"/>
  <c r="Q179" i="5"/>
  <c r="O179" i="5" s="1"/>
  <c r="P180" i="5"/>
  <c r="Q180" i="5"/>
  <c r="O180" i="5" s="1"/>
  <c r="P181" i="5"/>
  <c r="Q181" i="5"/>
  <c r="O181" i="5" s="1"/>
  <c r="P182" i="5"/>
  <c r="Q182" i="5"/>
  <c r="O182" i="5" s="1"/>
  <c r="P183" i="5"/>
  <c r="Q183" i="5"/>
  <c r="O183" i="5" s="1"/>
  <c r="P184" i="5"/>
  <c r="Q184" i="5"/>
  <c r="O184" i="5" s="1"/>
  <c r="P185" i="5"/>
  <c r="Q185" i="5"/>
  <c r="O185" i="5" s="1"/>
  <c r="P186" i="5"/>
  <c r="Q186" i="5"/>
  <c r="O186" i="5" s="1"/>
  <c r="P187" i="5"/>
  <c r="Q187" i="5"/>
  <c r="O187" i="5" s="1"/>
  <c r="P188" i="5"/>
  <c r="Q188" i="5"/>
  <c r="O188" i="5" s="1"/>
  <c r="P189" i="5"/>
  <c r="Q189" i="5"/>
  <c r="O189" i="5" s="1"/>
  <c r="P190" i="5"/>
  <c r="Q190" i="5"/>
  <c r="O190" i="5" s="1"/>
  <c r="P191" i="5"/>
  <c r="Q191" i="5"/>
  <c r="O191" i="5" s="1"/>
  <c r="P192" i="5"/>
  <c r="Q192" i="5"/>
  <c r="O192" i="5" s="1"/>
  <c r="P193" i="5"/>
  <c r="Q193" i="5"/>
  <c r="O193" i="5" s="1"/>
  <c r="P194" i="5"/>
  <c r="Q194" i="5"/>
  <c r="O194" i="5" s="1"/>
  <c r="P195" i="5"/>
  <c r="Q195" i="5"/>
  <c r="O195" i="5" s="1"/>
  <c r="P196" i="5"/>
  <c r="Q196" i="5"/>
  <c r="O196" i="5" s="1"/>
  <c r="P197" i="5"/>
  <c r="Q197" i="5"/>
  <c r="O197" i="5" s="1"/>
  <c r="P198" i="5"/>
  <c r="Q198" i="5"/>
  <c r="O198" i="5" s="1"/>
  <c r="P199" i="5"/>
  <c r="Q199" i="5"/>
  <c r="O199" i="5" s="1"/>
  <c r="P200" i="5"/>
  <c r="Q200" i="5"/>
  <c r="O200" i="5" s="1"/>
  <c r="P201" i="5"/>
  <c r="Q201" i="5"/>
  <c r="O201" i="5" s="1"/>
  <c r="P202" i="5"/>
  <c r="Q202" i="5"/>
  <c r="O202" i="5" s="1"/>
  <c r="P203" i="5"/>
  <c r="Q203" i="5"/>
  <c r="O203" i="5" s="1"/>
  <c r="P204" i="5"/>
  <c r="Q204" i="5"/>
  <c r="O204" i="5" s="1"/>
  <c r="P205" i="5"/>
  <c r="Q205" i="5"/>
  <c r="O205" i="5" s="1"/>
  <c r="P206" i="5"/>
  <c r="Q206" i="5"/>
  <c r="O206" i="5" s="1"/>
  <c r="P207" i="5"/>
  <c r="Q207" i="5"/>
  <c r="O207" i="5" s="1"/>
  <c r="P208" i="5"/>
  <c r="Q208" i="5"/>
  <c r="O208" i="5" s="1"/>
  <c r="P209" i="5"/>
  <c r="Q209" i="5"/>
  <c r="O209" i="5" s="1"/>
  <c r="P210" i="5"/>
  <c r="Q210" i="5"/>
  <c r="O210" i="5" s="1"/>
  <c r="P211" i="5"/>
  <c r="Q211" i="5"/>
  <c r="O211" i="5" s="1"/>
  <c r="P212" i="5"/>
  <c r="Q212" i="5"/>
  <c r="O212" i="5" s="1"/>
  <c r="P213" i="5"/>
  <c r="Q213" i="5"/>
  <c r="O213" i="5" s="1"/>
  <c r="P214" i="5"/>
  <c r="Q214" i="5"/>
  <c r="O214" i="5" s="1"/>
  <c r="P215" i="5"/>
  <c r="Q215" i="5"/>
  <c r="O215" i="5" s="1"/>
  <c r="P216" i="5"/>
  <c r="Q216" i="5"/>
  <c r="O216" i="5" s="1"/>
  <c r="P217" i="5"/>
  <c r="Q217" i="5"/>
  <c r="O217" i="5" s="1"/>
  <c r="P218" i="5"/>
  <c r="Q218" i="5"/>
  <c r="O218" i="5" s="1"/>
  <c r="P219" i="5"/>
  <c r="Q219" i="5"/>
  <c r="O219" i="5" s="1"/>
  <c r="P220" i="5"/>
  <c r="Q220" i="5"/>
  <c r="O220" i="5" s="1"/>
  <c r="P221" i="5"/>
  <c r="Q221" i="5"/>
  <c r="O221" i="5" s="1"/>
  <c r="P222" i="5"/>
  <c r="Q222" i="5"/>
  <c r="O222" i="5" s="1"/>
  <c r="P223" i="5"/>
  <c r="Q223" i="5"/>
  <c r="O223" i="5" s="1"/>
  <c r="P224" i="5"/>
  <c r="Q224" i="5"/>
  <c r="O224" i="5" s="1"/>
  <c r="P225" i="5"/>
  <c r="Q225" i="5"/>
  <c r="O225" i="5" s="1"/>
  <c r="P226" i="5"/>
  <c r="Q226" i="5"/>
  <c r="O226" i="5" s="1"/>
  <c r="P227" i="5"/>
  <c r="Q227" i="5"/>
  <c r="O227" i="5" s="1"/>
  <c r="P228" i="5"/>
  <c r="Q228" i="5"/>
  <c r="O228" i="5" s="1"/>
  <c r="P229" i="5"/>
  <c r="Q229" i="5"/>
  <c r="O229" i="5" s="1"/>
  <c r="P230" i="5"/>
  <c r="Q230" i="5"/>
  <c r="O230" i="5" s="1"/>
  <c r="P231" i="5"/>
  <c r="Q231" i="5"/>
  <c r="O231" i="5" s="1"/>
  <c r="P232" i="5"/>
  <c r="Q232" i="5"/>
  <c r="O232" i="5" s="1"/>
  <c r="P233" i="5"/>
  <c r="Q233" i="5"/>
  <c r="O233" i="5" s="1"/>
  <c r="P234" i="5"/>
  <c r="Q234" i="5"/>
  <c r="O234" i="5" s="1"/>
  <c r="P235" i="5"/>
  <c r="Q235" i="5"/>
  <c r="O235" i="5" s="1"/>
  <c r="P236" i="5"/>
  <c r="Q236" i="5"/>
  <c r="O236" i="5" s="1"/>
  <c r="P237" i="5"/>
  <c r="Q237" i="5"/>
  <c r="O237" i="5" s="1"/>
  <c r="P238" i="5"/>
  <c r="Q238" i="5"/>
  <c r="O238" i="5" s="1"/>
  <c r="P239" i="5"/>
  <c r="Q239" i="5"/>
  <c r="O239" i="5" s="1"/>
  <c r="P240" i="5"/>
  <c r="Q240" i="5"/>
  <c r="O240" i="5" s="1"/>
  <c r="P241" i="5"/>
  <c r="Q241" i="5"/>
  <c r="O241" i="5" s="1"/>
  <c r="P242" i="5"/>
  <c r="Q242" i="5"/>
  <c r="O242" i="5" s="1"/>
  <c r="P243" i="5"/>
  <c r="Q243" i="5"/>
  <c r="O243" i="5" s="1"/>
  <c r="P244" i="5"/>
  <c r="Q244" i="5"/>
  <c r="O244" i="5" s="1"/>
  <c r="P245" i="5"/>
  <c r="Q245" i="5"/>
  <c r="O245" i="5" s="1"/>
  <c r="P246" i="5"/>
  <c r="Q246" i="5"/>
  <c r="O246" i="5" s="1"/>
  <c r="P247" i="5"/>
  <c r="Q247" i="5"/>
  <c r="O247" i="5" s="1"/>
  <c r="P248" i="5"/>
  <c r="Q248" i="5"/>
  <c r="O248" i="5" s="1"/>
  <c r="P249" i="5"/>
  <c r="Q249" i="5"/>
  <c r="O249" i="5" s="1"/>
  <c r="P250" i="5"/>
  <c r="Q250" i="5"/>
  <c r="O250" i="5" s="1"/>
  <c r="P251" i="5"/>
  <c r="Q251" i="5"/>
  <c r="O251" i="5" s="1"/>
  <c r="P252" i="5"/>
  <c r="Q252" i="5"/>
  <c r="O252" i="5" s="1"/>
  <c r="P253" i="5"/>
  <c r="Q253" i="5"/>
  <c r="O253" i="5" s="1"/>
  <c r="P254" i="5"/>
  <c r="Q254" i="5"/>
  <c r="O254" i="5" s="1"/>
  <c r="P255" i="5"/>
  <c r="Q255" i="5"/>
  <c r="O255" i="5" s="1"/>
  <c r="P256" i="5"/>
  <c r="Q256" i="5"/>
  <c r="O256" i="5" s="1"/>
  <c r="P257" i="5"/>
  <c r="Q257" i="5"/>
  <c r="O257" i="5" s="1"/>
  <c r="P258" i="5"/>
  <c r="Q258" i="5"/>
  <c r="O258" i="5" s="1"/>
  <c r="P259" i="5"/>
  <c r="Q259" i="5"/>
  <c r="O259" i="5" s="1"/>
  <c r="P260" i="5"/>
  <c r="Q260" i="5"/>
  <c r="O260" i="5" s="1"/>
  <c r="P261" i="5"/>
  <c r="Q261" i="5"/>
  <c r="O261" i="5" s="1"/>
  <c r="P262" i="5"/>
  <c r="Q262" i="5"/>
  <c r="O262" i="5" s="1"/>
  <c r="P263" i="5"/>
  <c r="Q263" i="5"/>
  <c r="O263" i="5" s="1"/>
  <c r="P264" i="5"/>
  <c r="Q264" i="5"/>
  <c r="O264" i="5" s="1"/>
  <c r="P265" i="5"/>
  <c r="Q265" i="5"/>
  <c r="O265" i="5" s="1"/>
  <c r="P266" i="5"/>
  <c r="Q266" i="5"/>
  <c r="O266" i="5" s="1"/>
  <c r="P267" i="5"/>
  <c r="Q267" i="5"/>
  <c r="O267" i="5" s="1"/>
  <c r="P268" i="5"/>
  <c r="Q268" i="5"/>
  <c r="O268" i="5" s="1"/>
  <c r="P269" i="5"/>
  <c r="Q269" i="5"/>
  <c r="O269" i="5" s="1"/>
  <c r="P270" i="5"/>
  <c r="Q270" i="5"/>
  <c r="O270" i="5" s="1"/>
  <c r="P271" i="5"/>
  <c r="Q271" i="5"/>
  <c r="O271" i="5" s="1"/>
  <c r="P272" i="5"/>
  <c r="Q272" i="5"/>
  <c r="O272" i="5" s="1"/>
  <c r="P273" i="5"/>
  <c r="Q273" i="5"/>
  <c r="O273" i="5" s="1"/>
  <c r="P274" i="5"/>
  <c r="Q274" i="5"/>
  <c r="O274" i="5" s="1"/>
  <c r="P275" i="5"/>
  <c r="Q275" i="5"/>
  <c r="O275" i="5" s="1"/>
  <c r="P276" i="5"/>
  <c r="Q276" i="5"/>
  <c r="O276" i="5" s="1"/>
  <c r="P277" i="5"/>
  <c r="Q277" i="5"/>
  <c r="O277" i="5" s="1"/>
  <c r="P278" i="5"/>
  <c r="Q278" i="5"/>
  <c r="O278" i="5" s="1"/>
  <c r="P279" i="5"/>
  <c r="Q279" i="5"/>
  <c r="O279" i="5" s="1"/>
  <c r="P280" i="5"/>
  <c r="Q280" i="5"/>
  <c r="O280" i="5" s="1"/>
  <c r="P281" i="5"/>
  <c r="Q281" i="5"/>
  <c r="O281" i="5" s="1"/>
  <c r="P282" i="5"/>
  <c r="Q282" i="5"/>
  <c r="O282" i="5" s="1"/>
  <c r="P283" i="5"/>
  <c r="Q283" i="5"/>
  <c r="O283" i="5" s="1"/>
  <c r="P284" i="5"/>
  <c r="Q284" i="5"/>
  <c r="O284" i="5" s="1"/>
  <c r="P285" i="5"/>
  <c r="Q285" i="5"/>
  <c r="O285" i="5" s="1"/>
  <c r="P286" i="5"/>
  <c r="Q286" i="5"/>
  <c r="O286" i="5" s="1"/>
  <c r="P287" i="5"/>
  <c r="Q287" i="5"/>
  <c r="O287" i="5" s="1"/>
  <c r="P288" i="5"/>
  <c r="Q288" i="5"/>
  <c r="O288" i="5" s="1"/>
  <c r="P289" i="5"/>
  <c r="Q289" i="5"/>
  <c r="O289" i="5" s="1"/>
  <c r="P290" i="5"/>
  <c r="Q290" i="5"/>
  <c r="O290" i="5" s="1"/>
  <c r="P291" i="5"/>
  <c r="Q291" i="5"/>
  <c r="O291" i="5" s="1"/>
  <c r="P292" i="5"/>
  <c r="Q292" i="5"/>
  <c r="O292" i="5" s="1"/>
  <c r="P293" i="5"/>
  <c r="Q293" i="5"/>
  <c r="O293" i="5" s="1"/>
  <c r="P294" i="5"/>
  <c r="Q294" i="5"/>
  <c r="O294" i="5" s="1"/>
  <c r="P295" i="5"/>
  <c r="Q295" i="5"/>
  <c r="O295" i="5" s="1"/>
  <c r="P296" i="5"/>
  <c r="Q296" i="5"/>
  <c r="O296" i="5" s="1"/>
  <c r="P297" i="5"/>
  <c r="Q297" i="5"/>
  <c r="O297" i="5" s="1"/>
  <c r="P298" i="5"/>
  <c r="Q298" i="5"/>
  <c r="O298" i="5" s="1"/>
  <c r="P299" i="5"/>
  <c r="Q299" i="5"/>
  <c r="O299" i="5" s="1"/>
  <c r="P300" i="5"/>
  <c r="Q300" i="5"/>
  <c r="O300" i="5" s="1"/>
  <c r="P301" i="5"/>
  <c r="Q301" i="5"/>
  <c r="O301" i="5" s="1"/>
  <c r="P302" i="5"/>
  <c r="Q302" i="5"/>
  <c r="O302" i="5" s="1"/>
  <c r="P303" i="5"/>
  <c r="Q303" i="5"/>
  <c r="O303" i="5" s="1"/>
  <c r="P304" i="5"/>
  <c r="Q304" i="5"/>
  <c r="O304" i="5" s="1"/>
  <c r="P305" i="5"/>
  <c r="Q305" i="5"/>
  <c r="O305" i="5" s="1"/>
  <c r="P306" i="5"/>
  <c r="Q306" i="5"/>
  <c r="O306" i="5" s="1"/>
  <c r="P307" i="5"/>
  <c r="Q307" i="5"/>
  <c r="O307" i="5" s="1"/>
  <c r="P308" i="5"/>
  <c r="Q308" i="5"/>
  <c r="O308" i="5" s="1"/>
  <c r="P309" i="5"/>
  <c r="Q309" i="5"/>
  <c r="O309" i="5" s="1"/>
  <c r="P310" i="5"/>
  <c r="Q310" i="5"/>
  <c r="O310" i="5" s="1"/>
  <c r="P311" i="5"/>
  <c r="Q311" i="5"/>
  <c r="O311" i="5" s="1"/>
  <c r="P312" i="5"/>
  <c r="Q312" i="5"/>
  <c r="O312" i="5" s="1"/>
  <c r="P313" i="5"/>
  <c r="Q313" i="5"/>
  <c r="O313" i="5" s="1"/>
  <c r="P314" i="5"/>
  <c r="Q314" i="5"/>
  <c r="O314" i="5" s="1"/>
  <c r="P315" i="5"/>
  <c r="Q315" i="5"/>
  <c r="O315" i="5" s="1"/>
  <c r="P316" i="5"/>
  <c r="Q316" i="5"/>
  <c r="O316" i="5" s="1"/>
  <c r="P317" i="5"/>
  <c r="Q317" i="5"/>
  <c r="O317" i="5" s="1"/>
  <c r="P318" i="5"/>
  <c r="Q318" i="5"/>
  <c r="O318" i="5" s="1"/>
  <c r="P319" i="5"/>
  <c r="Q319" i="5"/>
  <c r="O319" i="5" s="1"/>
  <c r="P320" i="5"/>
  <c r="Q320" i="5"/>
  <c r="O320" i="5" s="1"/>
  <c r="P321" i="5"/>
  <c r="Q321" i="5"/>
  <c r="O321" i="5" s="1"/>
  <c r="P322" i="5"/>
  <c r="Q322" i="5"/>
  <c r="O322" i="5" s="1"/>
  <c r="P323" i="5"/>
  <c r="Q323" i="5"/>
  <c r="O323" i="5" s="1"/>
  <c r="P324" i="5"/>
  <c r="Q324" i="5"/>
  <c r="O324" i="5" s="1"/>
  <c r="P325" i="5"/>
  <c r="Q325" i="5"/>
  <c r="O325" i="5" s="1"/>
  <c r="P326" i="5"/>
  <c r="Q326" i="5"/>
  <c r="O326" i="5" s="1"/>
  <c r="P327" i="5"/>
  <c r="Q327" i="5"/>
  <c r="O327" i="5" s="1"/>
  <c r="P328" i="5"/>
  <c r="Q328" i="5"/>
  <c r="O328" i="5" s="1"/>
  <c r="P329" i="5"/>
  <c r="Q329" i="5"/>
  <c r="O329" i="5" s="1"/>
  <c r="P330" i="5"/>
  <c r="Q330" i="5"/>
  <c r="O330" i="5" s="1"/>
  <c r="P331" i="5"/>
  <c r="Q331" i="5"/>
  <c r="O331" i="5" s="1"/>
  <c r="P332" i="5"/>
  <c r="Q332" i="5"/>
  <c r="O332" i="5" s="1"/>
  <c r="P333" i="5"/>
  <c r="Q333" i="5"/>
  <c r="O333" i="5" s="1"/>
  <c r="P334" i="5"/>
  <c r="Q334" i="5"/>
  <c r="O334" i="5" s="1"/>
  <c r="P335" i="5"/>
  <c r="Q335" i="5"/>
  <c r="O335" i="5" s="1"/>
  <c r="P336" i="5"/>
  <c r="Q336" i="5"/>
  <c r="O336" i="5" s="1"/>
  <c r="P337" i="5"/>
  <c r="Q337" i="5"/>
  <c r="O337" i="5" s="1"/>
  <c r="P338" i="5"/>
  <c r="Q338" i="5"/>
  <c r="O338" i="5" s="1"/>
  <c r="P339" i="5"/>
  <c r="Q339" i="5"/>
  <c r="O339" i="5" s="1"/>
  <c r="P340" i="5"/>
  <c r="Q340" i="5"/>
  <c r="O340" i="5" s="1"/>
  <c r="P341" i="5"/>
  <c r="Q341" i="5"/>
  <c r="O341" i="5" s="1"/>
  <c r="P342" i="5"/>
  <c r="Q342" i="5"/>
  <c r="O342" i="5" s="1"/>
  <c r="P343" i="5"/>
  <c r="Q343" i="5"/>
  <c r="O343" i="5" s="1"/>
  <c r="P344" i="5"/>
  <c r="Q344" i="5"/>
  <c r="O344" i="5" s="1"/>
  <c r="P345" i="5"/>
  <c r="Q345" i="5"/>
  <c r="O345" i="5" s="1"/>
  <c r="P346" i="5"/>
  <c r="Q346" i="5"/>
  <c r="O346" i="5" s="1"/>
  <c r="P347" i="5"/>
  <c r="Q347" i="5"/>
  <c r="O347" i="5" s="1"/>
  <c r="P348" i="5"/>
  <c r="Q348" i="5"/>
  <c r="O348" i="5" s="1"/>
  <c r="P349" i="5"/>
  <c r="Q349" i="5"/>
  <c r="O349" i="5" s="1"/>
  <c r="P350" i="5"/>
  <c r="Q350" i="5"/>
  <c r="O350" i="5" s="1"/>
  <c r="P351" i="5"/>
  <c r="Q351" i="5"/>
  <c r="O351" i="5" s="1"/>
  <c r="P352" i="5"/>
  <c r="Q352" i="5"/>
  <c r="O352" i="5" s="1"/>
  <c r="P353" i="5"/>
  <c r="Q353" i="5"/>
  <c r="O353" i="5" s="1"/>
  <c r="P354" i="5"/>
  <c r="Q354" i="5"/>
  <c r="O354" i="5" s="1"/>
  <c r="P355" i="5"/>
  <c r="Q355" i="5"/>
  <c r="O355" i="5" s="1"/>
  <c r="P356" i="5"/>
  <c r="Q356" i="5"/>
  <c r="O356" i="5" s="1"/>
  <c r="P357" i="5"/>
  <c r="Q357" i="5"/>
  <c r="O357" i="5" s="1"/>
  <c r="P358" i="5"/>
  <c r="Q358" i="5"/>
  <c r="O358" i="5" s="1"/>
  <c r="P359" i="5"/>
  <c r="Q359" i="5"/>
  <c r="O359" i="5" s="1"/>
  <c r="P360" i="5"/>
  <c r="Q360" i="5"/>
  <c r="O360" i="5" s="1"/>
  <c r="P361" i="5"/>
  <c r="Q361" i="5"/>
  <c r="O361" i="5" s="1"/>
  <c r="P362" i="5"/>
  <c r="Q362" i="5"/>
  <c r="O362" i="5" s="1"/>
  <c r="P363" i="5"/>
  <c r="Q363" i="5"/>
  <c r="O363" i="5" s="1"/>
  <c r="P364" i="5"/>
  <c r="Q364" i="5"/>
  <c r="O364" i="5" s="1"/>
  <c r="P365" i="5"/>
  <c r="Q365" i="5"/>
  <c r="O365" i="5" s="1"/>
  <c r="P366" i="5"/>
  <c r="Q366" i="5"/>
  <c r="O366" i="5" s="1"/>
  <c r="P367" i="5"/>
  <c r="Q367" i="5"/>
  <c r="O367" i="5" s="1"/>
  <c r="P368" i="5"/>
  <c r="Q368" i="5"/>
  <c r="O368" i="5" s="1"/>
  <c r="P369" i="5"/>
  <c r="Q369" i="5"/>
  <c r="O369" i="5" s="1"/>
  <c r="P370" i="5"/>
  <c r="Q370" i="5"/>
  <c r="O370" i="5" s="1"/>
  <c r="P371" i="5"/>
  <c r="Q371" i="5"/>
  <c r="O371" i="5" s="1"/>
  <c r="P372" i="5"/>
  <c r="Q372" i="5"/>
  <c r="O372" i="5" s="1"/>
  <c r="P373" i="5"/>
  <c r="Q373" i="5"/>
  <c r="O373" i="5" s="1"/>
  <c r="P374" i="5"/>
  <c r="Q374" i="5"/>
  <c r="O374" i="5" s="1"/>
  <c r="P375" i="5"/>
  <c r="Q375" i="5"/>
  <c r="O375" i="5" s="1"/>
  <c r="P376" i="5"/>
  <c r="Q376" i="5"/>
  <c r="O376" i="5" s="1"/>
  <c r="P377" i="5"/>
  <c r="Q377" i="5"/>
  <c r="O377" i="5" s="1"/>
  <c r="P378" i="5"/>
  <c r="Q378" i="5"/>
  <c r="O378" i="5" s="1"/>
  <c r="P379" i="5"/>
  <c r="Q379" i="5"/>
  <c r="O379" i="5" s="1"/>
  <c r="P380" i="5"/>
  <c r="Q380" i="5"/>
  <c r="O380" i="5" s="1"/>
  <c r="P381" i="5"/>
  <c r="Q381" i="5"/>
  <c r="O381" i="5" s="1"/>
  <c r="P382" i="5"/>
  <c r="Q382" i="5"/>
  <c r="O382" i="5" s="1"/>
  <c r="P383" i="5"/>
  <c r="Q383" i="5"/>
  <c r="O383" i="5" s="1"/>
  <c r="P384" i="5"/>
  <c r="Q384" i="5"/>
  <c r="O384" i="5" s="1"/>
  <c r="P385" i="5"/>
  <c r="Q385" i="5"/>
  <c r="O385" i="5" s="1"/>
  <c r="P386" i="5"/>
  <c r="Q386" i="5"/>
  <c r="O386" i="5" s="1"/>
  <c r="P387" i="5"/>
  <c r="Q387" i="5"/>
  <c r="O387" i="5" s="1"/>
  <c r="P388" i="5"/>
  <c r="Q388" i="5"/>
  <c r="O388" i="5" s="1"/>
  <c r="P389" i="5"/>
  <c r="Q389" i="5"/>
  <c r="O389" i="5" s="1"/>
  <c r="P390" i="5"/>
  <c r="Q390" i="5"/>
  <c r="O390" i="5" s="1"/>
  <c r="P391" i="5"/>
  <c r="Q391" i="5"/>
  <c r="O391" i="5" s="1"/>
  <c r="P392" i="5"/>
  <c r="Q392" i="5"/>
  <c r="O392" i="5" s="1"/>
  <c r="P393" i="5"/>
  <c r="Q393" i="5"/>
  <c r="O393" i="5" s="1"/>
  <c r="P394" i="5"/>
  <c r="Q394" i="5"/>
  <c r="O394" i="5" s="1"/>
  <c r="P395" i="5"/>
  <c r="Q395" i="5"/>
  <c r="O395" i="5" s="1"/>
  <c r="P396" i="5"/>
  <c r="Q396" i="5"/>
  <c r="O396" i="5" s="1"/>
  <c r="P397" i="5"/>
  <c r="Q397" i="5"/>
  <c r="O397" i="5" s="1"/>
  <c r="P398" i="5"/>
  <c r="Q398" i="5"/>
  <c r="O398" i="5" s="1"/>
  <c r="P399" i="5"/>
  <c r="Q399" i="5"/>
  <c r="O399" i="5" s="1"/>
  <c r="P400" i="5"/>
  <c r="Q400" i="5"/>
  <c r="O400" i="5" s="1"/>
  <c r="P401" i="5"/>
  <c r="Q401" i="5"/>
  <c r="O401" i="5" s="1"/>
  <c r="P402" i="5"/>
  <c r="Q402" i="5"/>
  <c r="O402" i="5" s="1"/>
  <c r="P403" i="5"/>
  <c r="Q403" i="5"/>
  <c r="O403" i="5" s="1"/>
  <c r="P404" i="5"/>
  <c r="Q404" i="5"/>
  <c r="O404" i="5" s="1"/>
  <c r="P405" i="5"/>
  <c r="Q405" i="5"/>
  <c r="O405" i="5" s="1"/>
  <c r="P406" i="5"/>
  <c r="Q406" i="5"/>
  <c r="O406" i="5" s="1"/>
  <c r="P407" i="5"/>
  <c r="Q407" i="5"/>
  <c r="O407" i="5" s="1"/>
  <c r="P408" i="5"/>
  <c r="Q408" i="5"/>
  <c r="O408" i="5" s="1"/>
  <c r="P409" i="5"/>
  <c r="Q409" i="5"/>
  <c r="O409" i="5" s="1"/>
  <c r="P410" i="5"/>
  <c r="Q410" i="5"/>
  <c r="O410" i="5" s="1"/>
  <c r="P411" i="5"/>
  <c r="Q411" i="5"/>
  <c r="O411" i="5" s="1"/>
  <c r="P412" i="5"/>
  <c r="Q412" i="5"/>
  <c r="O412" i="5" s="1"/>
  <c r="P413" i="5"/>
  <c r="Q413" i="5"/>
  <c r="O413" i="5" s="1"/>
  <c r="P414" i="5"/>
  <c r="Q414" i="5"/>
  <c r="O414" i="5" s="1"/>
  <c r="P415" i="5"/>
  <c r="Q415" i="5"/>
  <c r="O415" i="5" s="1"/>
  <c r="P416" i="5"/>
  <c r="Q416" i="5"/>
  <c r="O416" i="5" s="1"/>
  <c r="P417" i="5"/>
  <c r="Q417" i="5"/>
  <c r="O417" i="5" s="1"/>
  <c r="P418" i="5"/>
  <c r="Q418" i="5"/>
  <c r="O418" i="5" s="1"/>
  <c r="P419" i="5"/>
  <c r="Q419" i="5"/>
  <c r="O419" i="5" s="1"/>
  <c r="P420" i="5"/>
  <c r="Q420" i="5"/>
  <c r="O420" i="5" s="1"/>
  <c r="P421" i="5"/>
  <c r="Q421" i="5"/>
  <c r="O421" i="5" s="1"/>
  <c r="P422" i="5"/>
  <c r="Q422" i="5"/>
  <c r="O422" i="5" s="1"/>
  <c r="P423" i="5"/>
  <c r="Q423" i="5"/>
  <c r="O423" i="5" s="1"/>
  <c r="P424" i="5"/>
  <c r="Q424" i="5"/>
  <c r="O424" i="5" s="1"/>
  <c r="P425" i="5"/>
  <c r="Q425" i="5"/>
  <c r="O425" i="5" s="1"/>
  <c r="P426" i="5"/>
  <c r="Q426" i="5"/>
  <c r="O426" i="5" s="1"/>
  <c r="P427" i="5"/>
  <c r="Q427" i="5"/>
  <c r="O427" i="5" s="1"/>
  <c r="P428" i="5"/>
  <c r="Q428" i="5"/>
  <c r="O428" i="5" s="1"/>
  <c r="P429" i="5"/>
  <c r="Q429" i="5"/>
  <c r="O429" i="5" s="1"/>
  <c r="P430" i="5"/>
  <c r="Q430" i="5"/>
  <c r="O430" i="5" s="1"/>
  <c r="P431" i="5"/>
  <c r="Q431" i="5"/>
  <c r="O431" i="5" s="1"/>
  <c r="P432" i="5"/>
  <c r="Q432" i="5"/>
  <c r="O432" i="5" s="1"/>
  <c r="P433" i="5"/>
  <c r="Q433" i="5"/>
  <c r="O433" i="5" s="1"/>
  <c r="P434" i="5"/>
  <c r="Q434" i="5"/>
  <c r="O434" i="5" s="1"/>
  <c r="P435" i="5"/>
  <c r="Q435" i="5"/>
  <c r="O435" i="5" s="1"/>
  <c r="P436" i="5"/>
  <c r="Q436" i="5"/>
  <c r="O436" i="5" s="1"/>
  <c r="P437" i="5"/>
  <c r="Q437" i="5"/>
  <c r="O437" i="5" s="1"/>
  <c r="P438" i="5"/>
  <c r="Q438" i="5"/>
  <c r="O438" i="5" s="1"/>
  <c r="P439" i="5"/>
  <c r="Q439" i="5"/>
  <c r="O439" i="5" s="1"/>
  <c r="P440" i="5"/>
  <c r="Q440" i="5"/>
  <c r="O440" i="5" s="1"/>
  <c r="P441" i="5"/>
  <c r="Q441" i="5"/>
  <c r="O441" i="5" s="1"/>
  <c r="P442" i="5"/>
  <c r="Q442" i="5"/>
  <c r="O442" i="5" s="1"/>
  <c r="P443" i="5"/>
  <c r="Q443" i="5"/>
  <c r="O443" i="5" s="1"/>
  <c r="P444" i="5"/>
  <c r="Q444" i="5"/>
  <c r="O444" i="5" s="1"/>
  <c r="P445" i="5"/>
  <c r="Q445" i="5"/>
  <c r="O445" i="5" s="1"/>
  <c r="P446" i="5"/>
  <c r="Q446" i="5"/>
  <c r="O446" i="5" s="1"/>
  <c r="P447" i="5"/>
  <c r="Q447" i="5"/>
  <c r="O447" i="5" s="1"/>
  <c r="P448" i="5"/>
  <c r="Q448" i="5"/>
  <c r="O448" i="5" s="1"/>
  <c r="P449" i="5"/>
  <c r="Q449" i="5"/>
  <c r="O449" i="5" s="1"/>
  <c r="P450" i="5"/>
  <c r="Q450" i="5"/>
  <c r="O450" i="5" s="1"/>
  <c r="P451" i="5"/>
  <c r="Q451" i="5"/>
  <c r="O451" i="5" s="1"/>
  <c r="P452" i="5"/>
  <c r="Q452" i="5"/>
  <c r="O452" i="5" s="1"/>
  <c r="P453" i="5"/>
  <c r="Q453" i="5"/>
  <c r="O453" i="5" s="1"/>
  <c r="P454" i="5"/>
  <c r="Q454" i="5"/>
  <c r="O454" i="5" s="1"/>
  <c r="P455" i="5"/>
  <c r="Q455" i="5"/>
  <c r="O455" i="5" s="1"/>
  <c r="P456" i="5"/>
  <c r="Q456" i="5"/>
  <c r="O456" i="5" s="1"/>
  <c r="P457" i="5"/>
  <c r="Q457" i="5"/>
  <c r="O457" i="5" s="1"/>
  <c r="P458" i="5"/>
  <c r="Q458" i="5"/>
  <c r="O458" i="5" s="1"/>
  <c r="P459" i="5"/>
  <c r="Q459" i="5"/>
  <c r="O459" i="5" s="1"/>
  <c r="P460" i="5"/>
  <c r="Q460" i="5"/>
  <c r="O460" i="5" s="1"/>
  <c r="P461" i="5"/>
  <c r="Q461" i="5"/>
  <c r="O461" i="5" s="1"/>
  <c r="P462" i="5"/>
  <c r="Q462" i="5"/>
  <c r="O462" i="5" s="1"/>
  <c r="P463" i="5"/>
  <c r="Q463" i="5"/>
  <c r="O463" i="5" s="1"/>
  <c r="P464" i="5"/>
  <c r="Q464" i="5"/>
  <c r="O464" i="5" s="1"/>
  <c r="P465" i="5"/>
  <c r="Q465" i="5"/>
  <c r="O465" i="5" s="1"/>
  <c r="P466" i="5"/>
  <c r="Q466" i="5"/>
  <c r="O466" i="5" s="1"/>
  <c r="P467" i="5"/>
  <c r="Q467" i="5"/>
  <c r="O467" i="5" s="1"/>
  <c r="P468" i="5"/>
  <c r="Q468" i="5"/>
  <c r="O468" i="5" s="1"/>
  <c r="P469" i="5"/>
  <c r="Q469" i="5"/>
  <c r="O469" i="5" s="1"/>
  <c r="P470" i="5"/>
  <c r="Q470" i="5"/>
  <c r="O470" i="5" s="1"/>
  <c r="P471" i="5"/>
  <c r="Q471" i="5"/>
  <c r="O471" i="5" s="1"/>
  <c r="P472" i="5"/>
  <c r="Q472" i="5"/>
  <c r="O472" i="5" s="1"/>
  <c r="P473" i="5"/>
  <c r="Q473" i="5"/>
  <c r="O473" i="5" s="1"/>
  <c r="P474" i="5"/>
  <c r="Q474" i="5"/>
  <c r="O474" i="5" s="1"/>
  <c r="P475" i="5"/>
  <c r="Q475" i="5"/>
  <c r="O475" i="5" s="1"/>
  <c r="P476" i="5"/>
  <c r="Q476" i="5"/>
  <c r="O476" i="5" s="1"/>
  <c r="P477" i="5"/>
  <c r="Q477" i="5"/>
  <c r="O477" i="5" s="1"/>
  <c r="P478" i="5"/>
  <c r="Q478" i="5"/>
  <c r="O478" i="5" s="1"/>
  <c r="P479" i="5"/>
  <c r="Q479" i="5"/>
  <c r="O479" i="5" s="1"/>
  <c r="P480" i="5"/>
  <c r="Q480" i="5"/>
  <c r="O480" i="5" s="1"/>
  <c r="P481" i="5"/>
  <c r="Q481" i="5"/>
  <c r="O481" i="5" s="1"/>
  <c r="P482" i="5"/>
  <c r="Q482" i="5"/>
  <c r="O482" i="5" s="1"/>
  <c r="P483" i="5"/>
  <c r="Q483" i="5"/>
  <c r="O483" i="5" s="1"/>
  <c r="P484" i="5"/>
  <c r="Q484" i="5"/>
  <c r="O484" i="5" s="1"/>
  <c r="P485" i="5"/>
  <c r="Q485" i="5"/>
  <c r="O485" i="5" s="1"/>
  <c r="P486" i="5"/>
  <c r="Q486" i="5"/>
  <c r="O486" i="5" s="1"/>
  <c r="P487" i="5"/>
  <c r="Q487" i="5"/>
  <c r="O487" i="5" s="1"/>
  <c r="P488" i="5"/>
  <c r="Q488" i="5"/>
  <c r="O488" i="5" s="1"/>
  <c r="P489" i="5"/>
  <c r="Q489" i="5"/>
  <c r="O489" i="5" s="1"/>
  <c r="P490" i="5"/>
  <c r="Q490" i="5"/>
  <c r="O490" i="5" s="1"/>
  <c r="P491" i="5"/>
  <c r="Q491" i="5"/>
  <c r="O491" i="5" s="1"/>
  <c r="P492" i="5"/>
  <c r="Q492" i="5"/>
  <c r="O492" i="5" s="1"/>
  <c r="P493" i="5"/>
  <c r="Q493" i="5"/>
  <c r="O493" i="5" s="1"/>
  <c r="P494" i="5"/>
  <c r="Q494" i="5"/>
  <c r="O494" i="5" s="1"/>
  <c r="P495" i="5"/>
  <c r="Q495" i="5"/>
  <c r="O495" i="5" s="1"/>
  <c r="P496" i="5"/>
  <c r="Q496" i="5"/>
  <c r="O496" i="5" s="1"/>
  <c r="P497" i="5"/>
  <c r="Q497" i="5"/>
  <c r="O497" i="5" s="1"/>
  <c r="P498" i="5"/>
  <c r="Q498" i="5"/>
  <c r="O498" i="5" s="1"/>
  <c r="P499" i="5"/>
  <c r="Q499" i="5"/>
  <c r="O499" i="5" s="1"/>
  <c r="P500" i="5"/>
  <c r="Q500" i="5"/>
  <c r="O500" i="5" s="1"/>
  <c r="P501" i="5"/>
  <c r="Q501" i="5"/>
  <c r="O501" i="5" s="1"/>
  <c r="P502" i="5"/>
  <c r="Q502" i="5"/>
  <c r="O502" i="5" s="1"/>
  <c r="P503" i="5"/>
  <c r="Q503" i="5"/>
  <c r="O503" i="5" s="1"/>
  <c r="P504" i="5"/>
  <c r="Q504" i="5"/>
  <c r="O504" i="5" s="1"/>
  <c r="P505" i="5"/>
  <c r="Q505" i="5"/>
  <c r="O505" i="5" s="1"/>
  <c r="P506" i="5"/>
  <c r="Q506" i="5"/>
  <c r="O506" i="5" s="1"/>
  <c r="P507" i="5"/>
  <c r="Q507" i="5"/>
  <c r="O507" i="5" s="1"/>
  <c r="P508" i="5"/>
  <c r="Q508" i="5"/>
  <c r="O508" i="5" s="1"/>
  <c r="P509" i="5"/>
  <c r="Q509" i="5"/>
  <c r="O509" i="5" s="1"/>
  <c r="P510" i="5"/>
  <c r="Q510" i="5"/>
  <c r="O510" i="5" s="1"/>
  <c r="P511" i="5"/>
  <c r="Q511" i="5"/>
  <c r="O511" i="5" s="1"/>
  <c r="P512" i="5"/>
  <c r="Q512" i="5"/>
  <c r="O512" i="5" s="1"/>
  <c r="P513" i="5"/>
  <c r="Q513" i="5"/>
  <c r="O513" i="5" s="1"/>
  <c r="P514" i="5"/>
  <c r="Q514" i="5"/>
  <c r="O514" i="5" s="1"/>
  <c r="P515" i="5"/>
  <c r="Q515" i="5"/>
  <c r="O515" i="5" s="1"/>
  <c r="P516" i="5"/>
  <c r="Q516" i="5"/>
  <c r="O516" i="5" s="1"/>
  <c r="P517" i="5"/>
  <c r="Q517" i="5"/>
  <c r="O517" i="5" s="1"/>
  <c r="P518" i="5"/>
  <c r="Q518" i="5"/>
  <c r="O518" i="5" s="1"/>
  <c r="P519" i="5"/>
  <c r="Q519" i="5"/>
  <c r="O519" i="5" s="1"/>
  <c r="P520" i="5"/>
  <c r="Q520" i="5"/>
  <c r="O520" i="5" s="1"/>
  <c r="P521" i="5"/>
  <c r="Q521" i="5"/>
  <c r="O521" i="5" s="1"/>
  <c r="P522" i="5"/>
  <c r="Q522" i="5"/>
  <c r="O522" i="5" s="1"/>
  <c r="P523" i="5"/>
  <c r="Q523" i="5"/>
  <c r="O523" i="5" s="1"/>
  <c r="P524" i="5"/>
  <c r="Q524" i="5"/>
  <c r="O524" i="5" s="1"/>
  <c r="P525" i="5"/>
  <c r="Q525" i="5"/>
  <c r="O525" i="5" s="1"/>
  <c r="P526" i="5"/>
  <c r="Q526" i="5"/>
  <c r="O526" i="5" s="1"/>
  <c r="P527" i="5"/>
  <c r="Q527" i="5"/>
  <c r="O527" i="5" s="1"/>
  <c r="P528" i="5"/>
  <c r="Q528" i="5"/>
  <c r="O528" i="5" s="1"/>
  <c r="P529" i="5"/>
  <c r="Q529" i="5"/>
  <c r="O529" i="5" s="1"/>
  <c r="P530" i="5"/>
  <c r="Q530" i="5"/>
  <c r="O530" i="5" s="1"/>
  <c r="P531" i="5"/>
  <c r="Q531" i="5"/>
  <c r="O531" i="5" s="1"/>
  <c r="P532" i="5"/>
  <c r="Q532" i="5"/>
  <c r="O532" i="5" s="1"/>
  <c r="P533" i="5"/>
  <c r="Q533" i="5"/>
  <c r="O533" i="5" s="1"/>
  <c r="P534" i="5"/>
  <c r="Q534" i="5"/>
  <c r="O534" i="5" s="1"/>
  <c r="P535" i="5"/>
  <c r="Q535" i="5"/>
  <c r="O535" i="5" s="1"/>
  <c r="P536" i="5"/>
  <c r="Q536" i="5"/>
  <c r="O536" i="5" s="1"/>
  <c r="P537" i="5"/>
  <c r="Q537" i="5"/>
  <c r="O537" i="5" s="1"/>
  <c r="P538" i="5"/>
  <c r="Q538" i="5"/>
  <c r="O538" i="5" s="1"/>
  <c r="P539" i="5"/>
  <c r="Q539" i="5"/>
  <c r="O539" i="5" s="1"/>
  <c r="P540" i="5"/>
  <c r="Q540" i="5"/>
  <c r="O540" i="5" s="1"/>
  <c r="P541" i="5"/>
  <c r="Q541" i="5"/>
  <c r="O541" i="5" s="1"/>
  <c r="P542" i="5"/>
  <c r="Q542" i="5"/>
  <c r="O542" i="5" s="1"/>
  <c r="P543" i="5"/>
  <c r="Q543" i="5"/>
  <c r="O543" i="5" s="1"/>
  <c r="P544" i="5"/>
  <c r="Q544" i="5"/>
  <c r="O544" i="5" s="1"/>
  <c r="P545" i="5"/>
  <c r="Q545" i="5"/>
  <c r="O545" i="5" s="1"/>
  <c r="P546" i="5"/>
  <c r="Q546" i="5"/>
  <c r="O546" i="5" s="1"/>
  <c r="P547" i="5"/>
  <c r="Q547" i="5"/>
  <c r="O547" i="5" s="1"/>
  <c r="P548" i="5"/>
  <c r="Q548" i="5"/>
  <c r="O548" i="5" s="1"/>
  <c r="P549" i="5"/>
  <c r="Q549" i="5"/>
  <c r="O549" i="5" s="1"/>
  <c r="P550" i="5"/>
  <c r="Q550" i="5"/>
  <c r="O550" i="5" s="1"/>
  <c r="P551" i="5"/>
  <c r="Q551" i="5"/>
  <c r="O551" i="5" s="1"/>
  <c r="P552" i="5"/>
  <c r="Q552" i="5"/>
  <c r="O552" i="5" s="1"/>
  <c r="P553" i="5"/>
  <c r="Q553" i="5"/>
  <c r="O553" i="5" s="1"/>
  <c r="P554" i="5"/>
  <c r="Q554" i="5"/>
  <c r="O554" i="5" s="1"/>
  <c r="P555" i="5"/>
  <c r="Q555" i="5"/>
  <c r="O555" i="5" s="1"/>
  <c r="P556" i="5"/>
  <c r="Q556" i="5"/>
  <c r="O556" i="5" s="1"/>
  <c r="P557" i="5"/>
  <c r="Q557" i="5"/>
  <c r="O557" i="5" s="1"/>
  <c r="P558" i="5"/>
  <c r="Q558" i="5"/>
  <c r="O558" i="5" s="1"/>
  <c r="P559" i="5"/>
  <c r="Q559" i="5"/>
  <c r="O559" i="5" s="1"/>
  <c r="P560" i="5"/>
  <c r="Q560" i="5"/>
  <c r="O560" i="5" s="1"/>
  <c r="P561" i="5"/>
  <c r="Q561" i="5"/>
  <c r="O561" i="5" s="1"/>
  <c r="P562" i="5"/>
  <c r="Q562" i="5"/>
  <c r="O562" i="5" s="1"/>
  <c r="P563" i="5"/>
  <c r="Q563" i="5"/>
  <c r="O563" i="5" s="1"/>
  <c r="P564" i="5"/>
  <c r="Q564" i="5"/>
  <c r="O564" i="5" s="1"/>
  <c r="P565" i="5"/>
  <c r="Q565" i="5"/>
  <c r="O565" i="5" s="1"/>
  <c r="P566" i="5"/>
  <c r="Q566" i="5"/>
  <c r="O566" i="5" s="1"/>
  <c r="P567" i="5"/>
  <c r="Q567" i="5"/>
  <c r="O567" i="5" s="1"/>
  <c r="P568" i="5"/>
  <c r="Q568" i="5"/>
  <c r="O568" i="5" s="1"/>
  <c r="P569" i="5"/>
  <c r="Q569" i="5"/>
  <c r="O569" i="5" s="1"/>
  <c r="P570" i="5"/>
  <c r="Q570" i="5"/>
  <c r="O570" i="5" s="1"/>
  <c r="P571" i="5"/>
  <c r="Q571" i="5"/>
  <c r="O571" i="5" s="1"/>
  <c r="P572" i="5"/>
  <c r="Q572" i="5"/>
  <c r="O572" i="5" s="1"/>
  <c r="P573" i="5"/>
  <c r="Q573" i="5"/>
  <c r="O573" i="5" s="1"/>
  <c r="P574" i="5"/>
  <c r="Q574" i="5"/>
  <c r="O574" i="5" s="1"/>
  <c r="P575" i="5"/>
  <c r="Q575" i="5"/>
  <c r="O575" i="5" s="1"/>
  <c r="P576" i="5"/>
  <c r="Q576" i="5"/>
  <c r="O576" i="5" s="1"/>
  <c r="P577" i="5"/>
  <c r="Q577" i="5"/>
  <c r="O577" i="5" s="1"/>
  <c r="P578" i="5"/>
  <c r="Q578" i="5"/>
  <c r="O578" i="5" s="1"/>
  <c r="P579" i="5"/>
  <c r="Q579" i="5"/>
  <c r="O579" i="5" s="1"/>
  <c r="P580" i="5"/>
  <c r="Q580" i="5"/>
  <c r="O580" i="5" s="1"/>
  <c r="P581" i="5"/>
  <c r="Q581" i="5"/>
  <c r="O581" i="5" s="1"/>
  <c r="P582" i="5"/>
  <c r="Q582" i="5"/>
  <c r="O582" i="5" s="1"/>
  <c r="P583" i="5"/>
  <c r="Q583" i="5"/>
  <c r="O583" i="5" s="1"/>
  <c r="P584" i="5"/>
  <c r="Q584" i="5"/>
  <c r="O584" i="5" s="1"/>
  <c r="P585" i="5"/>
  <c r="Q585" i="5"/>
  <c r="O585" i="5" s="1"/>
  <c r="P586" i="5"/>
  <c r="Q586" i="5"/>
  <c r="O586" i="5" s="1"/>
  <c r="P587" i="5"/>
  <c r="Q587" i="5"/>
  <c r="O587" i="5" s="1"/>
  <c r="P588" i="5"/>
  <c r="Q588" i="5"/>
  <c r="O588" i="5" s="1"/>
  <c r="P589" i="5"/>
  <c r="Q589" i="5"/>
  <c r="O589" i="5" s="1"/>
  <c r="P590" i="5"/>
  <c r="Q590" i="5"/>
  <c r="O590" i="5" s="1"/>
  <c r="P591" i="5"/>
  <c r="Q591" i="5"/>
  <c r="O591" i="5" s="1"/>
  <c r="P592" i="5"/>
  <c r="Q592" i="5"/>
  <c r="O592" i="5" s="1"/>
  <c r="P593" i="5"/>
  <c r="Q593" i="5"/>
  <c r="O593" i="5" s="1"/>
  <c r="P594" i="5"/>
  <c r="Q594" i="5"/>
  <c r="O594" i="5" s="1"/>
  <c r="P595" i="5"/>
  <c r="Q595" i="5"/>
  <c r="O595" i="5" s="1"/>
  <c r="P596" i="5"/>
  <c r="Q596" i="5"/>
  <c r="O596" i="5" s="1"/>
  <c r="P597" i="5"/>
  <c r="Q597" i="5"/>
  <c r="O597" i="5" s="1"/>
  <c r="P598" i="5"/>
  <c r="Q598" i="5"/>
  <c r="O598" i="5" s="1"/>
  <c r="P599" i="5"/>
  <c r="Q599" i="5"/>
  <c r="O599" i="5" s="1"/>
  <c r="P600" i="5"/>
  <c r="Q600" i="5"/>
  <c r="O600" i="5" s="1"/>
  <c r="P601" i="5"/>
  <c r="Q601" i="5"/>
  <c r="O601" i="5" s="1"/>
  <c r="P602" i="5"/>
  <c r="Q602" i="5"/>
  <c r="O602" i="5" s="1"/>
  <c r="P603" i="5"/>
  <c r="Q603" i="5"/>
  <c r="O603" i="5" s="1"/>
  <c r="P604" i="5"/>
  <c r="Q604" i="5"/>
  <c r="O604" i="5" s="1"/>
  <c r="P605" i="5"/>
  <c r="Q605" i="5"/>
  <c r="O605" i="5" s="1"/>
  <c r="P606" i="5"/>
  <c r="Q606" i="5"/>
  <c r="O606" i="5" s="1"/>
  <c r="P607" i="5"/>
  <c r="Q607" i="5"/>
  <c r="O607" i="5" s="1"/>
  <c r="P608" i="5"/>
  <c r="Q608" i="5"/>
  <c r="O608" i="5" s="1"/>
  <c r="P609" i="5"/>
  <c r="Q609" i="5"/>
  <c r="O609" i="5" s="1"/>
  <c r="P610" i="5"/>
  <c r="Q610" i="5"/>
  <c r="O610" i="5" s="1"/>
  <c r="P611" i="5"/>
  <c r="Q611" i="5"/>
  <c r="O611" i="5" s="1"/>
  <c r="P612" i="5"/>
  <c r="Q612" i="5"/>
  <c r="O612" i="5" s="1"/>
  <c r="P613" i="5"/>
  <c r="Q613" i="5"/>
  <c r="O613" i="5" s="1"/>
  <c r="P614" i="5"/>
  <c r="Q614" i="5"/>
  <c r="O614" i="5" s="1"/>
  <c r="P615" i="5"/>
  <c r="Q615" i="5"/>
  <c r="O615" i="5" s="1"/>
  <c r="P616" i="5"/>
  <c r="Q616" i="5"/>
  <c r="O616" i="5" s="1"/>
  <c r="P617" i="5"/>
  <c r="Q617" i="5"/>
  <c r="O617" i="5" s="1"/>
  <c r="P618" i="5"/>
  <c r="Q618" i="5"/>
  <c r="O618" i="5" s="1"/>
  <c r="P619" i="5"/>
  <c r="Q619" i="5"/>
  <c r="O619" i="5" s="1"/>
  <c r="P620" i="5"/>
  <c r="Q620" i="5"/>
  <c r="O620" i="5" s="1"/>
  <c r="P621" i="5"/>
  <c r="Q621" i="5"/>
  <c r="O621" i="5" s="1"/>
  <c r="P622" i="5"/>
  <c r="Q622" i="5"/>
  <c r="O622" i="5" s="1"/>
  <c r="P623" i="5"/>
  <c r="Q623" i="5"/>
  <c r="O623" i="5" s="1"/>
  <c r="P624" i="5"/>
  <c r="Q624" i="5"/>
  <c r="O624" i="5" s="1"/>
  <c r="P625" i="5"/>
  <c r="Q625" i="5"/>
  <c r="O625" i="5" s="1"/>
  <c r="P626" i="5"/>
  <c r="Q626" i="5"/>
  <c r="O626" i="5" s="1"/>
  <c r="P627" i="5"/>
  <c r="Q627" i="5"/>
  <c r="O627" i="5" s="1"/>
  <c r="P628" i="5"/>
  <c r="Q628" i="5"/>
  <c r="O628" i="5" s="1"/>
  <c r="P629" i="5"/>
  <c r="Q629" i="5"/>
  <c r="O629" i="5" s="1"/>
  <c r="P630" i="5"/>
  <c r="Q630" i="5"/>
  <c r="O630" i="5" s="1"/>
  <c r="P631" i="5"/>
  <c r="Q631" i="5"/>
  <c r="O631" i="5" s="1"/>
  <c r="P632" i="5"/>
  <c r="Q632" i="5"/>
  <c r="O632" i="5" s="1"/>
  <c r="P633" i="5"/>
  <c r="Q633" i="5"/>
  <c r="O633" i="5" s="1"/>
  <c r="P634" i="5"/>
  <c r="Q634" i="5"/>
  <c r="O634" i="5" s="1"/>
  <c r="P635" i="5"/>
  <c r="Q635" i="5"/>
  <c r="O635" i="5" s="1"/>
  <c r="P636" i="5"/>
  <c r="Q636" i="5"/>
  <c r="O636" i="5" s="1"/>
  <c r="P637" i="5"/>
  <c r="Q637" i="5"/>
  <c r="O637" i="5" s="1"/>
  <c r="P638" i="5"/>
  <c r="Q638" i="5"/>
  <c r="O638" i="5" s="1"/>
  <c r="P639" i="5"/>
  <c r="Q639" i="5"/>
  <c r="O639" i="5" s="1"/>
  <c r="P640" i="5"/>
  <c r="Q640" i="5"/>
  <c r="O640" i="5" s="1"/>
  <c r="P641" i="5"/>
  <c r="Q641" i="5"/>
  <c r="O641" i="5" s="1"/>
  <c r="P642" i="5"/>
  <c r="Q642" i="5"/>
  <c r="O642" i="5" s="1"/>
  <c r="P643" i="5"/>
  <c r="Q643" i="5"/>
  <c r="O643" i="5" s="1"/>
  <c r="P644" i="5"/>
  <c r="Q644" i="5"/>
  <c r="O644" i="5" s="1"/>
  <c r="P645" i="5"/>
  <c r="Q645" i="5"/>
  <c r="O645" i="5" s="1"/>
  <c r="P646" i="5"/>
  <c r="Q646" i="5"/>
  <c r="O646" i="5" s="1"/>
  <c r="P647" i="5"/>
  <c r="Q647" i="5"/>
  <c r="O647" i="5" s="1"/>
  <c r="P648" i="5"/>
  <c r="Q648" i="5"/>
  <c r="O648" i="5" s="1"/>
  <c r="P649" i="5"/>
  <c r="Q649" i="5"/>
  <c r="O649" i="5" s="1"/>
  <c r="P650" i="5"/>
  <c r="Q650" i="5"/>
  <c r="O650" i="5" s="1"/>
  <c r="P651" i="5"/>
  <c r="Q651" i="5"/>
  <c r="O651" i="5" s="1"/>
  <c r="P652" i="5"/>
  <c r="Q652" i="5"/>
  <c r="O652" i="5" s="1"/>
  <c r="P653" i="5"/>
  <c r="Q653" i="5"/>
  <c r="O653" i="5" s="1"/>
  <c r="P654" i="5"/>
  <c r="Q654" i="5"/>
  <c r="O654" i="5" s="1"/>
  <c r="P655" i="5"/>
  <c r="Q655" i="5"/>
  <c r="O655" i="5" s="1"/>
  <c r="P656" i="5"/>
  <c r="Q656" i="5"/>
  <c r="O656" i="5" s="1"/>
  <c r="P657" i="5"/>
  <c r="Q657" i="5"/>
  <c r="O657" i="5" s="1"/>
  <c r="P658" i="5"/>
  <c r="Q658" i="5"/>
  <c r="O658" i="5" s="1"/>
  <c r="P659" i="5"/>
  <c r="Q659" i="5"/>
  <c r="O659" i="5" s="1"/>
  <c r="P660" i="5"/>
  <c r="Q660" i="5"/>
  <c r="O660" i="5" s="1"/>
  <c r="P661" i="5"/>
  <c r="Q661" i="5"/>
  <c r="O661" i="5" s="1"/>
  <c r="P662" i="5"/>
  <c r="Q662" i="5"/>
  <c r="O662" i="5" s="1"/>
  <c r="P663" i="5"/>
  <c r="Q663" i="5"/>
  <c r="O663" i="5" s="1"/>
  <c r="P664" i="5"/>
  <c r="Q664" i="5"/>
  <c r="O664" i="5" s="1"/>
  <c r="P665" i="5"/>
  <c r="Q665" i="5"/>
  <c r="O665" i="5" s="1"/>
  <c r="P666" i="5"/>
  <c r="Q666" i="5"/>
  <c r="O666" i="5" s="1"/>
  <c r="P667" i="5"/>
  <c r="Q667" i="5"/>
  <c r="O667" i="5" s="1"/>
  <c r="P668" i="5"/>
  <c r="Q668" i="5"/>
  <c r="O668" i="5" s="1"/>
  <c r="P669" i="5"/>
  <c r="Q669" i="5"/>
  <c r="O669" i="5" s="1"/>
  <c r="P670" i="5"/>
  <c r="Q670" i="5"/>
  <c r="O670" i="5" s="1"/>
  <c r="P671" i="5"/>
  <c r="Q671" i="5"/>
  <c r="O671" i="5" s="1"/>
  <c r="P672" i="5"/>
  <c r="Q672" i="5"/>
  <c r="O672" i="5" s="1"/>
  <c r="P673" i="5"/>
  <c r="Q673" i="5"/>
  <c r="O673" i="5" s="1"/>
  <c r="P674" i="5"/>
  <c r="Q674" i="5"/>
  <c r="O674" i="5" s="1"/>
  <c r="P675" i="5"/>
  <c r="Q675" i="5"/>
  <c r="O675" i="5" s="1"/>
  <c r="P676" i="5"/>
  <c r="Q676" i="5"/>
  <c r="O676" i="5" s="1"/>
  <c r="P677" i="5"/>
  <c r="Q677" i="5"/>
  <c r="O677" i="5" s="1"/>
  <c r="P678" i="5"/>
  <c r="Q678" i="5"/>
  <c r="O678" i="5" s="1"/>
  <c r="P679" i="5"/>
  <c r="Q679" i="5"/>
  <c r="O679" i="5" s="1"/>
  <c r="P680" i="5"/>
  <c r="Q680" i="5"/>
  <c r="O680" i="5" s="1"/>
  <c r="P681" i="5"/>
  <c r="Q681" i="5"/>
  <c r="O681" i="5" s="1"/>
  <c r="P682" i="5"/>
  <c r="Q682" i="5"/>
  <c r="O682" i="5" s="1"/>
  <c r="P683" i="5"/>
  <c r="Q683" i="5"/>
  <c r="O683" i="5" s="1"/>
  <c r="P684" i="5"/>
  <c r="Q684" i="5"/>
  <c r="O684" i="5" s="1"/>
  <c r="P685" i="5"/>
  <c r="Q685" i="5"/>
  <c r="O685" i="5" s="1"/>
  <c r="P686" i="5"/>
  <c r="Q686" i="5"/>
  <c r="O686" i="5" s="1"/>
  <c r="P687" i="5"/>
  <c r="Q687" i="5"/>
  <c r="O687" i="5" s="1"/>
  <c r="P688" i="5"/>
  <c r="Q688" i="5"/>
  <c r="O688" i="5" s="1"/>
  <c r="P689" i="5"/>
  <c r="Q689" i="5"/>
  <c r="O689" i="5" s="1"/>
  <c r="P690" i="5"/>
  <c r="Q690" i="5"/>
  <c r="O690" i="5" s="1"/>
  <c r="P691" i="5"/>
  <c r="Q691" i="5"/>
  <c r="O691" i="5" s="1"/>
  <c r="P692" i="5"/>
  <c r="Q692" i="5"/>
  <c r="O692" i="5" s="1"/>
  <c r="P693" i="5"/>
  <c r="Q693" i="5"/>
  <c r="O693" i="5" s="1"/>
  <c r="P694" i="5"/>
  <c r="Q694" i="5"/>
  <c r="O694" i="5" s="1"/>
  <c r="P695" i="5"/>
  <c r="Q695" i="5"/>
  <c r="O695" i="5" s="1"/>
  <c r="P696" i="5"/>
  <c r="Q696" i="5"/>
  <c r="O696" i="5" s="1"/>
  <c r="P697" i="5"/>
  <c r="Q697" i="5"/>
  <c r="O697" i="5" s="1"/>
  <c r="P698" i="5"/>
  <c r="Q698" i="5"/>
  <c r="O698" i="5" s="1"/>
  <c r="P699" i="5"/>
  <c r="Q699" i="5"/>
  <c r="O699" i="5" s="1"/>
  <c r="P700" i="5"/>
  <c r="Q700" i="5"/>
  <c r="O700" i="5" s="1"/>
  <c r="P701" i="5"/>
  <c r="Q701" i="5"/>
  <c r="O701" i="5" s="1"/>
  <c r="P702" i="5"/>
  <c r="Q702" i="5"/>
  <c r="O702" i="5" s="1"/>
  <c r="P703" i="5"/>
  <c r="Q703" i="5"/>
  <c r="O703" i="5" s="1"/>
  <c r="P704" i="5"/>
  <c r="Q704" i="5"/>
  <c r="O704" i="5" s="1"/>
  <c r="P705" i="5"/>
  <c r="Q705" i="5"/>
  <c r="O705" i="5" s="1"/>
  <c r="P706" i="5"/>
  <c r="Q706" i="5"/>
  <c r="O706" i="5" s="1"/>
  <c r="P707" i="5"/>
  <c r="Q707" i="5"/>
  <c r="O707" i="5" s="1"/>
  <c r="P708" i="5"/>
  <c r="Q708" i="5"/>
  <c r="O708" i="5" s="1"/>
  <c r="P709" i="5"/>
  <c r="Q709" i="5"/>
  <c r="O709" i="5" s="1"/>
  <c r="P710" i="5"/>
  <c r="Q710" i="5"/>
  <c r="O710" i="5" s="1"/>
  <c r="P711" i="5"/>
  <c r="Q711" i="5"/>
  <c r="O711" i="5" s="1"/>
  <c r="P712" i="5"/>
  <c r="Q712" i="5"/>
  <c r="O712" i="5" s="1"/>
  <c r="P713" i="5"/>
  <c r="Q713" i="5"/>
  <c r="O713" i="5" s="1"/>
  <c r="P714" i="5"/>
  <c r="Q714" i="5"/>
  <c r="O714" i="5" s="1"/>
  <c r="P715" i="5"/>
  <c r="Q715" i="5"/>
  <c r="O715" i="5" s="1"/>
  <c r="P716" i="5"/>
  <c r="Q716" i="5"/>
  <c r="O716" i="5" s="1"/>
  <c r="P717" i="5"/>
  <c r="Q717" i="5"/>
  <c r="O717" i="5" s="1"/>
  <c r="P718" i="5"/>
  <c r="Q718" i="5"/>
  <c r="O718" i="5" s="1"/>
  <c r="P719" i="5"/>
  <c r="Q719" i="5"/>
  <c r="O719" i="5" s="1"/>
  <c r="P720" i="5"/>
  <c r="Q720" i="5"/>
  <c r="O720" i="5" s="1"/>
  <c r="P721" i="5"/>
  <c r="Q721" i="5"/>
  <c r="O721" i="5" s="1"/>
  <c r="P722" i="5"/>
  <c r="Q722" i="5"/>
  <c r="O722" i="5" s="1"/>
  <c r="P723" i="5"/>
  <c r="Q723" i="5"/>
  <c r="O723" i="5" s="1"/>
  <c r="P724" i="5"/>
  <c r="Q724" i="5"/>
  <c r="O724" i="5" s="1"/>
  <c r="P725" i="5"/>
  <c r="Q725" i="5"/>
  <c r="O725" i="5" s="1"/>
  <c r="P726" i="5"/>
  <c r="Q726" i="5"/>
  <c r="O726" i="5" s="1"/>
  <c r="P727" i="5"/>
  <c r="Q727" i="5"/>
  <c r="O727" i="5" s="1"/>
  <c r="P728" i="5"/>
  <c r="Q728" i="5"/>
  <c r="O728" i="5" s="1"/>
  <c r="P729" i="5"/>
  <c r="Q729" i="5"/>
  <c r="O729" i="5" s="1"/>
  <c r="P730" i="5"/>
  <c r="Q730" i="5"/>
  <c r="O730" i="5" s="1"/>
  <c r="P731" i="5"/>
  <c r="Q731" i="5"/>
  <c r="O731" i="5" s="1"/>
  <c r="P732" i="5"/>
  <c r="Q732" i="5"/>
  <c r="O732" i="5" s="1"/>
  <c r="P733" i="5"/>
  <c r="Q733" i="5"/>
  <c r="O733" i="5" s="1"/>
  <c r="P734" i="5"/>
  <c r="Q734" i="5"/>
  <c r="O734" i="5" s="1"/>
  <c r="P735" i="5"/>
  <c r="Q735" i="5"/>
  <c r="O735" i="5" s="1"/>
  <c r="P736" i="5"/>
  <c r="Q736" i="5"/>
  <c r="O736" i="5" s="1"/>
  <c r="P737" i="5"/>
  <c r="Q737" i="5"/>
  <c r="O737" i="5" s="1"/>
  <c r="P738" i="5"/>
  <c r="Q738" i="5"/>
  <c r="O738" i="5" s="1"/>
  <c r="P739" i="5"/>
  <c r="Q739" i="5"/>
  <c r="O739" i="5" s="1"/>
  <c r="P740" i="5"/>
  <c r="Q740" i="5"/>
  <c r="O740" i="5" s="1"/>
  <c r="P741" i="5"/>
  <c r="Q741" i="5"/>
  <c r="O741" i="5" s="1"/>
  <c r="P742" i="5"/>
  <c r="Q742" i="5"/>
  <c r="O742" i="5" s="1"/>
  <c r="P743" i="5"/>
  <c r="Q743" i="5"/>
  <c r="O743" i="5" s="1"/>
  <c r="P744" i="5"/>
  <c r="Q744" i="5"/>
  <c r="O744" i="5" s="1"/>
  <c r="P745" i="5"/>
  <c r="Q745" i="5"/>
  <c r="O745" i="5" s="1"/>
  <c r="P746" i="5"/>
  <c r="Q746" i="5"/>
  <c r="O746" i="5" s="1"/>
  <c r="P747" i="5"/>
  <c r="Q747" i="5"/>
  <c r="O747" i="5" s="1"/>
  <c r="P748" i="5"/>
  <c r="Q748" i="5"/>
  <c r="O748" i="5" s="1"/>
  <c r="P749" i="5"/>
  <c r="Q749" i="5"/>
  <c r="O749" i="5" s="1"/>
  <c r="P750" i="5"/>
  <c r="Q750" i="5"/>
  <c r="O750" i="5" s="1"/>
  <c r="P751" i="5"/>
  <c r="Q751" i="5"/>
  <c r="O751" i="5" s="1"/>
  <c r="P752" i="5"/>
  <c r="Q752" i="5"/>
  <c r="O752" i="5" s="1"/>
  <c r="P753" i="5"/>
  <c r="Q753" i="5"/>
  <c r="O753" i="5" s="1"/>
  <c r="P754" i="5"/>
  <c r="Q754" i="5"/>
  <c r="O754" i="5" s="1"/>
  <c r="P755" i="5"/>
  <c r="Q755" i="5"/>
  <c r="O755" i="5" s="1"/>
  <c r="P756" i="5"/>
  <c r="Q756" i="5"/>
  <c r="O756" i="5" s="1"/>
  <c r="P757" i="5"/>
  <c r="Q757" i="5"/>
  <c r="O757" i="5" s="1"/>
  <c r="P758" i="5"/>
  <c r="Q758" i="5"/>
  <c r="O758" i="5" s="1"/>
  <c r="P759" i="5"/>
  <c r="Q759" i="5"/>
  <c r="O759" i="5" s="1"/>
  <c r="P760" i="5"/>
  <c r="Q760" i="5"/>
  <c r="O760" i="5" s="1"/>
  <c r="P761" i="5"/>
  <c r="Q761" i="5"/>
  <c r="O761" i="5" s="1"/>
  <c r="P762" i="5"/>
  <c r="Q762" i="5"/>
  <c r="O762" i="5" s="1"/>
  <c r="P763" i="5"/>
  <c r="Q763" i="5"/>
  <c r="O763" i="5" s="1"/>
  <c r="P764" i="5"/>
  <c r="Q764" i="5"/>
  <c r="O764" i="5" s="1"/>
  <c r="P765" i="5"/>
  <c r="Q765" i="5"/>
  <c r="O765" i="5" s="1"/>
  <c r="P766" i="5"/>
  <c r="Q766" i="5"/>
  <c r="O766" i="5" s="1"/>
  <c r="P767" i="5"/>
  <c r="Q767" i="5"/>
  <c r="O767" i="5" s="1"/>
  <c r="P768" i="5"/>
  <c r="Q768" i="5"/>
  <c r="O768" i="5" s="1"/>
  <c r="P769" i="5"/>
  <c r="Q769" i="5"/>
  <c r="O769" i="5" s="1"/>
  <c r="P770" i="5"/>
  <c r="Q770" i="5"/>
  <c r="O770" i="5" s="1"/>
  <c r="P771" i="5"/>
  <c r="Q771" i="5"/>
  <c r="O771" i="5" s="1"/>
  <c r="P772" i="5"/>
  <c r="Q772" i="5"/>
  <c r="O772" i="5" s="1"/>
  <c r="P773" i="5"/>
  <c r="Q773" i="5"/>
  <c r="O773" i="5" s="1"/>
  <c r="P774" i="5"/>
  <c r="Q774" i="5"/>
  <c r="O774" i="5" s="1"/>
  <c r="P775" i="5"/>
  <c r="Q775" i="5"/>
  <c r="O775" i="5" s="1"/>
  <c r="P776" i="5"/>
  <c r="Q776" i="5"/>
  <c r="O776" i="5" s="1"/>
  <c r="P777" i="5"/>
  <c r="Q777" i="5"/>
  <c r="O777" i="5" s="1"/>
  <c r="P778" i="5"/>
  <c r="Q778" i="5"/>
  <c r="O778" i="5" s="1"/>
  <c r="P779" i="5"/>
  <c r="Q779" i="5"/>
  <c r="O779" i="5" s="1"/>
  <c r="P780" i="5"/>
  <c r="Q780" i="5"/>
  <c r="O780" i="5" s="1"/>
  <c r="P781" i="5"/>
  <c r="Q781" i="5"/>
  <c r="O781" i="5" s="1"/>
  <c r="P782" i="5"/>
  <c r="Q782" i="5"/>
  <c r="O782" i="5" s="1"/>
  <c r="P783" i="5"/>
  <c r="Q783" i="5"/>
  <c r="O783" i="5" s="1"/>
  <c r="P784" i="5"/>
  <c r="Q784" i="5"/>
  <c r="O784" i="5" s="1"/>
  <c r="P785" i="5"/>
  <c r="Q785" i="5"/>
  <c r="O785" i="5" s="1"/>
  <c r="P786" i="5"/>
  <c r="Q786" i="5"/>
  <c r="O786" i="5" s="1"/>
  <c r="P787" i="5"/>
  <c r="Q787" i="5"/>
  <c r="O787" i="5" s="1"/>
  <c r="P788" i="5"/>
  <c r="Q788" i="5"/>
  <c r="O788" i="5" s="1"/>
  <c r="P789" i="5"/>
  <c r="Q789" i="5"/>
  <c r="O789" i="5" s="1"/>
  <c r="P790" i="5"/>
  <c r="Q790" i="5"/>
  <c r="O790" i="5" s="1"/>
  <c r="P791" i="5"/>
  <c r="Q791" i="5"/>
  <c r="O791" i="5" s="1"/>
  <c r="P792" i="5"/>
  <c r="Q792" i="5"/>
  <c r="O792" i="5" s="1"/>
  <c r="P793" i="5"/>
  <c r="Q793" i="5"/>
  <c r="O793" i="5" s="1"/>
  <c r="P794" i="5"/>
  <c r="Q794" i="5"/>
  <c r="O794" i="5" s="1"/>
  <c r="P795" i="5"/>
  <c r="Q795" i="5"/>
  <c r="O795" i="5" s="1"/>
  <c r="P796" i="5"/>
  <c r="Q796" i="5"/>
  <c r="O796" i="5" s="1"/>
  <c r="P797" i="5"/>
  <c r="Q797" i="5"/>
  <c r="O797" i="5" s="1"/>
  <c r="P798" i="5"/>
  <c r="Q798" i="5"/>
  <c r="O798" i="5" s="1"/>
  <c r="P799" i="5"/>
  <c r="Q799" i="5"/>
  <c r="O799" i="5" s="1"/>
  <c r="P800" i="5"/>
  <c r="Q800" i="5"/>
  <c r="O800" i="5" s="1"/>
  <c r="P801" i="5"/>
  <c r="Q801" i="5"/>
  <c r="O801" i="5" s="1"/>
  <c r="P802" i="5"/>
  <c r="Q802" i="5"/>
  <c r="O802" i="5" s="1"/>
  <c r="P803" i="5"/>
  <c r="Q803" i="5"/>
  <c r="O803" i="5" s="1"/>
  <c r="P804" i="5"/>
  <c r="Q804" i="5"/>
  <c r="O804" i="5" s="1"/>
  <c r="P805" i="5"/>
  <c r="Q805" i="5"/>
  <c r="O805" i="5" s="1"/>
  <c r="P806" i="5"/>
  <c r="Q806" i="5"/>
  <c r="O806" i="5" s="1"/>
  <c r="P807" i="5"/>
  <c r="Q807" i="5"/>
  <c r="O807" i="5" s="1"/>
  <c r="P808" i="5"/>
  <c r="Q808" i="5"/>
  <c r="O808" i="5" s="1"/>
  <c r="P809" i="5"/>
  <c r="Q809" i="5"/>
  <c r="O809" i="5" s="1"/>
  <c r="P810" i="5"/>
  <c r="Q810" i="5"/>
  <c r="O810" i="5" s="1"/>
  <c r="P811" i="5"/>
  <c r="Q811" i="5"/>
  <c r="O811" i="5" s="1"/>
  <c r="P812" i="5"/>
  <c r="Q812" i="5"/>
  <c r="O812" i="5" s="1"/>
  <c r="P813" i="5"/>
  <c r="Q813" i="5"/>
  <c r="O813" i="5" s="1"/>
  <c r="P814" i="5"/>
  <c r="Q814" i="5"/>
  <c r="O814" i="5" s="1"/>
  <c r="P815" i="5"/>
  <c r="Q815" i="5"/>
  <c r="O815" i="5" s="1"/>
  <c r="P816" i="5"/>
  <c r="Q816" i="5"/>
  <c r="O816" i="5" s="1"/>
  <c r="P817" i="5"/>
  <c r="Q817" i="5"/>
  <c r="O817" i="5" s="1"/>
  <c r="P818" i="5"/>
  <c r="Q818" i="5"/>
  <c r="O818" i="5" s="1"/>
  <c r="P819" i="5"/>
  <c r="Q819" i="5"/>
  <c r="O819" i="5" s="1"/>
  <c r="P820" i="5"/>
  <c r="Q820" i="5"/>
  <c r="O820" i="5" s="1"/>
  <c r="P821" i="5"/>
  <c r="Q821" i="5"/>
  <c r="O821" i="5" s="1"/>
  <c r="P822" i="5"/>
  <c r="Q822" i="5"/>
  <c r="O822" i="5" s="1"/>
  <c r="P823" i="5"/>
  <c r="Q823" i="5"/>
  <c r="O823" i="5" s="1"/>
  <c r="P824" i="5"/>
  <c r="Q824" i="5"/>
  <c r="O824" i="5" s="1"/>
  <c r="P825" i="5"/>
  <c r="Q825" i="5"/>
  <c r="O825" i="5" s="1"/>
  <c r="P826" i="5"/>
  <c r="Q826" i="5"/>
  <c r="O826" i="5" s="1"/>
  <c r="P827" i="5"/>
  <c r="Q827" i="5"/>
  <c r="O827" i="5" s="1"/>
  <c r="P828" i="5"/>
  <c r="Q828" i="5"/>
  <c r="O828" i="5" s="1"/>
  <c r="P829" i="5"/>
  <c r="Q829" i="5"/>
  <c r="O829" i="5" s="1"/>
  <c r="P830" i="5"/>
  <c r="Q830" i="5"/>
  <c r="O830" i="5" s="1"/>
  <c r="P831" i="5"/>
  <c r="Q831" i="5"/>
  <c r="O831" i="5" s="1"/>
  <c r="P832" i="5"/>
  <c r="Q832" i="5"/>
  <c r="O832" i="5" s="1"/>
  <c r="P833" i="5"/>
  <c r="Q833" i="5"/>
  <c r="O833" i="5" s="1"/>
  <c r="P834" i="5"/>
  <c r="Q834" i="5"/>
  <c r="O834" i="5" s="1"/>
  <c r="P835" i="5"/>
  <c r="Q835" i="5"/>
  <c r="O835" i="5" s="1"/>
  <c r="P836" i="5"/>
  <c r="Q836" i="5"/>
  <c r="O836" i="5" s="1"/>
  <c r="P837" i="5"/>
  <c r="Q837" i="5"/>
  <c r="O837" i="5" s="1"/>
  <c r="P838" i="5"/>
  <c r="Q838" i="5"/>
  <c r="O838" i="5" s="1"/>
  <c r="P839" i="5"/>
  <c r="Q839" i="5"/>
  <c r="O839" i="5" s="1"/>
  <c r="P840" i="5"/>
  <c r="Q840" i="5"/>
  <c r="O840" i="5" s="1"/>
  <c r="P841" i="5"/>
  <c r="Q841" i="5"/>
  <c r="O841" i="5" s="1"/>
  <c r="P842" i="5"/>
  <c r="Q842" i="5"/>
  <c r="O842" i="5" s="1"/>
  <c r="P843" i="5"/>
  <c r="Q843" i="5"/>
  <c r="O843" i="5" s="1"/>
  <c r="P844" i="5"/>
  <c r="Q844" i="5"/>
  <c r="O844" i="5" s="1"/>
  <c r="P845" i="5"/>
  <c r="Q845" i="5"/>
  <c r="O845" i="5" s="1"/>
  <c r="P846" i="5"/>
  <c r="Q846" i="5"/>
  <c r="O846" i="5" s="1"/>
  <c r="P847" i="5"/>
  <c r="Q847" i="5"/>
  <c r="O847" i="5" s="1"/>
  <c r="P848" i="5"/>
  <c r="Q848" i="5"/>
  <c r="O848" i="5" s="1"/>
  <c r="P849" i="5"/>
  <c r="Q849" i="5"/>
  <c r="O849" i="5" s="1"/>
  <c r="P850" i="5"/>
  <c r="Q850" i="5"/>
  <c r="O850" i="5" s="1"/>
  <c r="P851" i="5"/>
  <c r="Q851" i="5"/>
  <c r="O851" i="5" s="1"/>
  <c r="P852" i="5"/>
  <c r="Q852" i="5"/>
  <c r="O852" i="5" s="1"/>
  <c r="P853" i="5"/>
  <c r="Q853" i="5"/>
  <c r="O853" i="5" s="1"/>
  <c r="P854" i="5"/>
  <c r="Q854" i="5"/>
  <c r="O854" i="5" s="1"/>
  <c r="P855" i="5"/>
  <c r="Q855" i="5"/>
  <c r="O855" i="5" s="1"/>
  <c r="P856" i="5"/>
  <c r="Q856" i="5"/>
  <c r="O856" i="5" s="1"/>
  <c r="P857" i="5"/>
  <c r="Q857" i="5"/>
  <c r="O857" i="5" s="1"/>
  <c r="P858" i="5"/>
  <c r="Q858" i="5"/>
  <c r="O858" i="5" s="1"/>
  <c r="P859" i="5"/>
  <c r="Q859" i="5"/>
  <c r="O859" i="5" s="1"/>
  <c r="P860" i="5"/>
  <c r="Q860" i="5"/>
  <c r="O860" i="5" s="1"/>
  <c r="P861" i="5"/>
  <c r="Q861" i="5"/>
  <c r="O861" i="5" s="1"/>
  <c r="P862" i="5"/>
  <c r="Q862" i="5"/>
  <c r="O862" i="5" s="1"/>
  <c r="P863" i="5"/>
  <c r="Q863" i="5"/>
  <c r="O863" i="5" s="1"/>
  <c r="P864" i="5"/>
  <c r="Q864" i="5"/>
  <c r="O864" i="5" s="1"/>
  <c r="P865" i="5"/>
  <c r="Q865" i="5"/>
  <c r="O865" i="5" s="1"/>
  <c r="P866" i="5"/>
  <c r="Q866" i="5"/>
  <c r="O866" i="5" s="1"/>
  <c r="P867" i="5"/>
  <c r="Q867" i="5"/>
  <c r="O867" i="5" s="1"/>
  <c r="P868" i="5"/>
  <c r="Q868" i="5"/>
  <c r="O868" i="5" s="1"/>
  <c r="P869" i="5"/>
  <c r="Q869" i="5"/>
  <c r="O869" i="5" s="1"/>
  <c r="P870" i="5"/>
  <c r="Q870" i="5"/>
  <c r="O870" i="5" s="1"/>
  <c r="P871" i="5"/>
  <c r="Q871" i="5"/>
  <c r="O871" i="5" s="1"/>
  <c r="P872" i="5"/>
  <c r="Q872" i="5"/>
  <c r="O872" i="5" s="1"/>
  <c r="P873" i="5"/>
  <c r="Q873" i="5"/>
  <c r="O873" i="5" s="1"/>
  <c r="P874" i="5"/>
  <c r="Q874" i="5"/>
  <c r="O874" i="5" s="1"/>
  <c r="P875" i="5"/>
  <c r="Q875" i="5"/>
  <c r="O875" i="5" s="1"/>
  <c r="P876" i="5"/>
  <c r="Q876" i="5"/>
  <c r="O876" i="5" s="1"/>
  <c r="P877" i="5"/>
  <c r="Q877" i="5"/>
  <c r="O877" i="5" s="1"/>
  <c r="P878" i="5"/>
  <c r="Q878" i="5"/>
  <c r="O878" i="5" s="1"/>
  <c r="P879" i="5"/>
  <c r="Q879" i="5"/>
  <c r="O879" i="5" s="1"/>
  <c r="P880" i="5"/>
  <c r="Q880" i="5"/>
  <c r="O880" i="5" s="1"/>
  <c r="P881" i="5"/>
  <c r="Q881" i="5"/>
  <c r="O881" i="5" s="1"/>
  <c r="P882" i="5"/>
  <c r="Q882" i="5"/>
  <c r="O882" i="5" s="1"/>
  <c r="P883" i="5"/>
  <c r="Q883" i="5"/>
  <c r="O883" i="5" s="1"/>
  <c r="P884" i="5"/>
  <c r="Q884" i="5"/>
  <c r="O884" i="5" s="1"/>
  <c r="P885" i="5"/>
  <c r="Q885" i="5"/>
  <c r="O885" i="5" s="1"/>
  <c r="P886" i="5"/>
  <c r="Q886" i="5"/>
  <c r="O886" i="5" s="1"/>
  <c r="P887" i="5"/>
  <c r="Q887" i="5"/>
  <c r="O887" i="5" s="1"/>
  <c r="P888" i="5"/>
  <c r="Q888" i="5"/>
  <c r="O888" i="5" s="1"/>
  <c r="P889" i="5"/>
  <c r="Q889" i="5"/>
  <c r="O889" i="5" s="1"/>
  <c r="P890" i="5"/>
  <c r="Q890" i="5"/>
  <c r="O890" i="5" s="1"/>
  <c r="P891" i="5"/>
  <c r="Q891" i="5"/>
  <c r="O891" i="5" s="1"/>
  <c r="P892" i="5"/>
  <c r="Q892" i="5"/>
  <c r="O892" i="5" s="1"/>
  <c r="P893" i="5"/>
  <c r="Q893" i="5"/>
  <c r="O893" i="5" s="1"/>
  <c r="P894" i="5"/>
  <c r="Q894" i="5"/>
  <c r="O894" i="5" s="1"/>
  <c r="P895" i="5"/>
  <c r="Q895" i="5"/>
  <c r="O895" i="5" s="1"/>
  <c r="P896" i="5"/>
  <c r="Q896" i="5"/>
  <c r="O896" i="5" s="1"/>
  <c r="P897" i="5"/>
  <c r="Q897" i="5"/>
  <c r="O897" i="5" s="1"/>
  <c r="P898" i="5"/>
  <c r="Q898" i="5"/>
  <c r="O898" i="5" s="1"/>
  <c r="P899" i="5"/>
  <c r="Q899" i="5"/>
  <c r="O899" i="5" s="1"/>
  <c r="P900" i="5"/>
  <c r="Q900" i="5"/>
  <c r="O900" i="5" s="1"/>
  <c r="P901" i="5"/>
  <c r="Q901" i="5"/>
  <c r="O901" i="5" s="1"/>
  <c r="P902" i="5"/>
  <c r="Q902" i="5"/>
  <c r="O902" i="5" s="1"/>
  <c r="P903" i="5"/>
  <c r="Q903" i="5"/>
  <c r="O903" i="5" s="1"/>
  <c r="P904" i="5"/>
  <c r="Q904" i="5"/>
  <c r="O904" i="5" s="1"/>
  <c r="P905" i="5"/>
  <c r="Q905" i="5"/>
  <c r="O905" i="5" s="1"/>
  <c r="P906" i="5"/>
  <c r="Q906" i="5"/>
  <c r="O906" i="5" s="1"/>
  <c r="P907" i="5"/>
  <c r="Q907" i="5"/>
  <c r="O907" i="5" s="1"/>
  <c r="P908" i="5"/>
  <c r="Q908" i="5"/>
  <c r="O908" i="5" s="1"/>
  <c r="P909" i="5"/>
  <c r="Q909" i="5"/>
  <c r="O909" i="5" s="1"/>
  <c r="P910" i="5"/>
  <c r="Q910" i="5"/>
  <c r="O910" i="5" s="1"/>
  <c r="P911" i="5"/>
  <c r="Q911" i="5"/>
  <c r="O911" i="5" s="1"/>
  <c r="P912" i="5"/>
  <c r="Q912" i="5"/>
  <c r="O912" i="5" s="1"/>
  <c r="P913" i="5"/>
  <c r="Q913" i="5"/>
  <c r="O913" i="5" s="1"/>
  <c r="P914" i="5"/>
  <c r="Q914" i="5"/>
  <c r="O914" i="5" s="1"/>
  <c r="P915" i="5"/>
  <c r="Q915" i="5"/>
  <c r="O915" i="5" s="1"/>
  <c r="P916" i="5"/>
  <c r="Q916" i="5"/>
  <c r="O916" i="5" s="1"/>
  <c r="P917" i="5"/>
  <c r="Q917" i="5"/>
  <c r="O917" i="5" s="1"/>
  <c r="P918" i="5"/>
  <c r="Q918" i="5"/>
  <c r="O918" i="5" s="1"/>
  <c r="P919" i="5"/>
  <c r="Q919" i="5"/>
  <c r="O919" i="5" s="1"/>
  <c r="P920" i="5"/>
  <c r="Q920" i="5"/>
  <c r="O920" i="5" s="1"/>
  <c r="P921" i="5"/>
  <c r="Q921" i="5"/>
  <c r="O921" i="5" s="1"/>
  <c r="P922" i="5"/>
  <c r="Q922" i="5"/>
  <c r="O922" i="5" s="1"/>
  <c r="P923" i="5"/>
  <c r="Q923" i="5"/>
  <c r="O923" i="5" s="1"/>
  <c r="P924" i="5"/>
  <c r="Q924" i="5"/>
  <c r="O924" i="5" s="1"/>
  <c r="P925" i="5"/>
  <c r="Q925" i="5"/>
  <c r="O925" i="5" s="1"/>
  <c r="P926" i="5"/>
  <c r="Q926" i="5"/>
  <c r="O926" i="5" s="1"/>
  <c r="P927" i="5"/>
  <c r="Q927" i="5"/>
  <c r="O927" i="5" s="1"/>
  <c r="P928" i="5"/>
  <c r="Q928" i="5"/>
  <c r="O928" i="5" s="1"/>
  <c r="P929" i="5"/>
  <c r="Q929" i="5"/>
  <c r="O929" i="5" s="1"/>
  <c r="P930" i="5"/>
  <c r="Q930" i="5"/>
  <c r="O930" i="5" s="1"/>
  <c r="P931" i="5"/>
  <c r="Q931" i="5"/>
  <c r="O931" i="5" s="1"/>
  <c r="P932" i="5"/>
  <c r="Q932" i="5"/>
  <c r="O932" i="5" s="1"/>
  <c r="P933" i="5"/>
  <c r="Q933" i="5"/>
  <c r="O933" i="5" s="1"/>
  <c r="P934" i="5"/>
  <c r="Q934" i="5"/>
  <c r="O934" i="5" s="1"/>
  <c r="P935" i="5"/>
  <c r="Q935" i="5"/>
  <c r="O935" i="5" s="1"/>
  <c r="P936" i="5"/>
  <c r="Q936" i="5"/>
  <c r="O936" i="5" s="1"/>
  <c r="P937" i="5"/>
  <c r="Q937" i="5"/>
  <c r="O937" i="5" s="1"/>
  <c r="P938" i="5"/>
  <c r="Q938" i="5"/>
  <c r="O938" i="5" s="1"/>
  <c r="P939" i="5"/>
  <c r="Q939" i="5"/>
  <c r="O939" i="5" s="1"/>
  <c r="P940" i="5"/>
  <c r="Q940" i="5"/>
  <c r="O940" i="5" s="1"/>
  <c r="P941" i="5"/>
  <c r="Q941" i="5"/>
  <c r="O941" i="5" s="1"/>
  <c r="P942" i="5"/>
  <c r="Q942" i="5"/>
  <c r="O942" i="5" s="1"/>
  <c r="P943" i="5"/>
  <c r="Q943" i="5"/>
  <c r="O943" i="5" s="1"/>
  <c r="P944" i="5"/>
  <c r="Q944" i="5"/>
  <c r="O944" i="5" s="1"/>
  <c r="P945" i="5"/>
  <c r="Q945" i="5"/>
  <c r="O945" i="5" s="1"/>
  <c r="P946" i="5"/>
  <c r="Q946" i="5"/>
  <c r="O946" i="5" s="1"/>
  <c r="P947" i="5"/>
  <c r="Q947" i="5"/>
  <c r="O947" i="5" s="1"/>
  <c r="P948" i="5"/>
  <c r="Q948" i="5"/>
  <c r="O948" i="5" s="1"/>
  <c r="P949" i="5"/>
  <c r="Q949" i="5"/>
  <c r="O949" i="5" s="1"/>
  <c r="P950" i="5"/>
  <c r="Q950" i="5"/>
  <c r="O950" i="5" s="1"/>
  <c r="P951" i="5"/>
  <c r="Q951" i="5"/>
  <c r="O951" i="5" s="1"/>
  <c r="P952" i="5"/>
  <c r="Q952" i="5"/>
  <c r="O952" i="5" s="1"/>
  <c r="P953" i="5"/>
  <c r="Q953" i="5"/>
  <c r="O953" i="5" s="1"/>
  <c r="P954" i="5"/>
  <c r="Q954" i="5"/>
  <c r="O954" i="5" s="1"/>
  <c r="P955" i="5"/>
  <c r="Q955" i="5"/>
  <c r="O955" i="5" s="1"/>
  <c r="P956" i="5"/>
  <c r="Q956" i="5"/>
  <c r="O956" i="5" s="1"/>
  <c r="P957" i="5"/>
  <c r="Q957" i="5"/>
  <c r="O957" i="5" s="1"/>
  <c r="P958" i="5"/>
  <c r="Q958" i="5"/>
  <c r="O958" i="5" s="1"/>
  <c r="P959" i="5"/>
  <c r="Q959" i="5"/>
  <c r="O959" i="5" s="1"/>
  <c r="P960" i="5"/>
  <c r="Q960" i="5"/>
  <c r="O960" i="5" s="1"/>
  <c r="P961" i="5"/>
  <c r="Q961" i="5"/>
  <c r="O961" i="5" s="1"/>
  <c r="P962" i="5"/>
  <c r="Q962" i="5"/>
  <c r="O962" i="5" s="1"/>
  <c r="P963" i="5"/>
  <c r="Q963" i="5"/>
  <c r="O963" i="5" s="1"/>
  <c r="P964" i="5"/>
  <c r="Q964" i="5"/>
  <c r="O964" i="5" s="1"/>
  <c r="P965" i="5"/>
  <c r="Q965" i="5"/>
  <c r="O965" i="5" s="1"/>
  <c r="P966" i="5"/>
  <c r="Q966" i="5"/>
  <c r="O966" i="5" s="1"/>
  <c r="P967" i="5"/>
  <c r="Q967" i="5"/>
  <c r="O967" i="5" s="1"/>
  <c r="P968" i="5"/>
  <c r="Q968" i="5"/>
  <c r="O968" i="5" s="1"/>
  <c r="P969" i="5"/>
  <c r="Q969" i="5"/>
  <c r="O969" i="5" s="1"/>
  <c r="P970" i="5"/>
  <c r="Q970" i="5"/>
  <c r="O970" i="5" s="1"/>
  <c r="P971" i="5"/>
  <c r="Q971" i="5"/>
  <c r="O971" i="5" s="1"/>
  <c r="P972" i="5"/>
  <c r="Q972" i="5"/>
  <c r="O972" i="5" s="1"/>
  <c r="P973" i="5"/>
  <c r="Q973" i="5"/>
  <c r="O973" i="5" s="1"/>
  <c r="P974" i="5"/>
  <c r="Q974" i="5"/>
  <c r="O974" i="5" s="1"/>
  <c r="P975" i="5"/>
  <c r="Q975" i="5"/>
  <c r="O975" i="5" s="1"/>
  <c r="P976" i="5"/>
  <c r="Q976" i="5"/>
  <c r="O976" i="5" s="1"/>
  <c r="P977" i="5"/>
  <c r="Q977" i="5"/>
  <c r="O977" i="5" s="1"/>
  <c r="P978" i="5"/>
  <c r="Q978" i="5"/>
  <c r="O978" i="5" s="1"/>
  <c r="P979" i="5"/>
  <c r="Q979" i="5"/>
  <c r="O979" i="5" s="1"/>
  <c r="P980" i="5"/>
  <c r="Q980" i="5"/>
  <c r="O980" i="5" s="1"/>
  <c r="P981" i="5"/>
  <c r="Q981" i="5"/>
  <c r="O981" i="5" s="1"/>
  <c r="P982" i="5"/>
  <c r="Q982" i="5"/>
  <c r="O982" i="5" s="1"/>
  <c r="P983" i="5"/>
  <c r="Q983" i="5"/>
  <c r="O983" i="5" s="1"/>
  <c r="P984" i="5"/>
  <c r="Q984" i="5"/>
  <c r="O984" i="5" s="1"/>
  <c r="P985" i="5"/>
  <c r="Q985" i="5"/>
  <c r="O985" i="5" s="1"/>
  <c r="P986" i="5"/>
  <c r="Q986" i="5"/>
  <c r="O986" i="5" s="1"/>
  <c r="P987" i="5"/>
  <c r="Q987" i="5"/>
  <c r="O987" i="5" s="1"/>
  <c r="P988" i="5"/>
  <c r="Q988" i="5"/>
  <c r="O988" i="5" s="1"/>
  <c r="P989" i="5"/>
  <c r="Q989" i="5"/>
  <c r="O989" i="5" s="1"/>
  <c r="P990" i="5"/>
  <c r="Q990" i="5"/>
  <c r="O990" i="5" s="1"/>
  <c r="P991" i="5"/>
  <c r="Q991" i="5"/>
  <c r="O991" i="5" s="1"/>
  <c r="P992" i="5"/>
  <c r="Q992" i="5"/>
  <c r="O992" i="5" s="1"/>
  <c r="P993" i="5"/>
  <c r="Q993" i="5"/>
  <c r="O993" i="5" s="1"/>
  <c r="P994" i="5"/>
  <c r="Q994" i="5"/>
  <c r="O994" i="5" s="1"/>
  <c r="P995" i="5"/>
  <c r="Q995" i="5"/>
  <c r="O995" i="5" s="1"/>
  <c r="P996" i="5"/>
  <c r="Q996" i="5"/>
  <c r="O996" i="5" s="1"/>
  <c r="P997" i="5"/>
  <c r="Q997" i="5"/>
  <c r="O997" i="5" s="1"/>
  <c r="P998" i="5"/>
  <c r="Q998" i="5"/>
  <c r="O998" i="5" s="1"/>
  <c r="P999" i="5"/>
  <c r="Q999" i="5"/>
  <c r="O999" i="5" s="1"/>
  <c r="P1000" i="5"/>
  <c r="Q1000" i="5"/>
  <c r="O1000" i="5" s="1"/>
  <c r="P1001" i="5"/>
  <c r="Q1001" i="5"/>
  <c r="O1001" i="5" s="1"/>
  <c r="AR1001" i="5" s="1"/>
  <c r="P1002" i="5"/>
  <c r="Q1002" i="5"/>
  <c r="O1002" i="5" s="1"/>
  <c r="AR1002" i="5" s="1"/>
  <c r="P1003" i="5"/>
  <c r="Q1003" i="5"/>
  <c r="O1003" i="5" s="1"/>
  <c r="AR1003" i="5" s="1"/>
  <c r="AS1001" i="5"/>
  <c r="AS1002" i="5"/>
  <c r="AS1003" i="5"/>
  <c r="AS4" i="5"/>
  <c r="AS1003" i="4"/>
  <c r="AS4" i="4"/>
  <c r="P982" i="4"/>
  <c r="Q982" i="4"/>
  <c r="P983" i="4"/>
  <c r="Q983" i="4"/>
  <c r="P984" i="4"/>
  <c r="Q984" i="4"/>
  <c r="P985" i="4"/>
  <c r="Q985" i="4"/>
  <c r="P986" i="4"/>
  <c r="Q986" i="4"/>
  <c r="P987" i="4"/>
  <c r="Q987" i="4"/>
  <c r="P988" i="4"/>
  <c r="Q988" i="4"/>
  <c r="P989" i="4"/>
  <c r="Q989" i="4"/>
  <c r="P990" i="4"/>
  <c r="Q990" i="4"/>
  <c r="P991" i="4"/>
  <c r="Q991" i="4"/>
  <c r="P992" i="4"/>
  <c r="Q992" i="4"/>
  <c r="P993" i="4"/>
  <c r="Q993" i="4"/>
  <c r="P994" i="4"/>
  <c r="Q994" i="4"/>
  <c r="P995" i="4"/>
  <c r="Q995" i="4"/>
  <c r="P996" i="4"/>
  <c r="Q996" i="4"/>
  <c r="P997" i="4"/>
  <c r="Q997" i="4"/>
  <c r="P998" i="4"/>
  <c r="Q998" i="4"/>
  <c r="P999" i="4"/>
  <c r="Q999" i="4"/>
  <c r="P1000" i="4"/>
  <c r="Q1000" i="4"/>
  <c r="P1001" i="4"/>
  <c r="Q1001" i="4"/>
  <c r="P1002" i="4"/>
  <c r="Q1002" i="4"/>
  <c r="P1003" i="4"/>
  <c r="Q1003" i="4"/>
  <c r="R12" i="7"/>
  <c r="R11" i="7"/>
  <c r="R24" i="7"/>
  <c r="R25" i="7"/>
  <c r="R26" i="7"/>
  <c r="R27" i="7"/>
  <c r="Z4" i="4" l="1"/>
  <c r="R23" i="7"/>
  <c r="AS15" i="4"/>
  <c r="AS16" i="4"/>
  <c r="AS17" i="4"/>
  <c r="AS18" i="4"/>
  <c r="AS19" i="4"/>
  <c r="AS20" i="4"/>
  <c r="AS21" i="4"/>
  <c r="AS22" i="4"/>
  <c r="AS23" i="4"/>
  <c r="AS24" i="4"/>
  <c r="AS25" i="4"/>
  <c r="AS26" i="4"/>
  <c r="AS27" i="4"/>
  <c r="AS28" i="4"/>
  <c r="AS29" i="4"/>
  <c r="AS30" i="4"/>
  <c r="AS31" i="4"/>
  <c r="AS32" i="4"/>
  <c r="AS33" i="4"/>
  <c r="AS34" i="4"/>
  <c r="AS35" i="4"/>
  <c r="AS36" i="4"/>
  <c r="AS37" i="4"/>
  <c r="AS38" i="4"/>
  <c r="AS39" i="4"/>
  <c r="AS40" i="4"/>
  <c r="AS41" i="4"/>
  <c r="AS42" i="4"/>
  <c r="AS43" i="4"/>
  <c r="AS44" i="4"/>
  <c r="AS45" i="4"/>
  <c r="AS46" i="4"/>
  <c r="AS47" i="4"/>
  <c r="AS48" i="4"/>
  <c r="AS49" i="4"/>
  <c r="AS50" i="4"/>
  <c r="AS51" i="4"/>
  <c r="AS52" i="4"/>
  <c r="AS53" i="4"/>
  <c r="AS54" i="4"/>
  <c r="AS55" i="4"/>
  <c r="AS56" i="4"/>
  <c r="AS57" i="4"/>
  <c r="AS58" i="4"/>
  <c r="AS59" i="4"/>
  <c r="AS60" i="4"/>
  <c r="AS61" i="4"/>
  <c r="AS62" i="4"/>
  <c r="AS63" i="4"/>
  <c r="AS64" i="4"/>
  <c r="AS65" i="4"/>
  <c r="AS66" i="4"/>
  <c r="AS67" i="4"/>
  <c r="AS68" i="4"/>
  <c r="AS69" i="4"/>
  <c r="AS70" i="4"/>
  <c r="AS71" i="4"/>
  <c r="AS72" i="4"/>
  <c r="AS73" i="4"/>
  <c r="AS74" i="4"/>
  <c r="AS75" i="4"/>
  <c r="AS76" i="4"/>
  <c r="AS77" i="4"/>
  <c r="AS78" i="4"/>
  <c r="AS79" i="4"/>
  <c r="AS80" i="4"/>
  <c r="AS81" i="4"/>
  <c r="AS82" i="4"/>
  <c r="AS83" i="4"/>
  <c r="AS84" i="4"/>
  <c r="AS85" i="4"/>
  <c r="AS86" i="4"/>
  <c r="AS87" i="4"/>
  <c r="AS88" i="4"/>
  <c r="AS89" i="4"/>
  <c r="AS90" i="4"/>
  <c r="AS91" i="4"/>
  <c r="AS92" i="4"/>
  <c r="AS93" i="4"/>
  <c r="AS94" i="4"/>
  <c r="AS95" i="4"/>
  <c r="AS96" i="4"/>
  <c r="AS97" i="4"/>
  <c r="AS98" i="4"/>
  <c r="AS99" i="4"/>
  <c r="AS100" i="4"/>
  <c r="AS101" i="4"/>
  <c r="AS102" i="4"/>
  <c r="AS103" i="4"/>
  <c r="AS104" i="4"/>
  <c r="AS105" i="4"/>
  <c r="AS106" i="4"/>
  <c r="AS107" i="4"/>
  <c r="AS108" i="4"/>
  <c r="AS109" i="4"/>
  <c r="AS110" i="4"/>
  <c r="AS111" i="4"/>
  <c r="AS112" i="4"/>
  <c r="AS113" i="4"/>
  <c r="AS114" i="4"/>
  <c r="AS115" i="4"/>
  <c r="AS116" i="4"/>
  <c r="AS117" i="4"/>
  <c r="AS118" i="4"/>
  <c r="AS119" i="4"/>
  <c r="AS120" i="4"/>
  <c r="AS121" i="4"/>
  <c r="AS122" i="4"/>
  <c r="AS123" i="4"/>
  <c r="AS124" i="4"/>
  <c r="AS125" i="4"/>
  <c r="AS126" i="4"/>
  <c r="AS127" i="4"/>
  <c r="AS128" i="4"/>
  <c r="AS129" i="4"/>
  <c r="AS130" i="4"/>
  <c r="AS131" i="4"/>
  <c r="AS132" i="4"/>
  <c r="AS133" i="4"/>
  <c r="AS134" i="4"/>
  <c r="AS135" i="4"/>
  <c r="AS136" i="4"/>
  <c r="AS137" i="4"/>
  <c r="AS138" i="4"/>
  <c r="AS139" i="4"/>
  <c r="AS140" i="4"/>
  <c r="AS141" i="4"/>
  <c r="AS142" i="4"/>
  <c r="AS143" i="4"/>
  <c r="AS144" i="4"/>
  <c r="AS145" i="4"/>
  <c r="AS146" i="4"/>
  <c r="AS147" i="4"/>
  <c r="AS148" i="4"/>
  <c r="AS149" i="4"/>
  <c r="AS150" i="4"/>
  <c r="AS151" i="4"/>
  <c r="AS152" i="4"/>
  <c r="AS153" i="4"/>
  <c r="AS154" i="4"/>
  <c r="AS155" i="4"/>
  <c r="AS156" i="4"/>
  <c r="AS157" i="4"/>
  <c r="AS158" i="4"/>
  <c r="AS159" i="4"/>
  <c r="AS160" i="4"/>
  <c r="AS161" i="4"/>
  <c r="AS162" i="4"/>
  <c r="AS163" i="4"/>
  <c r="AS164" i="4"/>
  <c r="AS165" i="4"/>
  <c r="AS166" i="4"/>
  <c r="AS167" i="4"/>
  <c r="AS168" i="4"/>
  <c r="AS169" i="4"/>
  <c r="AS170" i="4"/>
  <c r="AS171" i="4"/>
  <c r="AS172" i="4"/>
  <c r="AS173" i="4"/>
  <c r="AS174" i="4"/>
  <c r="AS175" i="4"/>
  <c r="AS176" i="4"/>
  <c r="AS177" i="4"/>
  <c r="AS178" i="4"/>
  <c r="AS179" i="4"/>
  <c r="AS180" i="4"/>
  <c r="AS181" i="4"/>
  <c r="AS182" i="4"/>
  <c r="AS183" i="4"/>
  <c r="AS184" i="4"/>
  <c r="AS185" i="4"/>
  <c r="AS186" i="4"/>
  <c r="AS187" i="4"/>
  <c r="AS188" i="4"/>
  <c r="AS189" i="4"/>
  <c r="AS190" i="4"/>
  <c r="AS191" i="4"/>
  <c r="AS192" i="4"/>
  <c r="AS193" i="4"/>
  <c r="AS194" i="4"/>
  <c r="AS195" i="4"/>
  <c r="AS196" i="4"/>
  <c r="AS197" i="4"/>
  <c r="AS198" i="4"/>
  <c r="AS199" i="4"/>
  <c r="AS200" i="4"/>
  <c r="AS201" i="4"/>
  <c r="AS202" i="4"/>
  <c r="AS203" i="4"/>
  <c r="AS204" i="4"/>
  <c r="AS205" i="4"/>
  <c r="AS206" i="4"/>
  <c r="AS207" i="4"/>
  <c r="AS208" i="4"/>
  <c r="AS209" i="4"/>
  <c r="AS210" i="4"/>
  <c r="AS211" i="4"/>
  <c r="AS212" i="4"/>
  <c r="AS213" i="4"/>
  <c r="AS214" i="4"/>
  <c r="AS215" i="4"/>
  <c r="AS216" i="4"/>
  <c r="AS217" i="4"/>
  <c r="AS218" i="4"/>
  <c r="AS219" i="4"/>
  <c r="AS220" i="4"/>
  <c r="AS221" i="4"/>
  <c r="AS222" i="4"/>
  <c r="AS223" i="4"/>
  <c r="AS224" i="4"/>
  <c r="AS225" i="4"/>
  <c r="AS226" i="4"/>
  <c r="AS227" i="4"/>
  <c r="AS228" i="4"/>
  <c r="AS229" i="4"/>
  <c r="AS230" i="4"/>
  <c r="AS231" i="4"/>
  <c r="AS232" i="4"/>
  <c r="AS233" i="4"/>
  <c r="AS234" i="4"/>
  <c r="AS235" i="4"/>
  <c r="AS236" i="4"/>
  <c r="AS237" i="4"/>
  <c r="AS238" i="4"/>
  <c r="AS239" i="4"/>
  <c r="AS240" i="4"/>
  <c r="AS241" i="4"/>
  <c r="AS242" i="4"/>
  <c r="AS243" i="4"/>
  <c r="AS244" i="4"/>
  <c r="AS245" i="4"/>
  <c r="AS246" i="4"/>
  <c r="AS247" i="4"/>
  <c r="AS248" i="4"/>
  <c r="AS249" i="4"/>
  <c r="AS250" i="4"/>
  <c r="AS251" i="4"/>
  <c r="AS252" i="4"/>
  <c r="AS253" i="4"/>
  <c r="AS254" i="4"/>
  <c r="AS255" i="4"/>
  <c r="AS256" i="4"/>
  <c r="AS257" i="4"/>
  <c r="AS258" i="4"/>
  <c r="AS259" i="4"/>
  <c r="AS260" i="4"/>
  <c r="AS261" i="4"/>
  <c r="AS262" i="4"/>
  <c r="AS263" i="4"/>
  <c r="AS264" i="4"/>
  <c r="AS265" i="4"/>
  <c r="AS266" i="4"/>
  <c r="AS267" i="4"/>
  <c r="AS268" i="4"/>
  <c r="AS269" i="4"/>
  <c r="AS270" i="4"/>
  <c r="AS271" i="4"/>
  <c r="AS272" i="4"/>
  <c r="AS273" i="4"/>
  <c r="AS274" i="4"/>
  <c r="AS275" i="4"/>
  <c r="AS276" i="4"/>
  <c r="AS277" i="4"/>
  <c r="AS278" i="4"/>
  <c r="AS279" i="4"/>
  <c r="AS280" i="4"/>
  <c r="AS281" i="4"/>
  <c r="AS282" i="4"/>
  <c r="AS283" i="4"/>
  <c r="AS284" i="4"/>
  <c r="AS285" i="4"/>
  <c r="AS286" i="4"/>
  <c r="AS287" i="4"/>
  <c r="AS288" i="4"/>
  <c r="AS289" i="4"/>
  <c r="AS290" i="4"/>
  <c r="AS291" i="4"/>
  <c r="AS292" i="4"/>
  <c r="AS293" i="4"/>
  <c r="AS294" i="4"/>
  <c r="AS295" i="4"/>
  <c r="AS296" i="4"/>
  <c r="AS297" i="4"/>
  <c r="AS298" i="4"/>
  <c r="AS299" i="4"/>
  <c r="AS300" i="4"/>
  <c r="AS301" i="4"/>
  <c r="AS302" i="4"/>
  <c r="AS303" i="4"/>
  <c r="AS304" i="4"/>
  <c r="AS305" i="4"/>
  <c r="AS306" i="4"/>
  <c r="AS307" i="4"/>
  <c r="AS308" i="4"/>
  <c r="AS309" i="4"/>
  <c r="AS310" i="4"/>
  <c r="AS311" i="4"/>
  <c r="AS312" i="4"/>
  <c r="AS313" i="4"/>
  <c r="AS314" i="4"/>
  <c r="AS315" i="4"/>
  <c r="AS316" i="4"/>
  <c r="AS317" i="4"/>
  <c r="AS318" i="4"/>
  <c r="AS319" i="4"/>
  <c r="AS320" i="4"/>
  <c r="AS321" i="4"/>
  <c r="AS322" i="4"/>
  <c r="AS323" i="4"/>
  <c r="AS324" i="4"/>
  <c r="AS325" i="4"/>
  <c r="AS326" i="4"/>
  <c r="AS327" i="4"/>
  <c r="AS328" i="4"/>
  <c r="AS329" i="4"/>
  <c r="AS330" i="4"/>
  <c r="AS331" i="4"/>
  <c r="AS332" i="4"/>
  <c r="AS333" i="4"/>
  <c r="AS334" i="4"/>
  <c r="AS335" i="4"/>
  <c r="AS336" i="4"/>
  <c r="AS337" i="4"/>
  <c r="AS338" i="4"/>
  <c r="AS339" i="4"/>
  <c r="AS340" i="4"/>
  <c r="AS341" i="4"/>
  <c r="AS342" i="4"/>
  <c r="AS343" i="4"/>
  <c r="AS344" i="4"/>
  <c r="AS345" i="4"/>
  <c r="AS346" i="4"/>
  <c r="AS347" i="4"/>
  <c r="AS348" i="4"/>
  <c r="AS349" i="4"/>
  <c r="AS350" i="4"/>
  <c r="AS351" i="4"/>
  <c r="AS352" i="4"/>
  <c r="AS353" i="4"/>
  <c r="AS354" i="4"/>
  <c r="AS355" i="4"/>
  <c r="AS356" i="4"/>
  <c r="AS357" i="4"/>
  <c r="AS358" i="4"/>
  <c r="AS359" i="4"/>
  <c r="AS360" i="4"/>
  <c r="AS361" i="4"/>
  <c r="AS362" i="4"/>
  <c r="AS363" i="4"/>
  <c r="AS364" i="4"/>
  <c r="AS365" i="4"/>
  <c r="AS366" i="4"/>
  <c r="AS367" i="4"/>
  <c r="AS368" i="4"/>
  <c r="AS369" i="4"/>
  <c r="AS370" i="4"/>
  <c r="AS371" i="4"/>
  <c r="AS372" i="4"/>
  <c r="AS373" i="4"/>
  <c r="AS374" i="4"/>
  <c r="AS375" i="4"/>
  <c r="AS376" i="4"/>
  <c r="AS377" i="4"/>
  <c r="AS378" i="4"/>
  <c r="AS379" i="4"/>
  <c r="AS380" i="4"/>
  <c r="AS381" i="4"/>
  <c r="AS382" i="4"/>
  <c r="AS383" i="4"/>
  <c r="AS384" i="4"/>
  <c r="AS385" i="4"/>
  <c r="AS386" i="4"/>
  <c r="AS387" i="4"/>
  <c r="AS388" i="4"/>
  <c r="AS389" i="4"/>
  <c r="AS390" i="4"/>
  <c r="AS391" i="4"/>
  <c r="AS392" i="4"/>
  <c r="AS393" i="4"/>
  <c r="AS394" i="4"/>
  <c r="AS395" i="4"/>
  <c r="AS396" i="4"/>
  <c r="AS397" i="4"/>
  <c r="AS398" i="4"/>
  <c r="AS399" i="4"/>
  <c r="AS400" i="4"/>
  <c r="AS401" i="4"/>
  <c r="AS402" i="4"/>
  <c r="AS403" i="4"/>
  <c r="AS404" i="4"/>
  <c r="AS405" i="4"/>
  <c r="AS406" i="4"/>
  <c r="AS407" i="4"/>
  <c r="AS408" i="4"/>
  <c r="AS409" i="4"/>
  <c r="AS410" i="4"/>
  <c r="AS411" i="4"/>
  <c r="AS412" i="4"/>
  <c r="AS413" i="4"/>
  <c r="AS414" i="4"/>
  <c r="AS415" i="4"/>
  <c r="AS416" i="4"/>
  <c r="AS417" i="4"/>
  <c r="AS418" i="4"/>
  <c r="AS419" i="4"/>
  <c r="AS420" i="4"/>
  <c r="AS421" i="4"/>
  <c r="AS422" i="4"/>
  <c r="AS423" i="4"/>
  <c r="AS424" i="4"/>
  <c r="AS425" i="4"/>
  <c r="AS426" i="4"/>
  <c r="AS427" i="4"/>
  <c r="AS428" i="4"/>
  <c r="AS429" i="4"/>
  <c r="AS430" i="4"/>
  <c r="AS431" i="4"/>
  <c r="AS432" i="4"/>
  <c r="AS433" i="4"/>
  <c r="AS434" i="4"/>
  <c r="AS435" i="4"/>
  <c r="AS436" i="4"/>
  <c r="AS437" i="4"/>
  <c r="AS438" i="4"/>
  <c r="AS439" i="4"/>
  <c r="AS440" i="4"/>
  <c r="AS441" i="4"/>
  <c r="AS442" i="4"/>
  <c r="AS443" i="4"/>
  <c r="AS444" i="4"/>
  <c r="AS445" i="4"/>
  <c r="AS446" i="4"/>
  <c r="AS447" i="4"/>
  <c r="AS448" i="4"/>
  <c r="AS449" i="4"/>
  <c r="AS450" i="4"/>
  <c r="AS451" i="4"/>
  <c r="AS452" i="4"/>
  <c r="AS453" i="4"/>
  <c r="AS454" i="4"/>
  <c r="AS455" i="4"/>
  <c r="AS456" i="4"/>
  <c r="AS457" i="4"/>
  <c r="AS458" i="4"/>
  <c r="AS459" i="4"/>
  <c r="AS460" i="4"/>
  <c r="AS461" i="4"/>
  <c r="AS462" i="4"/>
  <c r="AS463" i="4"/>
  <c r="AS464" i="4"/>
  <c r="AS465" i="4"/>
  <c r="AS466" i="4"/>
  <c r="AS467" i="4"/>
  <c r="AS468" i="4"/>
  <c r="AS469" i="4"/>
  <c r="AS470" i="4"/>
  <c r="AS471" i="4"/>
  <c r="AS472" i="4"/>
  <c r="AS473" i="4"/>
  <c r="AS474" i="4"/>
  <c r="AS475" i="4"/>
  <c r="AS476" i="4"/>
  <c r="AS477" i="4"/>
  <c r="AS478" i="4"/>
  <c r="AS479" i="4"/>
  <c r="AS480" i="4"/>
  <c r="AS481" i="4"/>
  <c r="AS482" i="4"/>
  <c r="AS483" i="4"/>
  <c r="AS484" i="4"/>
  <c r="AS485" i="4"/>
  <c r="AS486" i="4"/>
  <c r="AS487" i="4"/>
  <c r="AS488" i="4"/>
  <c r="AS489" i="4"/>
  <c r="AS490" i="4"/>
  <c r="AS491" i="4"/>
  <c r="AS492" i="4"/>
  <c r="AS493" i="4"/>
  <c r="AS494" i="4"/>
  <c r="AS495" i="4"/>
  <c r="AS496" i="4"/>
  <c r="AS497" i="4"/>
  <c r="AS498" i="4"/>
  <c r="AS499" i="4"/>
  <c r="AS500" i="4"/>
  <c r="AS501" i="4"/>
  <c r="AS502" i="4"/>
  <c r="AS503" i="4"/>
  <c r="AS504" i="4"/>
  <c r="AS505" i="4"/>
  <c r="AS506" i="4"/>
  <c r="AS507" i="4"/>
  <c r="AS508" i="4"/>
  <c r="AS509" i="4"/>
  <c r="AS510" i="4"/>
  <c r="AS511" i="4"/>
  <c r="AS512" i="4"/>
  <c r="AS513" i="4"/>
  <c r="AS514" i="4"/>
  <c r="AS515" i="4"/>
  <c r="AS516" i="4"/>
  <c r="AS517" i="4"/>
  <c r="AS518" i="4"/>
  <c r="AS519" i="4"/>
  <c r="AS520" i="4"/>
  <c r="AS521" i="4"/>
  <c r="AS522" i="4"/>
  <c r="AS523" i="4"/>
  <c r="AS524" i="4"/>
  <c r="AS525" i="4"/>
  <c r="AS526" i="4"/>
  <c r="AS527" i="4"/>
  <c r="AS528" i="4"/>
  <c r="AS529" i="4"/>
  <c r="AS530" i="4"/>
  <c r="AS531" i="4"/>
  <c r="AS532" i="4"/>
  <c r="AS533" i="4"/>
  <c r="AS534" i="4"/>
  <c r="AS535" i="4"/>
  <c r="AS536" i="4"/>
  <c r="AS537" i="4"/>
  <c r="AS538" i="4"/>
  <c r="AS539" i="4"/>
  <c r="AS540" i="4"/>
  <c r="AS541" i="4"/>
  <c r="AS542" i="4"/>
  <c r="AS543" i="4"/>
  <c r="AS544" i="4"/>
  <c r="AS545" i="4"/>
  <c r="AS546" i="4"/>
  <c r="AS547" i="4"/>
  <c r="AS548" i="4"/>
  <c r="AS549" i="4"/>
  <c r="AS550" i="4"/>
  <c r="AS551" i="4"/>
  <c r="AS552" i="4"/>
  <c r="AS553" i="4"/>
  <c r="AS554" i="4"/>
  <c r="AS555" i="4"/>
  <c r="AS556" i="4"/>
  <c r="AS557" i="4"/>
  <c r="AS558" i="4"/>
  <c r="AS559" i="4"/>
  <c r="AS560" i="4"/>
  <c r="AS561" i="4"/>
  <c r="AS562" i="4"/>
  <c r="AS563" i="4"/>
  <c r="AS564" i="4"/>
  <c r="AS565" i="4"/>
  <c r="AS566" i="4"/>
  <c r="AS567" i="4"/>
  <c r="AS568" i="4"/>
  <c r="AS569" i="4"/>
  <c r="AS570" i="4"/>
  <c r="AS571" i="4"/>
  <c r="AS572" i="4"/>
  <c r="AS573" i="4"/>
  <c r="AS574" i="4"/>
  <c r="AS575" i="4"/>
  <c r="AS576" i="4"/>
  <c r="AS577" i="4"/>
  <c r="AS578" i="4"/>
  <c r="AS579" i="4"/>
  <c r="AS580" i="4"/>
  <c r="AS581" i="4"/>
  <c r="AS582" i="4"/>
  <c r="AS583" i="4"/>
  <c r="AS584" i="4"/>
  <c r="AS585" i="4"/>
  <c r="AS586" i="4"/>
  <c r="AS587" i="4"/>
  <c r="AS588" i="4"/>
  <c r="AS589" i="4"/>
  <c r="AS590" i="4"/>
  <c r="AS591" i="4"/>
  <c r="AS592" i="4"/>
  <c r="AS593" i="4"/>
  <c r="AS594" i="4"/>
  <c r="AS595" i="4"/>
  <c r="AS596" i="4"/>
  <c r="AS597" i="4"/>
  <c r="AS598" i="4"/>
  <c r="AS599" i="4"/>
  <c r="AS600" i="4"/>
  <c r="AS601" i="4"/>
  <c r="AS602" i="4"/>
  <c r="AS603" i="4"/>
  <c r="AS604" i="4"/>
  <c r="AS605" i="4"/>
  <c r="AS606" i="4"/>
  <c r="AS607" i="4"/>
  <c r="AS608" i="4"/>
  <c r="AS609" i="4"/>
  <c r="AS610" i="4"/>
  <c r="AS611" i="4"/>
  <c r="AS612" i="4"/>
  <c r="AS613" i="4"/>
  <c r="AS614" i="4"/>
  <c r="AS615" i="4"/>
  <c r="AS616" i="4"/>
  <c r="AS617" i="4"/>
  <c r="AS618" i="4"/>
  <c r="AS619" i="4"/>
  <c r="AS620" i="4"/>
  <c r="AS621" i="4"/>
  <c r="AS622" i="4"/>
  <c r="AS623" i="4"/>
  <c r="AS624" i="4"/>
  <c r="AS625" i="4"/>
  <c r="AS626" i="4"/>
  <c r="AS627" i="4"/>
  <c r="AS628" i="4"/>
  <c r="AS629" i="4"/>
  <c r="AS630" i="4"/>
  <c r="AS631" i="4"/>
  <c r="AS632" i="4"/>
  <c r="AS633" i="4"/>
  <c r="AS634" i="4"/>
  <c r="AS635" i="4"/>
  <c r="AS636" i="4"/>
  <c r="AS637" i="4"/>
  <c r="AS638" i="4"/>
  <c r="AS639" i="4"/>
  <c r="AS640" i="4"/>
  <c r="AS641" i="4"/>
  <c r="AS642" i="4"/>
  <c r="AS643" i="4"/>
  <c r="AS644" i="4"/>
  <c r="AS645" i="4"/>
  <c r="AS646" i="4"/>
  <c r="AS647" i="4"/>
  <c r="AS648" i="4"/>
  <c r="AS649" i="4"/>
  <c r="AS650" i="4"/>
  <c r="AS651" i="4"/>
  <c r="AS652" i="4"/>
  <c r="AS653" i="4"/>
  <c r="AS654" i="4"/>
  <c r="AS655" i="4"/>
  <c r="AS656" i="4"/>
  <c r="AS657" i="4"/>
  <c r="AS658" i="4"/>
  <c r="AS659" i="4"/>
  <c r="AS660" i="4"/>
  <c r="AS661" i="4"/>
  <c r="AS662" i="4"/>
  <c r="AS663" i="4"/>
  <c r="AS664" i="4"/>
  <c r="AS665" i="4"/>
  <c r="AS666" i="4"/>
  <c r="AS667" i="4"/>
  <c r="AS668" i="4"/>
  <c r="AS669" i="4"/>
  <c r="AS670" i="4"/>
  <c r="AS671" i="4"/>
  <c r="AS672" i="4"/>
  <c r="AS673" i="4"/>
  <c r="AS674" i="4"/>
  <c r="AS675" i="4"/>
  <c r="AS676" i="4"/>
  <c r="AS677" i="4"/>
  <c r="AS678" i="4"/>
  <c r="AS679" i="4"/>
  <c r="AS680" i="4"/>
  <c r="AS681" i="4"/>
  <c r="AS682" i="4"/>
  <c r="AS683" i="4"/>
  <c r="AS684" i="4"/>
  <c r="AS685" i="4"/>
  <c r="AS686" i="4"/>
  <c r="AS687" i="4"/>
  <c r="AS688" i="4"/>
  <c r="AS689" i="4"/>
  <c r="AS690" i="4"/>
  <c r="AS691" i="4"/>
  <c r="AS692" i="4"/>
  <c r="AS693" i="4"/>
  <c r="AS694" i="4"/>
  <c r="AS695" i="4"/>
  <c r="AS696" i="4"/>
  <c r="AS697" i="4"/>
  <c r="AS698" i="4"/>
  <c r="AS699" i="4"/>
  <c r="AS700" i="4"/>
  <c r="AS701" i="4"/>
  <c r="AS702" i="4"/>
  <c r="AS703" i="4"/>
  <c r="AS704" i="4"/>
  <c r="AS705" i="4"/>
  <c r="AS706" i="4"/>
  <c r="AS707" i="4"/>
  <c r="AS708" i="4"/>
  <c r="AS709" i="4"/>
  <c r="AS710" i="4"/>
  <c r="AS711" i="4"/>
  <c r="AS712" i="4"/>
  <c r="AS713" i="4"/>
  <c r="AS714" i="4"/>
  <c r="AS715" i="4"/>
  <c r="AS716" i="4"/>
  <c r="AS717" i="4"/>
  <c r="AS718" i="4"/>
  <c r="AS719" i="4"/>
  <c r="AS720" i="4"/>
  <c r="AS721" i="4"/>
  <c r="AS722" i="4"/>
  <c r="AS723" i="4"/>
  <c r="AS724" i="4"/>
  <c r="AS725" i="4"/>
  <c r="AS726" i="4"/>
  <c r="AS727" i="4"/>
  <c r="AS728" i="4"/>
  <c r="AS729" i="4"/>
  <c r="AS730" i="4"/>
  <c r="AS731" i="4"/>
  <c r="AS732" i="4"/>
  <c r="AS733" i="4"/>
  <c r="AS734" i="4"/>
  <c r="AS735" i="4"/>
  <c r="AS736" i="4"/>
  <c r="AS737" i="4"/>
  <c r="AS738" i="4"/>
  <c r="AS739" i="4"/>
  <c r="AS740" i="4"/>
  <c r="AS741" i="4"/>
  <c r="AS742" i="4"/>
  <c r="AS743" i="4"/>
  <c r="AS744" i="4"/>
  <c r="AS745" i="4"/>
  <c r="AS746" i="4"/>
  <c r="AS747" i="4"/>
  <c r="AS748" i="4"/>
  <c r="AS749" i="4"/>
  <c r="AS750" i="4"/>
  <c r="AS751" i="4"/>
  <c r="AS752" i="4"/>
  <c r="AS753" i="4"/>
  <c r="AS754" i="4"/>
  <c r="AS755" i="4"/>
  <c r="AS756" i="4"/>
  <c r="AS757" i="4"/>
  <c r="AS758" i="4"/>
  <c r="AS759" i="4"/>
  <c r="AS760" i="4"/>
  <c r="AS761" i="4"/>
  <c r="AS762" i="4"/>
  <c r="AS763" i="4"/>
  <c r="AS764" i="4"/>
  <c r="AS765" i="4"/>
  <c r="AS766" i="4"/>
  <c r="AS767" i="4"/>
  <c r="AS768" i="4"/>
  <c r="AS769" i="4"/>
  <c r="AS770" i="4"/>
  <c r="AS771" i="4"/>
  <c r="AS772" i="4"/>
  <c r="AS773" i="4"/>
  <c r="AS774" i="4"/>
  <c r="AS775" i="4"/>
  <c r="AS776" i="4"/>
  <c r="AS777" i="4"/>
  <c r="AS778" i="4"/>
  <c r="AS779" i="4"/>
  <c r="AS780" i="4"/>
  <c r="AS781" i="4"/>
  <c r="AS782" i="4"/>
  <c r="AS783" i="4"/>
  <c r="AS784" i="4"/>
  <c r="AS785" i="4"/>
  <c r="AS786" i="4"/>
  <c r="AS787" i="4"/>
  <c r="AS788" i="4"/>
  <c r="AS789" i="4"/>
  <c r="AS790" i="4"/>
  <c r="AS791" i="4"/>
  <c r="AS792" i="4"/>
  <c r="AS793" i="4"/>
  <c r="AS794" i="4"/>
  <c r="AS795" i="4"/>
  <c r="AS796" i="4"/>
  <c r="AS797" i="4"/>
  <c r="AS798" i="4"/>
  <c r="AS799" i="4"/>
  <c r="AS800" i="4"/>
  <c r="AS801" i="4"/>
  <c r="AS802" i="4"/>
  <c r="AS803" i="4"/>
  <c r="AS804" i="4"/>
  <c r="AS805" i="4"/>
  <c r="AS806" i="4"/>
  <c r="AS807" i="4"/>
  <c r="AS808" i="4"/>
  <c r="AS809" i="4"/>
  <c r="AS810" i="4"/>
  <c r="AS811" i="4"/>
  <c r="AS812" i="4"/>
  <c r="AS813" i="4"/>
  <c r="AS814" i="4"/>
  <c r="AS815" i="4"/>
  <c r="AS816" i="4"/>
  <c r="AS817" i="4"/>
  <c r="AS818" i="4"/>
  <c r="AS819" i="4"/>
  <c r="AS820" i="4"/>
  <c r="AS821" i="4"/>
  <c r="AS822" i="4"/>
  <c r="AS823" i="4"/>
  <c r="AS824" i="4"/>
  <c r="AS825" i="4"/>
  <c r="AS826" i="4"/>
  <c r="AS827" i="4"/>
  <c r="AS828" i="4"/>
  <c r="AS829" i="4"/>
  <c r="AS830" i="4"/>
  <c r="AS831" i="4"/>
  <c r="AS832" i="4"/>
  <c r="AS833" i="4"/>
  <c r="AS834" i="4"/>
  <c r="AS835" i="4"/>
  <c r="AS836" i="4"/>
  <c r="AS837" i="4"/>
  <c r="AS838" i="4"/>
  <c r="AS839" i="4"/>
  <c r="AS840" i="4"/>
  <c r="AS841" i="4"/>
  <c r="AS842" i="4"/>
  <c r="AS843" i="4"/>
  <c r="AS844" i="4"/>
  <c r="AS845" i="4"/>
  <c r="AS846" i="4"/>
  <c r="AS847" i="4"/>
  <c r="AS848" i="4"/>
  <c r="AS849" i="4"/>
  <c r="AS850" i="4"/>
  <c r="AS851" i="4"/>
  <c r="AS852" i="4"/>
  <c r="AS853" i="4"/>
  <c r="AS854" i="4"/>
  <c r="AS855" i="4"/>
  <c r="AS856" i="4"/>
  <c r="AS857" i="4"/>
  <c r="AS858" i="4"/>
  <c r="AS859" i="4"/>
  <c r="AS860" i="4"/>
  <c r="AS861" i="4"/>
  <c r="AS862" i="4"/>
  <c r="AS863" i="4"/>
  <c r="AS864" i="4"/>
  <c r="AS865" i="4"/>
  <c r="AS866" i="4"/>
  <c r="AS867" i="4"/>
  <c r="AS868" i="4"/>
  <c r="AS869" i="4"/>
  <c r="AS870" i="4"/>
  <c r="AS871" i="4"/>
  <c r="AS872" i="4"/>
  <c r="AS873" i="4"/>
  <c r="AS874" i="4"/>
  <c r="AS875" i="4"/>
  <c r="AS876" i="4"/>
  <c r="AS877" i="4"/>
  <c r="AS878" i="4"/>
  <c r="AS879" i="4"/>
  <c r="AS880" i="4"/>
  <c r="AS881" i="4"/>
  <c r="AS882" i="4"/>
  <c r="AS883" i="4"/>
  <c r="AS884" i="4"/>
  <c r="AS885" i="4"/>
  <c r="AS886" i="4"/>
  <c r="AS887" i="4"/>
  <c r="AS888" i="4"/>
  <c r="AS889" i="4"/>
  <c r="AS890" i="4"/>
  <c r="AS891" i="4"/>
  <c r="AS892" i="4"/>
  <c r="AS893" i="4"/>
  <c r="AS894" i="4"/>
  <c r="AS895" i="4"/>
  <c r="AS896" i="4"/>
  <c r="AS897" i="4"/>
  <c r="AS898" i="4"/>
  <c r="AS899" i="4"/>
  <c r="AS900" i="4"/>
  <c r="AS901" i="4"/>
  <c r="AS902" i="4"/>
  <c r="AS903" i="4"/>
  <c r="AS904" i="4"/>
  <c r="AS905" i="4"/>
  <c r="AS906" i="4"/>
  <c r="AS907" i="4"/>
  <c r="AS908" i="4"/>
  <c r="AS909" i="4"/>
  <c r="AS910" i="4"/>
  <c r="AS911" i="4"/>
  <c r="AS912" i="4"/>
  <c r="AS913" i="4"/>
  <c r="AS914" i="4"/>
  <c r="AS915" i="4"/>
  <c r="AS916" i="4"/>
  <c r="AS917" i="4"/>
  <c r="AS918" i="4"/>
  <c r="AS919" i="4"/>
  <c r="AS920" i="4"/>
  <c r="AS921" i="4"/>
  <c r="AS922" i="4"/>
  <c r="AS923" i="4"/>
  <c r="AS924" i="4"/>
  <c r="AS925" i="4"/>
  <c r="AS926" i="4"/>
  <c r="AS927" i="4"/>
  <c r="AS928" i="4"/>
  <c r="AS929" i="4"/>
  <c r="AS930" i="4"/>
  <c r="AS931" i="4"/>
  <c r="AS932" i="4"/>
  <c r="AS933" i="4"/>
  <c r="AS934" i="4"/>
  <c r="AS935" i="4"/>
  <c r="AS936" i="4"/>
  <c r="AS937" i="4"/>
  <c r="AS938" i="4"/>
  <c r="AS939" i="4"/>
  <c r="AS940" i="4"/>
  <c r="AS941" i="4"/>
  <c r="AS942" i="4"/>
  <c r="AS943" i="4"/>
  <c r="AS944" i="4"/>
  <c r="AS945" i="4"/>
  <c r="AS946" i="4"/>
  <c r="AS947" i="4"/>
  <c r="AS948" i="4"/>
  <c r="AS949" i="4"/>
  <c r="AS950" i="4"/>
  <c r="AS951" i="4"/>
  <c r="AS952" i="4"/>
  <c r="AS953" i="4"/>
  <c r="AS954" i="4"/>
  <c r="AS955" i="4"/>
  <c r="AS956" i="4"/>
  <c r="AS957" i="4"/>
  <c r="AS958" i="4"/>
  <c r="AS959" i="4"/>
  <c r="AS960" i="4"/>
  <c r="AS961" i="4"/>
  <c r="AS962" i="4"/>
  <c r="AS963" i="4"/>
  <c r="AS964" i="4"/>
  <c r="AS965" i="4"/>
  <c r="AS966" i="4"/>
  <c r="AS967" i="4"/>
  <c r="AS968" i="4"/>
  <c r="AS969" i="4"/>
  <c r="AS970" i="4"/>
  <c r="AS971" i="4"/>
  <c r="AS972" i="4"/>
  <c r="AS973" i="4"/>
  <c r="AS974" i="4"/>
  <c r="AS975" i="4"/>
  <c r="AS976" i="4"/>
  <c r="AS977" i="4"/>
  <c r="AS978" i="4"/>
  <c r="AS979" i="4"/>
  <c r="AS980" i="4"/>
  <c r="AS981" i="4"/>
  <c r="AS982" i="4"/>
  <c r="AS983" i="4"/>
  <c r="AS984" i="4"/>
  <c r="AS985" i="4"/>
  <c r="AS986" i="4"/>
  <c r="AS987" i="4"/>
  <c r="AS988" i="4"/>
  <c r="AS989" i="4"/>
  <c r="AS990" i="4"/>
  <c r="AS991" i="4"/>
  <c r="AS992" i="4"/>
  <c r="AS993" i="4"/>
  <c r="AS994" i="4"/>
  <c r="AS995" i="4"/>
  <c r="AS996" i="4"/>
  <c r="AS997" i="4"/>
  <c r="AS998" i="4"/>
  <c r="AS999" i="4"/>
  <c r="AS1000" i="4"/>
  <c r="AS1001" i="4"/>
  <c r="AS1002" i="4"/>
  <c r="AS10" i="4"/>
  <c r="AS11" i="4"/>
  <c r="AS12" i="4"/>
  <c r="AS13" i="4"/>
  <c r="AS14" i="4"/>
  <c r="AS5" i="4"/>
  <c r="AS6" i="4"/>
  <c r="AS7" i="4"/>
  <c r="AS8" i="4"/>
  <c r="AS9" i="4"/>
  <c r="AA3" i="14" l="1"/>
  <c r="AA3" i="13"/>
  <c r="I26" i="13" s="1"/>
  <c r="Q4" i="4"/>
  <c r="O4" i="4" l="1"/>
  <c r="AR4" i="4" s="1"/>
  <c r="P15" i="5"/>
  <c r="Q15" i="5"/>
  <c r="P16" i="5"/>
  <c r="Q16" i="5"/>
  <c r="Q5" i="4" l="1"/>
  <c r="Q6" i="4"/>
  <c r="Q7" i="4"/>
  <c r="Q8" i="4"/>
  <c r="Q9" i="4"/>
  <c r="Q10" i="4"/>
  <c r="R10" i="4" s="1"/>
  <c r="Q11" i="4"/>
  <c r="R11" i="4" s="1"/>
  <c r="Q12" i="4"/>
  <c r="T12" i="4" s="1"/>
  <c r="Q13" i="4"/>
  <c r="Q14" i="4"/>
  <c r="Q15" i="4"/>
  <c r="R15" i="4" s="1"/>
  <c r="Q16" i="4"/>
  <c r="Q17" i="4"/>
  <c r="Q18" i="4"/>
  <c r="R18" i="4" s="1"/>
  <c r="Q19" i="4"/>
  <c r="R19" i="4" s="1"/>
  <c r="Q20" i="4"/>
  <c r="R20" i="4" s="1"/>
  <c r="Q21" i="4"/>
  <c r="Q22" i="4"/>
  <c r="Q23" i="4"/>
  <c r="R23" i="4" s="1"/>
  <c r="Q24" i="4"/>
  <c r="R24" i="4" s="1"/>
  <c r="R9" i="4" l="1"/>
  <c r="T9" i="4"/>
  <c r="T16" i="4"/>
  <c r="R16" i="4"/>
  <c r="R14" i="4"/>
  <c r="T14" i="4"/>
  <c r="R17" i="4"/>
  <c r="T17" i="4"/>
  <c r="R7" i="4"/>
  <c r="T7" i="4"/>
  <c r="O21" i="4"/>
  <c r="AR21" i="4" s="1"/>
  <c r="O13" i="4"/>
  <c r="AR13" i="4" s="1"/>
  <c r="R13" i="4"/>
  <c r="O5" i="4"/>
  <c r="AR5" i="4" s="1"/>
  <c r="T5" i="4"/>
  <c r="T6" i="4"/>
  <c r="R6" i="4"/>
  <c r="O12" i="4"/>
  <c r="AR12" i="4" s="1"/>
  <c r="O11" i="4"/>
  <c r="AR11" i="4" s="1"/>
  <c r="O20" i="4"/>
  <c r="AR20" i="4" s="1"/>
  <c r="O19" i="4"/>
  <c r="AR19" i="4" s="1"/>
  <c r="O18" i="4"/>
  <c r="AR18" i="4" s="1"/>
  <c r="O10" i="4"/>
  <c r="AR10" i="4" s="1"/>
  <c r="O17" i="4"/>
  <c r="AR17" i="4" s="1"/>
  <c r="O16" i="4"/>
  <c r="AR16" i="4" s="1"/>
  <c r="O8" i="4"/>
  <c r="AR8" i="4" s="1"/>
  <c r="O9" i="4"/>
  <c r="AR9" i="4" s="1"/>
  <c r="O15" i="4"/>
  <c r="AR15" i="4" s="1"/>
  <c r="O7" i="4"/>
  <c r="AR7" i="4" s="1"/>
  <c r="O24" i="4"/>
  <c r="AR24" i="4" s="1"/>
  <c r="O23" i="4"/>
  <c r="AR23" i="4" s="1"/>
  <c r="O22" i="4"/>
  <c r="AR22" i="4" s="1"/>
  <c r="O14" i="4"/>
  <c r="AR14" i="4" s="1"/>
  <c r="O6" i="4"/>
  <c r="AR6" i="4" s="1"/>
  <c r="AB4" i="5" l="1"/>
  <c r="Z7" i="4"/>
  <c r="AG3" i="14" l="1"/>
  <c r="J32" i="14" s="1"/>
  <c r="AA6" i="13"/>
  <c r="I29" i="13" s="1"/>
  <c r="AA6" i="14"/>
  <c r="AA8" i="5"/>
  <c r="AB8" i="5"/>
  <c r="Z8" i="5"/>
  <c r="AF7" i="14" l="1"/>
  <c r="AE7" i="14"/>
  <c r="AC7" i="13"/>
  <c r="J30" i="13" s="1"/>
  <c r="AG7" i="14"/>
  <c r="J36" i="14" s="1"/>
  <c r="Q27" i="5"/>
  <c r="P27" i="5"/>
  <c r="Q26" i="5"/>
  <c r="P26" i="5"/>
  <c r="Q25" i="5"/>
  <c r="P25" i="5"/>
  <c r="Q24" i="5"/>
  <c r="P24" i="5"/>
  <c r="Q23" i="5"/>
  <c r="P23" i="5"/>
  <c r="Q22" i="5"/>
  <c r="P22" i="5"/>
  <c r="Q21" i="5"/>
  <c r="P21" i="5"/>
  <c r="Q20" i="5"/>
  <c r="P20" i="5"/>
  <c r="Q19" i="5"/>
  <c r="P19" i="5"/>
  <c r="Q18" i="5"/>
  <c r="P18" i="5"/>
  <c r="Q17" i="5"/>
  <c r="P17" i="5"/>
  <c r="Q14" i="5"/>
  <c r="P14" i="5"/>
  <c r="Q13" i="5"/>
  <c r="P13" i="5"/>
  <c r="Q12" i="5"/>
  <c r="P12" i="5"/>
  <c r="Q11" i="5"/>
  <c r="P11" i="5"/>
  <c r="Q10" i="5"/>
  <c r="P10" i="5"/>
  <c r="Q9" i="5"/>
  <c r="P9" i="5"/>
  <c r="Q8" i="5"/>
  <c r="P8" i="5"/>
  <c r="Q7" i="5"/>
  <c r="P7" i="5"/>
  <c r="Q6" i="5"/>
  <c r="P6" i="5"/>
  <c r="Q5" i="5"/>
  <c r="P5" i="5"/>
  <c r="Q4" i="5"/>
  <c r="P4" i="5"/>
  <c r="O4" i="5" l="1"/>
  <c r="O59" i="5"/>
  <c r="O60" i="5"/>
  <c r="O28" i="5"/>
  <c r="O33" i="5"/>
  <c r="O38" i="5"/>
  <c r="O50" i="5"/>
  <c r="O55" i="5"/>
  <c r="O56" i="5"/>
  <c r="O61" i="5"/>
  <c r="O29" i="5"/>
  <c r="O34" i="5"/>
  <c r="O49" i="5"/>
  <c r="O45" i="5"/>
  <c r="O42" i="5"/>
  <c r="O51" i="5"/>
  <c r="O52" i="5"/>
  <c r="O57" i="5"/>
  <c r="O62" i="5"/>
  <c r="O30" i="5"/>
  <c r="O43" i="5"/>
  <c r="O54" i="5"/>
  <c r="O39" i="5"/>
  <c r="O47" i="5"/>
  <c r="O48" i="5"/>
  <c r="O53" i="5"/>
  <c r="O58" i="5"/>
  <c r="O44" i="5"/>
  <c r="O40" i="5"/>
  <c r="O35" i="5"/>
  <c r="O36" i="5"/>
  <c r="O41" i="5"/>
  <c r="O46" i="5"/>
  <c r="O31" i="5"/>
  <c r="O32" i="5"/>
  <c r="O37" i="5"/>
  <c r="O7" i="5"/>
  <c r="O8" i="5"/>
  <c r="O5" i="5"/>
  <c r="O9" i="5"/>
  <c r="O6" i="5"/>
  <c r="O10" i="5"/>
  <c r="O11" i="5"/>
  <c r="O13" i="5"/>
  <c r="O21" i="5"/>
  <c r="O14" i="5"/>
  <c r="O22" i="5"/>
  <c r="O15" i="5"/>
  <c r="O23" i="5"/>
  <c r="O16" i="5"/>
  <c r="O24" i="5"/>
  <c r="O26" i="5"/>
  <c r="O17" i="5"/>
  <c r="O25" i="5"/>
  <c r="O18" i="5"/>
  <c r="O19" i="5"/>
  <c r="O27" i="5"/>
  <c r="O12" i="5"/>
  <c r="O20" i="5"/>
  <c r="Y10" i="5"/>
  <c r="P40" i="4"/>
  <c r="Q40" i="4"/>
  <c r="R40" i="4" s="1"/>
  <c r="P41" i="4"/>
  <c r="Q41" i="4"/>
  <c r="P42" i="4"/>
  <c r="Q42" i="4"/>
  <c r="P43" i="4"/>
  <c r="Q43" i="4"/>
  <c r="P44" i="4"/>
  <c r="Q44" i="4"/>
  <c r="P45" i="4"/>
  <c r="Q45" i="4"/>
  <c r="T45" i="4" s="1"/>
  <c r="P46" i="4"/>
  <c r="Q46" i="4"/>
  <c r="T46" i="4" s="1"/>
  <c r="P47" i="4"/>
  <c r="Q47" i="4"/>
  <c r="R47" i="4" s="1"/>
  <c r="P48" i="4"/>
  <c r="Q48" i="4"/>
  <c r="P49" i="4"/>
  <c r="Q49" i="4"/>
  <c r="T49" i="4" s="1"/>
  <c r="P50" i="4"/>
  <c r="Q50" i="4"/>
  <c r="T50" i="4" s="1"/>
  <c r="P51" i="4"/>
  <c r="Q51" i="4"/>
  <c r="T51" i="4" s="1"/>
  <c r="P52" i="4"/>
  <c r="Q52" i="4"/>
  <c r="T52" i="4" s="1"/>
  <c r="P53" i="4"/>
  <c r="Q53" i="4"/>
  <c r="R53" i="4" s="1"/>
  <c r="P54" i="4"/>
  <c r="Q54" i="4"/>
  <c r="T54" i="4" s="1"/>
  <c r="P55" i="4"/>
  <c r="Q55" i="4"/>
  <c r="T55" i="4" s="1"/>
  <c r="P56" i="4"/>
  <c r="Q56" i="4"/>
  <c r="P57" i="4"/>
  <c r="Q57" i="4"/>
  <c r="R57" i="4" s="1"/>
  <c r="P58" i="4"/>
  <c r="Q58" i="4"/>
  <c r="P59" i="4"/>
  <c r="Q59" i="4"/>
  <c r="P60" i="4"/>
  <c r="Q60" i="4"/>
  <c r="P61" i="4"/>
  <c r="Q61" i="4"/>
  <c r="P62" i="4"/>
  <c r="Q62" i="4"/>
  <c r="P63" i="4"/>
  <c r="Q63" i="4"/>
  <c r="P64" i="4"/>
  <c r="Q64" i="4"/>
  <c r="P65" i="4"/>
  <c r="Q65" i="4"/>
  <c r="P66" i="4"/>
  <c r="Q66" i="4"/>
  <c r="P67" i="4"/>
  <c r="Q67" i="4"/>
  <c r="P68" i="4"/>
  <c r="Q68" i="4"/>
  <c r="P69" i="4"/>
  <c r="Q69" i="4"/>
  <c r="P70" i="4"/>
  <c r="Q70" i="4"/>
  <c r="P71" i="4"/>
  <c r="Q71" i="4"/>
  <c r="P72" i="4"/>
  <c r="Q72" i="4"/>
  <c r="P73" i="4"/>
  <c r="Q73" i="4"/>
  <c r="P74" i="4"/>
  <c r="Q74" i="4"/>
  <c r="P75" i="4"/>
  <c r="Q75" i="4"/>
  <c r="P76" i="4"/>
  <c r="Q76" i="4"/>
  <c r="P77" i="4"/>
  <c r="Q77" i="4"/>
  <c r="P78" i="4"/>
  <c r="Q78" i="4"/>
  <c r="P79" i="4"/>
  <c r="Q79" i="4"/>
  <c r="P80" i="4"/>
  <c r="Q80" i="4"/>
  <c r="P81" i="4"/>
  <c r="Q81" i="4"/>
  <c r="P82" i="4"/>
  <c r="Q82" i="4"/>
  <c r="P83" i="4"/>
  <c r="Q83" i="4"/>
  <c r="P84" i="4"/>
  <c r="Q84" i="4"/>
  <c r="P85" i="4"/>
  <c r="Q85" i="4"/>
  <c r="P86" i="4"/>
  <c r="Q86" i="4"/>
  <c r="P87" i="4"/>
  <c r="Q87" i="4"/>
  <c r="P88" i="4"/>
  <c r="Q88" i="4"/>
  <c r="P89" i="4"/>
  <c r="Q89" i="4"/>
  <c r="P90" i="4"/>
  <c r="Q90" i="4"/>
  <c r="P91" i="4"/>
  <c r="Q91" i="4"/>
  <c r="P92" i="4"/>
  <c r="Q92" i="4"/>
  <c r="P93" i="4"/>
  <c r="Q93" i="4"/>
  <c r="P94" i="4"/>
  <c r="Q94" i="4"/>
  <c r="P95" i="4"/>
  <c r="Q95" i="4"/>
  <c r="P96" i="4"/>
  <c r="Q96" i="4"/>
  <c r="P97" i="4"/>
  <c r="Q97" i="4"/>
  <c r="P98" i="4"/>
  <c r="Q98" i="4"/>
  <c r="P99" i="4"/>
  <c r="Q99" i="4"/>
  <c r="P100" i="4"/>
  <c r="Q100" i="4"/>
  <c r="P101" i="4"/>
  <c r="Q101" i="4"/>
  <c r="P102" i="4"/>
  <c r="Q102" i="4"/>
  <c r="P103" i="4"/>
  <c r="Q103" i="4"/>
  <c r="P104" i="4"/>
  <c r="Q104" i="4"/>
  <c r="P105" i="4"/>
  <c r="Q105" i="4"/>
  <c r="P106" i="4"/>
  <c r="Q106" i="4"/>
  <c r="P107" i="4"/>
  <c r="Q107" i="4"/>
  <c r="P108" i="4"/>
  <c r="Q108" i="4"/>
  <c r="P109" i="4"/>
  <c r="Q109" i="4"/>
  <c r="P110" i="4"/>
  <c r="Q110" i="4"/>
  <c r="P111" i="4"/>
  <c r="Q111" i="4"/>
  <c r="P112" i="4"/>
  <c r="Q112" i="4"/>
  <c r="P113" i="4"/>
  <c r="Q113" i="4"/>
  <c r="P114" i="4"/>
  <c r="Q114" i="4"/>
  <c r="P115" i="4"/>
  <c r="Q115" i="4"/>
  <c r="P116" i="4"/>
  <c r="Q116" i="4"/>
  <c r="P117" i="4"/>
  <c r="Q117" i="4"/>
  <c r="P118" i="4"/>
  <c r="Q118" i="4"/>
  <c r="P119" i="4"/>
  <c r="Q119" i="4"/>
  <c r="P120" i="4"/>
  <c r="Q120" i="4"/>
  <c r="P121" i="4"/>
  <c r="Q121" i="4"/>
  <c r="P122" i="4"/>
  <c r="Q122" i="4"/>
  <c r="P123" i="4"/>
  <c r="Q123" i="4"/>
  <c r="P124" i="4"/>
  <c r="Q124" i="4"/>
  <c r="P125" i="4"/>
  <c r="Q125" i="4"/>
  <c r="P126" i="4"/>
  <c r="Q126" i="4"/>
  <c r="P127" i="4"/>
  <c r="Q127" i="4"/>
  <c r="P128" i="4"/>
  <c r="Q128" i="4"/>
  <c r="P129" i="4"/>
  <c r="Q129" i="4"/>
  <c r="P130" i="4"/>
  <c r="Q130" i="4"/>
  <c r="P131" i="4"/>
  <c r="Q131" i="4"/>
  <c r="P132" i="4"/>
  <c r="Q132" i="4"/>
  <c r="P133" i="4"/>
  <c r="Q133" i="4"/>
  <c r="P134" i="4"/>
  <c r="Q134" i="4"/>
  <c r="P135" i="4"/>
  <c r="Q135" i="4"/>
  <c r="P136" i="4"/>
  <c r="Q136" i="4"/>
  <c r="P137" i="4"/>
  <c r="Q137" i="4"/>
  <c r="P138" i="4"/>
  <c r="Q138" i="4"/>
  <c r="P139" i="4"/>
  <c r="Q139" i="4"/>
  <c r="P140" i="4"/>
  <c r="Q140" i="4"/>
  <c r="P141" i="4"/>
  <c r="Q141" i="4"/>
  <c r="P142" i="4"/>
  <c r="Q142" i="4"/>
  <c r="P143" i="4"/>
  <c r="Q143" i="4"/>
  <c r="P144" i="4"/>
  <c r="Q144" i="4"/>
  <c r="P145" i="4"/>
  <c r="Q145" i="4"/>
  <c r="P146" i="4"/>
  <c r="Q146" i="4"/>
  <c r="P147" i="4"/>
  <c r="Q147" i="4"/>
  <c r="P148" i="4"/>
  <c r="Q148" i="4"/>
  <c r="P149" i="4"/>
  <c r="Q149" i="4"/>
  <c r="P150" i="4"/>
  <c r="Q150" i="4"/>
  <c r="P151" i="4"/>
  <c r="Q151" i="4"/>
  <c r="P152" i="4"/>
  <c r="Q152" i="4"/>
  <c r="P153" i="4"/>
  <c r="Q153" i="4"/>
  <c r="P154" i="4"/>
  <c r="Q154" i="4"/>
  <c r="P155" i="4"/>
  <c r="Q155" i="4"/>
  <c r="P156" i="4"/>
  <c r="Q156" i="4"/>
  <c r="P157" i="4"/>
  <c r="Q157" i="4"/>
  <c r="P158" i="4"/>
  <c r="Q158" i="4"/>
  <c r="P159" i="4"/>
  <c r="Q159" i="4"/>
  <c r="P160" i="4"/>
  <c r="Q160" i="4"/>
  <c r="P161" i="4"/>
  <c r="Q161" i="4"/>
  <c r="P162" i="4"/>
  <c r="Q162" i="4"/>
  <c r="P163" i="4"/>
  <c r="Q163" i="4"/>
  <c r="P164" i="4"/>
  <c r="Q164" i="4"/>
  <c r="P165" i="4"/>
  <c r="Q165" i="4"/>
  <c r="P166" i="4"/>
  <c r="Q166" i="4"/>
  <c r="P167" i="4"/>
  <c r="Q167" i="4"/>
  <c r="P168" i="4"/>
  <c r="Q168" i="4"/>
  <c r="P169" i="4"/>
  <c r="Q169" i="4"/>
  <c r="P170" i="4"/>
  <c r="Q170" i="4"/>
  <c r="P171" i="4"/>
  <c r="Q171" i="4"/>
  <c r="P172" i="4"/>
  <c r="Q172" i="4"/>
  <c r="P173" i="4"/>
  <c r="Q173" i="4"/>
  <c r="P174" i="4"/>
  <c r="Q174" i="4"/>
  <c r="P175" i="4"/>
  <c r="Q175" i="4"/>
  <c r="P176" i="4"/>
  <c r="Q176" i="4"/>
  <c r="P177" i="4"/>
  <c r="Q177" i="4"/>
  <c r="P178" i="4"/>
  <c r="Q178" i="4"/>
  <c r="P179" i="4"/>
  <c r="Q179" i="4"/>
  <c r="P180" i="4"/>
  <c r="Q180" i="4"/>
  <c r="P181" i="4"/>
  <c r="Q181" i="4"/>
  <c r="P182" i="4"/>
  <c r="Q182" i="4"/>
  <c r="P183" i="4"/>
  <c r="Q183" i="4"/>
  <c r="P184" i="4"/>
  <c r="Q184" i="4"/>
  <c r="P185" i="4"/>
  <c r="Q185" i="4"/>
  <c r="P186" i="4"/>
  <c r="Q186" i="4"/>
  <c r="P187" i="4"/>
  <c r="Q187" i="4"/>
  <c r="P188" i="4"/>
  <c r="Q188" i="4"/>
  <c r="P189" i="4"/>
  <c r="Q189" i="4"/>
  <c r="P190" i="4"/>
  <c r="Q190" i="4"/>
  <c r="P191" i="4"/>
  <c r="Q191" i="4"/>
  <c r="P192" i="4"/>
  <c r="Q192" i="4"/>
  <c r="P193" i="4"/>
  <c r="Q193" i="4"/>
  <c r="P194" i="4"/>
  <c r="Q194" i="4"/>
  <c r="P195" i="4"/>
  <c r="Q195" i="4"/>
  <c r="P196" i="4"/>
  <c r="Q196" i="4"/>
  <c r="P197" i="4"/>
  <c r="Q197" i="4"/>
  <c r="P198" i="4"/>
  <c r="Q198" i="4"/>
  <c r="P199" i="4"/>
  <c r="Q199" i="4"/>
  <c r="P200" i="4"/>
  <c r="Q200" i="4"/>
  <c r="P201" i="4"/>
  <c r="Q201" i="4"/>
  <c r="P202" i="4"/>
  <c r="Q202" i="4"/>
  <c r="P203" i="4"/>
  <c r="Q203" i="4"/>
  <c r="P204" i="4"/>
  <c r="Q204" i="4"/>
  <c r="P205" i="4"/>
  <c r="Q205" i="4"/>
  <c r="P206" i="4"/>
  <c r="Q206" i="4"/>
  <c r="P207" i="4"/>
  <c r="Q207" i="4"/>
  <c r="P208" i="4"/>
  <c r="Q208" i="4"/>
  <c r="P209" i="4"/>
  <c r="Q209" i="4"/>
  <c r="P210" i="4"/>
  <c r="Q210" i="4"/>
  <c r="P211" i="4"/>
  <c r="Q211" i="4"/>
  <c r="P212" i="4"/>
  <c r="Q212" i="4"/>
  <c r="P213" i="4"/>
  <c r="Q213" i="4"/>
  <c r="P214" i="4"/>
  <c r="Q214" i="4"/>
  <c r="P215" i="4"/>
  <c r="Q215" i="4"/>
  <c r="P216" i="4"/>
  <c r="Q216" i="4"/>
  <c r="P217" i="4"/>
  <c r="Q217" i="4"/>
  <c r="P218" i="4"/>
  <c r="Q218" i="4"/>
  <c r="P219" i="4"/>
  <c r="Q219" i="4"/>
  <c r="P220" i="4"/>
  <c r="Q220" i="4"/>
  <c r="P221" i="4"/>
  <c r="Q221" i="4"/>
  <c r="P222" i="4"/>
  <c r="Q222" i="4"/>
  <c r="P223" i="4"/>
  <c r="Q223" i="4"/>
  <c r="P224" i="4"/>
  <c r="Q224" i="4"/>
  <c r="P225" i="4"/>
  <c r="Q225" i="4"/>
  <c r="P226" i="4"/>
  <c r="Q226" i="4"/>
  <c r="P227" i="4"/>
  <c r="Q227" i="4"/>
  <c r="P228" i="4"/>
  <c r="Q228" i="4"/>
  <c r="P229" i="4"/>
  <c r="Q229" i="4"/>
  <c r="P230" i="4"/>
  <c r="Q230" i="4"/>
  <c r="P231" i="4"/>
  <c r="Q231" i="4"/>
  <c r="P232" i="4"/>
  <c r="Q232" i="4"/>
  <c r="P233" i="4"/>
  <c r="Q233" i="4"/>
  <c r="P234" i="4"/>
  <c r="Q234" i="4"/>
  <c r="P235" i="4"/>
  <c r="Q235" i="4"/>
  <c r="P236" i="4"/>
  <c r="Q236" i="4"/>
  <c r="P237" i="4"/>
  <c r="Q237" i="4"/>
  <c r="P238" i="4"/>
  <c r="Q238" i="4"/>
  <c r="P239" i="4"/>
  <c r="Q239" i="4"/>
  <c r="P240" i="4"/>
  <c r="Q240" i="4"/>
  <c r="P241" i="4"/>
  <c r="Q241" i="4"/>
  <c r="P242" i="4"/>
  <c r="Q242" i="4"/>
  <c r="P243" i="4"/>
  <c r="Q243" i="4"/>
  <c r="P244" i="4"/>
  <c r="Q244" i="4"/>
  <c r="P245" i="4"/>
  <c r="Q245" i="4"/>
  <c r="P246" i="4"/>
  <c r="Q246" i="4"/>
  <c r="P247" i="4"/>
  <c r="Q247" i="4"/>
  <c r="P248" i="4"/>
  <c r="Q248" i="4"/>
  <c r="P249" i="4"/>
  <c r="Q249" i="4"/>
  <c r="P250" i="4"/>
  <c r="Q250" i="4"/>
  <c r="P251" i="4"/>
  <c r="Q251" i="4"/>
  <c r="P252" i="4"/>
  <c r="Q252" i="4"/>
  <c r="P253" i="4"/>
  <c r="Q253" i="4"/>
  <c r="P254" i="4"/>
  <c r="Q254" i="4"/>
  <c r="P255" i="4"/>
  <c r="Q255" i="4"/>
  <c r="P256" i="4"/>
  <c r="Q256" i="4"/>
  <c r="P257" i="4"/>
  <c r="Q257" i="4"/>
  <c r="P258" i="4"/>
  <c r="Q258" i="4"/>
  <c r="P259" i="4"/>
  <c r="Q259" i="4"/>
  <c r="P260" i="4"/>
  <c r="Q260" i="4"/>
  <c r="P261" i="4"/>
  <c r="Q261" i="4"/>
  <c r="P262" i="4"/>
  <c r="Q262" i="4"/>
  <c r="P263" i="4"/>
  <c r="Q263" i="4"/>
  <c r="P264" i="4"/>
  <c r="Q264" i="4"/>
  <c r="P265" i="4"/>
  <c r="Q265" i="4"/>
  <c r="P266" i="4"/>
  <c r="Q266" i="4"/>
  <c r="P267" i="4"/>
  <c r="Q267" i="4"/>
  <c r="P268" i="4"/>
  <c r="Q268" i="4"/>
  <c r="P269" i="4"/>
  <c r="Q269" i="4"/>
  <c r="P270" i="4"/>
  <c r="Q270" i="4"/>
  <c r="P271" i="4"/>
  <c r="Q271" i="4"/>
  <c r="P272" i="4"/>
  <c r="Q272" i="4"/>
  <c r="P273" i="4"/>
  <c r="Q273" i="4"/>
  <c r="P274" i="4"/>
  <c r="Q274" i="4"/>
  <c r="P275" i="4"/>
  <c r="Q275" i="4"/>
  <c r="P276" i="4"/>
  <c r="Q276" i="4"/>
  <c r="P277" i="4"/>
  <c r="Q277" i="4"/>
  <c r="P278" i="4"/>
  <c r="Q278" i="4"/>
  <c r="P279" i="4"/>
  <c r="Q279" i="4"/>
  <c r="P280" i="4"/>
  <c r="Q280" i="4"/>
  <c r="P281" i="4"/>
  <c r="Q281" i="4"/>
  <c r="P282" i="4"/>
  <c r="Q282" i="4"/>
  <c r="P283" i="4"/>
  <c r="Q283" i="4"/>
  <c r="P284" i="4"/>
  <c r="Q284" i="4"/>
  <c r="P285" i="4"/>
  <c r="Q285" i="4"/>
  <c r="P286" i="4"/>
  <c r="Q286" i="4"/>
  <c r="P287" i="4"/>
  <c r="Q287" i="4"/>
  <c r="P288" i="4"/>
  <c r="Q288" i="4"/>
  <c r="P289" i="4"/>
  <c r="Q289" i="4"/>
  <c r="P290" i="4"/>
  <c r="Q290" i="4"/>
  <c r="P291" i="4"/>
  <c r="Q291" i="4"/>
  <c r="P292" i="4"/>
  <c r="Q292" i="4"/>
  <c r="P293" i="4"/>
  <c r="Q293" i="4"/>
  <c r="P294" i="4"/>
  <c r="Q294" i="4"/>
  <c r="P295" i="4"/>
  <c r="Q295" i="4"/>
  <c r="P296" i="4"/>
  <c r="Q296" i="4"/>
  <c r="P297" i="4"/>
  <c r="Q297" i="4"/>
  <c r="P298" i="4"/>
  <c r="Q298" i="4"/>
  <c r="P299" i="4"/>
  <c r="Q299" i="4"/>
  <c r="P300" i="4"/>
  <c r="Q300" i="4"/>
  <c r="P301" i="4"/>
  <c r="Q301" i="4"/>
  <c r="P302" i="4"/>
  <c r="Q302" i="4"/>
  <c r="P303" i="4"/>
  <c r="Q303" i="4"/>
  <c r="P304" i="4"/>
  <c r="Q304" i="4"/>
  <c r="P305" i="4"/>
  <c r="Q305" i="4"/>
  <c r="P306" i="4"/>
  <c r="Q306" i="4"/>
  <c r="P307" i="4"/>
  <c r="Q307" i="4"/>
  <c r="P308" i="4"/>
  <c r="Q308" i="4"/>
  <c r="P309" i="4"/>
  <c r="Q309" i="4"/>
  <c r="P310" i="4"/>
  <c r="Q310" i="4"/>
  <c r="P311" i="4"/>
  <c r="Q311" i="4"/>
  <c r="P312" i="4"/>
  <c r="Q312" i="4"/>
  <c r="P313" i="4"/>
  <c r="Q313" i="4"/>
  <c r="P314" i="4"/>
  <c r="Q314" i="4"/>
  <c r="P315" i="4"/>
  <c r="Q315" i="4"/>
  <c r="P316" i="4"/>
  <c r="Q316" i="4"/>
  <c r="P317" i="4"/>
  <c r="Q317" i="4"/>
  <c r="P318" i="4"/>
  <c r="Q318" i="4"/>
  <c r="P319" i="4"/>
  <c r="Q319" i="4"/>
  <c r="P320" i="4"/>
  <c r="Q320" i="4"/>
  <c r="P321" i="4"/>
  <c r="Q321" i="4"/>
  <c r="P322" i="4"/>
  <c r="Q322" i="4"/>
  <c r="P323" i="4"/>
  <c r="Q323" i="4"/>
  <c r="P324" i="4"/>
  <c r="Q324" i="4"/>
  <c r="P325" i="4"/>
  <c r="Q325" i="4"/>
  <c r="P326" i="4"/>
  <c r="Q326" i="4"/>
  <c r="P327" i="4"/>
  <c r="Q327" i="4"/>
  <c r="P328" i="4"/>
  <c r="Q328" i="4"/>
  <c r="P329" i="4"/>
  <c r="Q329" i="4"/>
  <c r="P330" i="4"/>
  <c r="Q330" i="4"/>
  <c r="P331" i="4"/>
  <c r="Q331" i="4"/>
  <c r="P332" i="4"/>
  <c r="Q332" i="4"/>
  <c r="P333" i="4"/>
  <c r="Q333" i="4"/>
  <c r="P334" i="4"/>
  <c r="Q334" i="4"/>
  <c r="P335" i="4"/>
  <c r="Q335" i="4"/>
  <c r="P336" i="4"/>
  <c r="Q336" i="4"/>
  <c r="P337" i="4"/>
  <c r="Q337" i="4"/>
  <c r="P338" i="4"/>
  <c r="Q338" i="4"/>
  <c r="P339" i="4"/>
  <c r="Q339" i="4"/>
  <c r="P340" i="4"/>
  <c r="Q340" i="4"/>
  <c r="P341" i="4"/>
  <c r="Q341" i="4"/>
  <c r="P342" i="4"/>
  <c r="Q342" i="4"/>
  <c r="P343" i="4"/>
  <c r="Q343" i="4"/>
  <c r="P344" i="4"/>
  <c r="Q344" i="4"/>
  <c r="P345" i="4"/>
  <c r="Q345" i="4"/>
  <c r="P346" i="4"/>
  <c r="Q346" i="4"/>
  <c r="P347" i="4"/>
  <c r="Q347" i="4"/>
  <c r="P348" i="4"/>
  <c r="Q348" i="4"/>
  <c r="P349" i="4"/>
  <c r="Q349" i="4"/>
  <c r="P350" i="4"/>
  <c r="Q350" i="4"/>
  <c r="P351" i="4"/>
  <c r="Q351" i="4"/>
  <c r="P352" i="4"/>
  <c r="Q352" i="4"/>
  <c r="P353" i="4"/>
  <c r="Q353" i="4"/>
  <c r="P354" i="4"/>
  <c r="Q354" i="4"/>
  <c r="P355" i="4"/>
  <c r="Q355" i="4"/>
  <c r="P356" i="4"/>
  <c r="Q356" i="4"/>
  <c r="P357" i="4"/>
  <c r="Q357" i="4"/>
  <c r="P358" i="4"/>
  <c r="Q358" i="4"/>
  <c r="P359" i="4"/>
  <c r="Q359" i="4"/>
  <c r="P360" i="4"/>
  <c r="Q360" i="4"/>
  <c r="P361" i="4"/>
  <c r="Q361" i="4"/>
  <c r="P362" i="4"/>
  <c r="Q362" i="4"/>
  <c r="P363" i="4"/>
  <c r="Q363" i="4"/>
  <c r="P364" i="4"/>
  <c r="Q364" i="4"/>
  <c r="P365" i="4"/>
  <c r="Q365" i="4"/>
  <c r="P366" i="4"/>
  <c r="Q366" i="4"/>
  <c r="P367" i="4"/>
  <c r="Q367" i="4"/>
  <c r="P368" i="4"/>
  <c r="Q368" i="4"/>
  <c r="P369" i="4"/>
  <c r="Q369" i="4"/>
  <c r="P370" i="4"/>
  <c r="Q370" i="4"/>
  <c r="P371" i="4"/>
  <c r="Q371" i="4"/>
  <c r="P372" i="4"/>
  <c r="Q372" i="4"/>
  <c r="P373" i="4"/>
  <c r="Q373" i="4"/>
  <c r="P374" i="4"/>
  <c r="Q374" i="4"/>
  <c r="P375" i="4"/>
  <c r="Q375" i="4"/>
  <c r="P376" i="4"/>
  <c r="Q376" i="4"/>
  <c r="P377" i="4"/>
  <c r="Q377" i="4"/>
  <c r="P378" i="4"/>
  <c r="Q378" i="4"/>
  <c r="P379" i="4"/>
  <c r="Q379" i="4"/>
  <c r="P380" i="4"/>
  <c r="Q380" i="4"/>
  <c r="P381" i="4"/>
  <c r="Q381" i="4"/>
  <c r="O381" i="4" s="1"/>
  <c r="AR381" i="4" s="1"/>
  <c r="P382" i="4"/>
  <c r="Q382" i="4"/>
  <c r="P383" i="4"/>
  <c r="Q383" i="4"/>
  <c r="P384" i="4"/>
  <c r="Q384" i="4"/>
  <c r="P385" i="4"/>
  <c r="Q385" i="4"/>
  <c r="P386" i="4"/>
  <c r="Q386" i="4"/>
  <c r="P387" i="4"/>
  <c r="Q387" i="4"/>
  <c r="P388" i="4"/>
  <c r="Q388" i="4"/>
  <c r="P389" i="4"/>
  <c r="Q389" i="4"/>
  <c r="P390" i="4"/>
  <c r="Q390" i="4"/>
  <c r="P391" i="4"/>
  <c r="Q391" i="4"/>
  <c r="P392" i="4"/>
  <c r="Q392" i="4"/>
  <c r="P393" i="4"/>
  <c r="Q393" i="4"/>
  <c r="P394" i="4"/>
  <c r="Q394" i="4"/>
  <c r="P395" i="4"/>
  <c r="Q395" i="4"/>
  <c r="P396" i="4"/>
  <c r="Q396" i="4"/>
  <c r="P397" i="4"/>
  <c r="Q397" i="4"/>
  <c r="P398" i="4"/>
  <c r="Q398" i="4"/>
  <c r="P399" i="4"/>
  <c r="Q399" i="4"/>
  <c r="P400" i="4"/>
  <c r="Q400" i="4"/>
  <c r="P401" i="4"/>
  <c r="Q401" i="4"/>
  <c r="P402" i="4"/>
  <c r="Q402" i="4"/>
  <c r="P403" i="4"/>
  <c r="Q403" i="4"/>
  <c r="P404" i="4"/>
  <c r="Q404" i="4"/>
  <c r="P405" i="4"/>
  <c r="Q405" i="4"/>
  <c r="P406" i="4"/>
  <c r="Q406" i="4"/>
  <c r="P407" i="4"/>
  <c r="Q407" i="4"/>
  <c r="P408" i="4"/>
  <c r="Q408" i="4"/>
  <c r="P409" i="4"/>
  <c r="Q409" i="4"/>
  <c r="P410" i="4"/>
  <c r="Q410" i="4"/>
  <c r="P411" i="4"/>
  <c r="Q411" i="4"/>
  <c r="P412" i="4"/>
  <c r="Q412" i="4"/>
  <c r="P413" i="4"/>
  <c r="Q413" i="4"/>
  <c r="P414" i="4"/>
  <c r="Q414" i="4"/>
  <c r="P415" i="4"/>
  <c r="Q415" i="4"/>
  <c r="P416" i="4"/>
  <c r="Q416" i="4"/>
  <c r="P417" i="4"/>
  <c r="Q417" i="4"/>
  <c r="P418" i="4"/>
  <c r="Q418" i="4"/>
  <c r="P419" i="4"/>
  <c r="Q419" i="4"/>
  <c r="P420" i="4"/>
  <c r="Q420" i="4"/>
  <c r="P421" i="4"/>
  <c r="Q421" i="4"/>
  <c r="P422" i="4"/>
  <c r="Q422" i="4"/>
  <c r="P423" i="4"/>
  <c r="Q423" i="4"/>
  <c r="P424" i="4"/>
  <c r="Q424" i="4"/>
  <c r="P425" i="4"/>
  <c r="Q425" i="4"/>
  <c r="P426" i="4"/>
  <c r="Q426" i="4"/>
  <c r="P427" i="4"/>
  <c r="Q427" i="4"/>
  <c r="P428" i="4"/>
  <c r="Q428" i="4"/>
  <c r="P429" i="4"/>
  <c r="Q429" i="4"/>
  <c r="P430" i="4"/>
  <c r="Q430" i="4"/>
  <c r="P431" i="4"/>
  <c r="Q431" i="4"/>
  <c r="P432" i="4"/>
  <c r="Q432" i="4"/>
  <c r="P433" i="4"/>
  <c r="Q433" i="4"/>
  <c r="P434" i="4"/>
  <c r="Q434" i="4"/>
  <c r="P435" i="4"/>
  <c r="Q435" i="4"/>
  <c r="P436" i="4"/>
  <c r="Q436" i="4"/>
  <c r="P437" i="4"/>
  <c r="Q437" i="4"/>
  <c r="P438" i="4"/>
  <c r="Q438" i="4"/>
  <c r="P439" i="4"/>
  <c r="Q439" i="4"/>
  <c r="P440" i="4"/>
  <c r="Q440" i="4"/>
  <c r="P441" i="4"/>
  <c r="Q441" i="4"/>
  <c r="P442" i="4"/>
  <c r="Q442" i="4"/>
  <c r="P443" i="4"/>
  <c r="Q443" i="4"/>
  <c r="P444" i="4"/>
  <c r="Q444" i="4"/>
  <c r="P445" i="4"/>
  <c r="Q445" i="4"/>
  <c r="P446" i="4"/>
  <c r="Q446" i="4"/>
  <c r="P447" i="4"/>
  <c r="Q447" i="4"/>
  <c r="P448" i="4"/>
  <c r="Q448" i="4"/>
  <c r="P449" i="4"/>
  <c r="Q449" i="4"/>
  <c r="P450" i="4"/>
  <c r="Q450" i="4"/>
  <c r="P451" i="4"/>
  <c r="Q451" i="4"/>
  <c r="P452" i="4"/>
  <c r="Q452" i="4"/>
  <c r="P453" i="4"/>
  <c r="Q453" i="4"/>
  <c r="P454" i="4"/>
  <c r="Q454" i="4"/>
  <c r="P455" i="4"/>
  <c r="Q455" i="4"/>
  <c r="P456" i="4"/>
  <c r="Q456" i="4"/>
  <c r="P457" i="4"/>
  <c r="Q457" i="4"/>
  <c r="P458" i="4"/>
  <c r="Q458" i="4"/>
  <c r="P459" i="4"/>
  <c r="Q459" i="4"/>
  <c r="P460" i="4"/>
  <c r="Q460" i="4"/>
  <c r="P461" i="4"/>
  <c r="Q461" i="4"/>
  <c r="P462" i="4"/>
  <c r="Q462" i="4"/>
  <c r="P463" i="4"/>
  <c r="Q463" i="4"/>
  <c r="P464" i="4"/>
  <c r="Q464" i="4"/>
  <c r="P465" i="4"/>
  <c r="Q465" i="4"/>
  <c r="P466" i="4"/>
  <c r="Q466" i="4"/>
  <c r="P467" i="4"/>
  <c r="Q467" i="4"/>
  <c r="P468" i="4"/>
  <c r="Q468" i="4"/>
  <c r="P469" i="4"/>
  <c r="Q469" i="4"/>
  <c r="P470" i="4"/>
  <c r="Q470" i="4"/>
  <c r="P471" i="4"/>
  <c r="Q471" i="4"/>
  <c r="P472" i="4"/>
  <c r="Q472" i="4"/>
  <c r="P473" i="4"/>
  <c r="Q473" i="4"/>
  <c r="P474" i="4"/>
  <c r="Q474" i="4"/>
  <c r="P475" i="4"/>
  <c r="Q475" i="4"/>
  <c r="P476" i="4"/>
  <c r="Q476" i="4"/>
  <c r="P477" i="4"/>
  <c r="Q477" i="4"/>
  <c r="P478" i="4"/>
  <c r="Q478" i="4"/>
  <c r="P479" i="4"/>
  <c r="Q479" i="4"/>
  <c r="P480" i="4"/>
  <c r="Q480" i="4"/>
  <c r="P481" i="4"/>
  <c r="Q481" i="4"/>
  <c r="P482" i="4"/>
  <c r="Q482" i="4"/>
  <c r="P483" i="4"/>
  <c r="Q483" i="4"/>
  <c r="P484" i="4"/>
  <c r="Q484" i="4"/>
  <c r="P485" i="4"/>
  <c r="Q485" i="4"/>
  <c r="P486" i="4"/>
  <c r="Q486" i="4"/>
  <c r="P487" i="4"/>
  <c r="Q487" i="4"/>
  <c r="P488" i="4"/>
  <c r="Q488" i="4"/>
  <c r="P489" i="4"/>
  <c r="Q489" i="4"/>
  <c r="P490" i="4"/>
  <c r="Q490" i="4"/>
  <c r="P491" i="4"/>
  <c r="Q491" i="4"/>
  <c r="P492" i="4"/>
  <c r="Q492" i="4"/>
  <c r="P493" i="4"/>
  <c r="Q493" i="4"/>
  <c r="P494" i="4"/>
  <c r="Q494" i="4"/>
  <c r="P495" i="4"/>
  <c r="Q495" i="4"/>
  <c r="P496" i="4"/>
  <c r="Q496" i="4"/>
  <c r="P497" i="4"/>
  <c r="Q497" i="4"/>
  <c r="P498" i="4"/>
  <c r="Q498" i="4"/>
  <c r="P499" i="4"/>
  <c r="Q499" i="4"/>
  <c r="P500" i="4"/>
  <c r="Q500" i="4"/>
  <c r="P501" i="4"/>
  <c r="Q501" i="4"/>
  <c r="P502" i="4"/>
  <c r="Q502" i="4"/>
  <c r="P503" i="4"/>
  <c r="Q503" i="4"/>
  <c r="P504" i="4"/>
  <c r="Q504" i="4"/>
  <c r="P505" i="4"/>
  <c r="Q505" i="4"/>
  <c r="P506" i="4"/>
  <c r="Q506" i="4"/>
  <c r="P507" i="4"/>
  <c r="Q507" i="4"/>
  <c r="P508" i="4"/>
  <c r="Q508" i="4"/>
  <c r="P509" i="4"/>
  <c r="Q509" i="4"/>
  <c r="P510" i="4"/>
  <c r="Q510" i="4"/>
  <c r="P511" i="4"/>
  <c r="Q511" i="4"/>
  <c r="P512" i="4"/>
  <c r="Q512" i="4"/>
  <c r="P513" i="4"/>
  <c r="Q513" i="4"/>
  <c r="P514" i="4"/>
  <c r="Q514" i="4"/>
  <c r="P515" i="4"/>
  <c r="Q515" i="4"/>
  <c r="P516" i="4"/>
  <c r="Q516" i="4"/>
  <c r="P517" i="4"/>
  <c r="Q517" i="4"/>
  <c r="P518" i="4"/>
  <c r="Q518" i="4"/>
  <c r="P519" i="4"/>
  <c r="Q519" i="4"/>
  <c r="P520" i="4"/>
  <c r="Q520" i="4"/>
  <c r="P521" i="4"/>
  <c r="Q521" i="4"/>
  <c r="P522" i="4"/>
  <c r="Q522" i="4"/>
  <c r="P523" i="4"/>
  <c r="Q523" i="4"/>
  <c r="P524" i="4"/>
  <c r="Q524" i="4"/>
  <c r="P525" i="4"/>
  <c r="Q525" i="4"/>
  <c r="P526" i="4"/>
  <c r="Q526" i="4"/>
  <c r="P527" i="4"/>
  <c r="Q527" i="4"/>
  <c r="P528" i="4"/>
  <c r="Q528" i="4"/>
  <c r="P529" i="4"/>
  <c r="Q529" i="4"/>
  <c r="P530" i="4"/>
  <c r="Q530" i="4"/>
  <c r="P531" i="4"/>
  <c r="Q531" i="4"/>
  <c r="P532" i="4"/>
  <c r="Q532" i="4"/>
  <c r="P533" i="4"/>
  <c r="Q533" i="4"/>
  <c r="P534" i="4"/>
  <c r="Q534" i="4"/>
  <c r="P535" i="4"/>
  <c r="Q535" i="4"/>
  <c r="P536" i="4"/>
  <c r="Q536" i="4"/>
  <c r="P537" i="4"/>
  <c r="Q537" i="4"/>
  <c r="P538" i="4"/>
  <c r="Q538" i="4"/>
  <c r="P539" i="4"/>
  <c r="Q539" i="4"/>
  <c r="P540" i="4"/>
  <c r="Q540" i="4"/>
  <c r="P541" i="4"/>
  <c r="Q541" i="4"/>
  <c r="P542" i="4"/>
  <c r="Q542" i="4"/>
  <c r="P543" i="4"/>
  <c r="Q543" i="4"/>
  <c r="P544" i="4"/>
  <c r="Q544" i="4"/>
  <c r="P545" i="4"/>
  <c r="Q545" i="4"/>
  <c r="P546" i="4"/>
  <c r="Q546" i="4"/>
  <c r="P547" i="4"/>
  <c r="Q547" i="4"/>
  <c r="P548" i="4"/>
  <c r="Q548" i="4"/>
  <c r="P549" i="4"/>
  <c r="Q549" i="4"/>
  <c r="P550" i="4"/>
  <c r="Q550" i="4"/>
  <c r="P551" i="4"/>
  <c r="Q551" i="4"/>
  <c r="P552" i="4"/>
  <c r="Q552" i="4"/>
  <c r="P553" i="4"/>
  <c r="Q553" i="4"/>
  <c r="P554" i="4"/>
  <c r="Q554" i="4"/>
  <c r="P555" i="4"/>
  <c r="Q555" i="4"/>
  <c r="P556" i="4"/>
  <c r="Q556" i="4"/>
  <c r="P557" i="4"/>
  <c r="Q557" i="4"/>
  <c r="P558" i="4"/>
  <c r="Q558" i="4"/>
  <c r="P559" i="4"/>
  <c r="Q559" i="4"/>
  <c r="P560" i="4"/>
  <c r="Q560" i="4"/>
  <c r="P561" i="4"/>
  <c r="Q561" i="4"/>
  <c r="P562" i="4"/>
  <c r="Q562" i="4"/>
  <c r="P563" i="4"/>
  <c r="Q563" i="4"/>
  <c r="P564" i="4"/>
  <c r="Q564" i="4"/>
  <c r="P565" i="4"/>
  <c r="Q565" i="4"/>
  <c r="P566" i="4"/>
  <c r="Q566" i="4"/>
  <c r="P567" i="4"/>
  <c r="Q567" i="4"/>
  <c r="P568" i="4"/>
  <c r="Q568" i="4"/>
  <c r="P569" i="4"/>
  <c r="Q569" i="4"/>
  <c r="P570" i="4"/>
  <c r="Q570" i="4"/>
  <c r="P571" i="4"/>
  <c r="Q571" i="4"/>
  <c r="P572" i="4"/>
  <c r="Q572" i="4"/>
  <c r="P573" i="4"/>
  <c r="Q573" i="4"/>
  <c r="P574" i="4"/>
  <c r="Q574" i="4"/>
  <c r="P575" i="4"/>
  <c r="Q575" i="4"/>
  <c r="P576" i="4"/>
  <c r="Q576" i="4"/>
  <c r="P577" i="4"/>
  <c r="Q577" i="4"/>
  <c r="P578" i="4"/>
  <c r="Q578" i="4"/>
  <c r="P579" i="4"/>
  <c r="Q579" i="4"/>
  <c r="P580" i="4"/>
  <c r="Q580" i="4"/>
  <c r="P581" i="4"/>
  <c r="Q581" i="4"/>
  <c r="P582" i="4"/>
  <c r="Q582" i="4"/>
  <c r="P583" i="4"/>
  <c r="Q583" i="4"/>
  <c r="P584" i="4"/>
  <c r="Q584" i="4"/>
  <c r="P585" i="4"/>
  <c r="Q585" i="4"/>
  <c r="P586" i="4"/>
  <c r="Q586" i="4"/>
  <c r="P587" i="4"/>
  <c r="Q587" i="4"/>
  <c r="P588" i="4"/>
  <c r="Q588" i="4"/>
  <c r="P589" i="4"/>
  <c r="Q589" i="4"/>
  <c r="P590" i="4"/>
  <c r="Q590" i="4"/>
  <c r="P591" i="4"/>
  <c r="Q591" i="4"/>
  <c r="P592" i="4"/>
  <c r="Q592" i="4"/>
  <c r="P593" i="4"/>
  <c r="Q593" i="4"/>
  <c r="P594" i="4"/>
  <c r="Q594" i="4"/>
  <c r="P595" i="4"/>
  <c r="Q595" i="4"/>
  <c r="P596" i="4"/>
  <c r="Q596" i="4"/>
  <c r="P597" i="4"/>
  <c r="Q597" i="4"/>
  <c r="P598" i="4"/>
  <c r="Q598" i="4"/>
  <c r="P599" i="4"/>
  <c r="Q599" i="4"/>
  <c r="P600" i="4"/>
  <c r="Q600" i="4"/>
  <c r="P601" i="4"/>
  <c r="Q601" i="4"/>
  <c r="P602" i="4"/>
  <c r="Q602" i="4"/>
  <c r="P603" i="4"/>
  <c r="Q603" i="4"/>
  <c r="P604" i="4"/>
  <c r="Q604" i="4"/>
  <c r="P605" i="4"/>
  <c r="Q605" i="4"/>
  <c r="P606" i="4"/>
  <c r="Q606" i="4"/>
  <c r="P607" i="4"/>
  <c r="Q607" i="4"/>
  <c r="P608" i="4"/>
  <c r="Q608" i="4"/>
  <c r="P609" i="4"/>
  <c r="Q609" i="4"/>
  <c r="P610" i="4"/>
  <c r="Q610" i="4"/>
  <c r="P611" i="4"/>
  <c r="Q611" i="4"/>
  <c r="P612" i="4"/>
  <c r="Q612" i="4"/>
  <c r="P613" i="4"/>
  <c r="Q613" i="4"/>
  <c r="P614" i="4"/>
  <c r="Q614" i="4"/>
  <c r="P615" i="4"/>
  <c r="Q615" i="4"/>
  <c r="P616" i="4"/>
  <c r="Q616" i="4"/>
  <c r="P617" i="4"/>
  <c r="Q617" i="4"/>
  <c r="P618" i="4"/>
  <c r="Q618" i="4"/>
  <c r="P619" i="4"/>
  <c r="Q619" i="4"/>
  <c r="P620" i="4"/>
  <c r="Q620" i="4"/>
  <c r="P621" i="4"/>
  <c r="Q621" i="4"/>
  <c r="P622" i="4"/>
  <c r="Q622" i="4"/>
  <c r="P623" i="4"/>
  <c r="Q623" i="4"/>
  <c r="P624" i="4"/>
  <c r="Q624" i="4"/>
  <c r="P625" i="4"/>
  <c r="Q625" i="4"/>
  <c r="P626" i="4"/>
  <c r="Q626" i="4"/>
  <c r="P627" i="4"/>
  <c r="Q627" i="4"/>
  <c r="P628" i="4"/>
  <c r="Q628" i="4"/>
  <c r="P629" i="4"/>
  <c r="Q629" i="4"/>
  <c r="P630" i="4"/>
  <c r="Q630" i="4"/>
  <c r="P631" i="4"/>
  <c r="Q631" i="4"/>
  <c r="P632" i="4"/>
  <c r="Q632" i="4"/>
  <c r="P633" i="4"/>
  <c r="Q633" i="4"/>
  <c r="P634" i="4"/>
  <c r="Q634" i="4"/>
  <c r="P635" i="4"/>
  <c r="Q635" i="4"/>
  <c r="P636" i="4"/>
  <c r="Q636" i="4"/>
  <c r="P637" i="4"/>
  <c r="Q637" i="4"/>
  <c r="P638" i="4"/>
  <c r="Q638" i="4"/>
  <c r="P639" i="4"/>
  <c r="Q639" i="4"/>
  <c r="P640" i="4"/>
  <c r="Q640" i="4"/>
  <c r="P641" i="4"/>
  <c r="Q641" i="4"/>
  <c r="P642" i="4"/>
  <c r="Q642" i="4"/>
  <c r="P643" i="4"/>
  <c r="Q643" i="4"/>
  <c r="P644" i="4"/>
  <c r="Q644" i="4"/>
  <c r="P645" i="4"/>
  <c r="Q645" i="4"/>
  <c r="P646" i="4"/>
  <c r="Q646" i="4"/>
  <c r="P647" i="4"/>
  <c r="Q647" i="4"/>
  <c r="P648" i="4"/>
  <c r="Q648" i="4"/>
  <c r="P649" i="4"/>
  <c r="Q649" i="4"/>
  <c r="P650" i="4"/>
  <c r="Q650" i="4"/>
  <c r="P651" i="4"/>
  <c r="Q651" i="4"/>
  <c r="P652" i="4"/>
  <c r="Q652" i="4"/>
  <c r="P653" i="4"/>
  <c r="Q653" i="4"/>
  <c r="P654" i="4"/>
  <c r="Q654" i="4"/>
  <c r="P655" i="4"/>
  <c r="Q655" i="4"/>
  <c r="P656" i="4"/>
  <c r="Q656" i="4"/>
  <c r="P657" i="4"/>
  <c r="Q657" i="4"/>
  <c r="P658" i="4"/>
  <c r="Q658" i="4"/>
  <c r="P659" i="4"/>
  <c r="Q659" i="4"/>
  <c r="P660" i="4"/>
  <c r="Q660" i="4"/>
  <c r="P661" i="4"/>
  <c r="Q661" i="4"/>
  <c r="P662" i="4"/>
  <c r="Q662" i="4"/>
  <c r="P663" i="4"/>
  <c r="Q663" i="4"/>
  <c r="P664" i="4"/>
  <c r="Q664" i="4"/>
  <c r="P665" i="4"/>
  <c r="Q665" i="4"/>
  <c r="P666" i="4"/>
  <c r="Q666" i="4"/>
  <c r="P667" i="4"/>
  <c r="Q667" i="4"/>
  <c r="P668" i="4"/>
  <c r="Q668" i="4"/>
  <c r="P669" i="4"/>
  <c r="Q669" i="4"/>
  <c r="P670" i="4"/>
  <c r="Q670" i="4"/>
  <c r="P671" i="4"/>
  <c r="Q671" i="4"/>
  <c r="P672" i="4"/>
  <c r="Q672" i="4"/>
  <c r="P673" i="4"/>
  <c r="Q673" i="4"/>
  <c r="P674" i="4"/>
  <c r="Q674" i="4"/>
  <c r="P675" i="4"/>
  <c r="Q675" i="4"/>
  <c r="P676" i="4"/>
  <c r="Q676" i="4"/>
  <c r="P677" i="4"/>
  <c r="Q677" i="4"/>
  <c r="P678" i="4"/>
  <c r="Q678" i="4"/>
  <c r="P679" i="4"/>
  <c r="Q679" i="4"/>
  <c r="P680" i="4"/>
  <c r="Q680" i="4"/>
  <c r="P681" i="4"/>
  <c r="Q681" i="4"/>
  <c r="P682" i="4"/>
  <c r="Q682" i="4"/>
  <c r="P683" i="4"/>
  <c r="Q683" i="4"/>
  <c r="P684" i="4"/>
  <c r="Q684" i="4"/>
  <c r="P685" i="4"/>
  <c r="Q685" i="4"/>
  <c r="P686" i="4"/>
  <c r="Q686" i="4"/>
  <c r="P687" i="4"/>
  <c r="Q687" i="4"/>
  <c r="P688" i="4"/>
  <c r="Q688" i="4"/>
  <c r="P689" i="4"/>
  <c r="Q689" i="4"/>
  <c r="P690" i="4"/>
  <c r="Q690" i="4"/>
  <c r="P691" i="4"/>
  <c r="Q691" i="4"/>
  <c r="P692" i="4"/>
  <c r="Q692" i="4"/>
  <c r="P693" i="4"/>
  <c r="Q693" i="4"/>
  <c r="P694" i="4"/>
  <c r="Q694" i="4"/>
  <c r="P695" i="4"/>
  <c r="Q695" i="4"/>
  <c r="P696" i="4"/>
  <c r="Q696" i="4"/>
  <c r="P697" i="4"/>
  <c r="Q697" i="4"/>
  <c r="P698" i="4"/>
  <c r="Q698" i="4"/>
  <c r="P699" i="4"/>
  <c r="Q699" i="4"/>
  <c r="P700" i="4"/>
  <c r="Q700" i="4"/>
  <c r="P701" i="4"/>
  <c r="Q701" i="4"/>
  <c r="P702" i="4"/>
  <c r="Q702" i="4"/>
  <c r="P703" i="4"/>
  <c r="Q703" i="4"/>
  <c r="P704" i="4"/>
  <c r="Q704" i="4"/>
  <c r="P705" i="4"/>
  <c r="Q705" i="4"/>
  <c r="P706" i="4"/>
  <c r="Q706" i="4"/>
  <c r="P707" i="4"/>
  <c r="Q707" i="4"/>
  <c r="P708" i="4"/>
  <c r="Q708" i="4"/>
  <c r="P709" i="4"/>
  <c r="Q709" i="4"/>
  <c r="P710" i="4"/>
  <c r="Q710" i="4"/>
  <c r="P711" i="4"/>
  <c r="Q711" i="4"/>
  <c r="P712" i="4"/>
  <c r="Q712" i="4"/>
  <c r="P713" i="4"/>
  <c r="Q713" i="4"/>
  <c r="P714" i="4"/>
  <c r="Q714" i="4"/>
  <c r="P715" i="4"/>
  <c r="Q715" i="4"/>
  <c r="P716" i="4"/>
  <c r="Q716" i="4"/>
  <c r="P717" i="4"/>
  <c r="Q717" i="4"/>
  <c r="P718" i="4"/>
  <c r="Q718" i="4"/>
  <c r="P719" i="4"/>
  <c r="Q719" i="4"/>
  <c r="P720" i="4"/>
  <c r="Q720" i="4"/>
  <c r="P721" i="4"/>
  <c r="Q721" i="4"/>
  <c r="P722" i="4"/>
  <c r="Q722" i="4"/>
  <c r="P723" i="4"/>
  <c r="Q723" i="4"/>
  <c r="P724" i="4"/>
  <c r="Q724" i="4"/>
  <c r="P725" i="4"/>
  <c r="Q725" i="4"/>
  <c r="P726" i="4"/>
  <c r="Q726" i="4"/>
  <c r="P727" i="4"/>
  <c r="Q727" i="4"/>
  <c r="P728" i="4"/>
  <c r="Q728" i="4"/>
  <c r="P729" i="4"/>
  <c r="Q729" i="4"/>
  <c r="P730" i="4"/>
  <c r="Q730" i="4"/>
  <c r="P731" i="4"/>
  <c r="Q731" i="4"/>
  <c r="P732" i="4"/>
  <c r="Q732" i="4"/>
  <c r="P733" i="4"/>
  <c r="Q733" i="4"/>
  <c r="P734" i="4"/>
  <c r="Q734" i="4"/>
  <c r="P735" i="4"/>
  <c r="Q735" i="4"/>
  <c r="P736" i="4"/>
  <c r="Q736" i="4"/>
  <c r="P737" i="4"/>
  <c r="Q737" i="4"/>
  <c r="P738" i="4"/>
  <c r="Q738" i="4"/>
  <c r="P739" i="4"/>
  <c r="Q739" i="4"/>
  <c r="P740" i="4"/>
  <c r="Q740" i="4"/>
  <c r="P741" i="4"/>
  <c r="Q741" i="4"/>
  <c r="P742" i="4"/>
  <c r="Q742" i="4"/>
  <c r="P743" i="4"/>
  <c r="Q743" i="4"/>
  <c r="P744" i="4"/>
  <c r="Q744" i="4"/>
  <c r="P745" i="4"/>
  <c r="Q745" i="4"/>
  <c r="P746" i="4"/>
  <c r="Q746" i="4"/>
  <c r="P747" i="4"/>
  <c r="Q747" i="4"/>
  <c r="P748" i="4"/>
  <c r="Q748" i="4"/>
  <c r="P749" i="4"/>
  <c r="Q749" i="4"/>
  <c r="P750" i="4"/>
  <c r="Q750" i="4"/>
  <c r="P751" i="4"/>
  <c r="Q751" i="4"/>
  <c r="P752" i="4"/>
  <c r="Q752" i="4"/>
  <c r="P753" i="4"/>
  <c r="Q753" i="4"/>
  <c r="P754" i="4"/>
  <c r="Q754" i="4"/>
  <c r="P755" i="4"/>
  <c r="Q755" i="4"/>
  <c r="P756" i="4"/>
  <c r="Q756" i="4"/>
  <c r="P757" i="4"/>
  <c r="Q757" i="4"/>
  <c r="P758" i="4"/>
  <c r="Q758" i="4"/>
  <c r="P759" i="4"/>
  <c r="Q759" i="4"/>
  <c r="P760" i="4"/>
  <c r="Q760" i="4"/>
  <c r="P761" i="4"/>
  <c r="Q761" i="4"/>
  <c r="P762" i="4"/>
  <c r="Q762" i="4"/>
  <c r="P763" i="4"/>
  <c r="Q763" i="4"/>
  <c r="P764" i="4"/>
  <c r="Q764" i="4"/>
  <c r="P765" i="4"/>
  <c r="Q765" i="4"/>
  <c r="P766" i="4"/>
  <c r="Q766" i="4"/>
  <c r="P767" i="4"/>
  <c r="Q767" i="4"/>
  <c r="P768" i="4"/>
  <c r="Q768" i="4"/>
  <c r="P769" i="4"/>
  <c r="Q769" i="4"/>
  <c r="P770" i="4"/>
  <c r="Q770" i="4"/>
  <c r="P771" i="4"/>
  <c r="Q771" i="4"/>
  <c r="P772" i="4"/>
  <c r="Q772" i="4"/>
  <c r="P773" i="4"/>
  <c r="Q773" i="4"/>
  <c r="P774" i="4"/>
  <c r="Q774" i="4"/>
  <c r="P775" i="4"/>
  <c r="Q775" i="4"/>
  <c r="P776" i="4"/>
  <c r="Q776" i="4"/>
  <c r="P777" i="4"/>
  <c r="Q777" i="4"/>
  <c r="P778" i="4"/>
  <c r="Q778" i="4"/>
  <c r="P779" i="4"/>
  <c r="Q779" i="4"/>
  <c r="P780" i="4"/>
  <c r="Q780" i="4"/>
  <c r="P781" i="4"/>
  <c r="Q781" i="4"/>
  <c r="P782" i="4"/>
  <c r="Q782" i="4"/>
  <c r="P783" i="4"/>
  <c r="Q783" i="4"/>
  <c r="P784" i="4"/>
  <c r="Q784" i="4"/>
  <c r="P785" i="4"/>
  <c r="Q785" i="4"/>
  <c r="P786" i="4"/>
  <c r="Q786" i="4"/>
  <c r="P787" i="4"/>
  <c r="Q787" i="4"/>
  <c r="P788" i="4"/>
  <c r="Q788" i="4"/>
  <c r="P789" i="4"/>
  <c r="Q789" i="4"/>
  <c r="P790" i="4"/>
  <c r="Q790" i="4"/>
  <c r="P791" i="4"/>
  <c r="Q791" i="4"/>
  <c r="P792" i="4"/>
  <c r="Q792" i="4"/>
  <c r="P793" i="4"/>
  <c r="Q793" i="4"/>
  <c r="P794" i="4"/>
  <c r="Q794" i="4"/>
  <c r="P795" i="4"/>
  <c r="Q795" i="4"/>
  <c r="P796" i="4"/>
  <c r="Q796" i="4"/>
  <c r="P797" i="4"/>
  <c r="Q797" i="4"/>
  <c r="P798" i="4"/>
  <c r="Q798" i="4"/>
  <c r="P799" i="4"/>
  <c r="Q799" i="4"/>
  <c r="P800" i="4"/>
  <c r="Q800" i="4"/>
  <c r="P801" i="4"/>
  <c r="Q801" i="4"/>
  <c r="P802" i="4"/>
  <c r="Q802" i="4"/>
  <c r="P803" i="4"/>
  <c r="Q803" i="4"/>
  <c r="P804" i="4"/>
  <c r="Q804" i="4"/>
  <c r="P805" i="4"/>
  <c r="Q805" i="4"/>
  <c r="P806" i="4"/>
  <c r="Q806" i="4"/>
  <c r="P807" i="4"/>
  <c r="Q807" i="4"/>
  <c r="P808" i="4"/>
  <c r="Q808" i="4"/>
  <c r="P809" i="4"/>
  <c r="Q809" i="4"/>
  <c r="P810" i="4"/>
  <c r="Q810" i="4"/>
  <c r="P811" i="4"/>
  <c r="Q811" i="4"/>
  <c r="P812" i="4"/>
  <c r="Q812" i="4"/>
  <c r="P813" i="4"/>
  <c r="Q813" i="4"/>
  <c r="P814" i="4"/>
  <c r="Q814" i="4"/>
  <c r="P815" i="4"/>
  <c r="Q815" i="4"/>
  <c r="P816" i="4"/>
  <c r="Q816" i="4"/>
  <c r="P817" i="4"/>
  <c r="Q817" i="4"/>
  <c r="P818" i="4"/>
  <c r="Q818" i="4"/>
  <c r="P819" i="4"/>
  <c r="Q819" i="4"/>
  <c r="P820" i="4"/>
  <c r="Q820" i="4"/>
  <c r="P821" i="4"/>
  <c r="Q821" i="4"/>
  <c r="P822" i="4"/>
  <c r="Q822" i="4"/>
  <c r="P823" i="4"/>
  <c r="Q823" i="4"/>
  <c r="P824" i="4"/>
  <c r="Q824" i="4"/>
  <c r="P825" i="4"/>
  <c r="Q825" i="4"/>
  <c r="P826" i="4"/>
  <c r="Q826" i="4"/>
  <c r="P827" i="4"/>
  <c r="Q827" i="4"/>
  <c r="P828" i="4"/>
  <c r="Q828" i="4"/>
  <c r="P829" i="4"/>
  <c r="Q829" i="4"/>
  <c r="P830" i="4"/>
  <c r="Q830" i="4"/>
  <c r="P831" i="4"/>
  <c r="Q831" i="4"/>
  <c r="P832" i="4"/>
  <c r="Q832" i="4"/>
  <c r="P833" i="4"/>
  <c r="Q833" i="4"/>
  <c r="P834" i="4"/>
  <c r="Q834" i="4"/>
  <c r="P835" i="4"/>
  <c r="Q835" i="4"/>
  <c r="P836" i="4"/>
  <c r="Q836" i="4"/>
  <c r="P837" i="4"/>
  <c r="Q837" i="4"/>
  <c r="P838" i="4"/>
  <c r="Q838" i="4"/>
  <c r="P839" i="4"/>
  <c r="Q839" i="4"/>
  <c r="P840" i="4"/>
  <c r="Q840" i="4"/>
  <c r="P841" i="4"/>
  <c r="Q841" i="4"/>
  <c r="P842" i="4"/>
  <c r="Q842" i="4"/>
  <c r="P843" i="4"/>
  <c r="Q843" i="4"/>
  <c r="P844" i="4"/>
  <c r="Q844" i="4"/>
  <c r="P845" i="4"/>
  <c r="Q845" i="4"/>
  <c r="P846" i="4"/>
  <c r="Q846" i="4"/>
  <c r="P847" i="4"/>
  <c r="Q847" i="4"/>
  <c r="P848" i="4"/>
  <c r="Q848" i="4"/>
  <c r="P849" i="4"/>
  <c r="Q849" i="4"/>
  <c r="P850" i="4"/>
  <c r="Q850" i="4"/>
  <c r="P851" i="4"/>
  <c r="Q851" i="4"/>
  <c r="P852" i="4"/>
  <c r="Q852" i="4"/>
  <c r="P853" i="4"/>
  <c r="Q853" i="4"/>
  <c r="P854" i="4"/>
  <c r="Q854" i="4"/>
  <c r="P855" i="4"/>
  <c r="Q855" i="4"/>
  <c r="P856" i="4"/>
  <c r="Q856" i="4"/>
  <c r="P857" i="4"/>
  <c r="Q857" i="4"/>
  <c r="P858" i="4"/>
  <c r="Q858" i="4"/>
  <c r="P859" i="4"/>
  <c r="Q859" i="4"/>
  <c r="P860" i="4"/>
  <c r="Q860" i="4"/>
  <c r="P861" i="4"/>
  <c r="Q861" i="4"/>
  <c r="P862" i="4"/>
  <c r="Q862" i="4"/>
  <c r="P863" i="4"/>
  <c r="Q863" i="4"/>
  <c r="P864" i="4"/>
  <c r="Q864" i="4"/>
  <c r="P865" i="4"/>
  <c r="Q865" i="4"/>
  <c r="P866" i="4"/>
  <c r="Q866" i="4"/>
  <c r="P867" i="4"/>
  <c r="Q867" i="4"/>
  <c r="P868" i="4"/>
  <c r="Q868" i="4"/>
  <c r="P869" i="4"/>
  <c r="Q869" i="4"/>
  <c r="P870" i="4"/>
  <c r="Q870" i="4"/>
  <c r="P871" i="4"/>
  <c r="Q871" i="4"/>
  <c r="P872" i="4"/>
  <c r="Q872" i="4"/>
  <c r="P873" i="4"/>
  <c r="Q873" i="4"/>
  <c r="P874" i="4"/>
  <c r="Q874" i="4"/>
  <c r="P875" i="4"/>
  <c r="Q875" i="4"/>
  <c r="P876" i="4"/>
  <c r="Q876" i="4"/>
  <c r="P877" i="4"/>
  <c r="Q877" i="4"/>
  <c r="P878" i="4"/>
  <c r="Q878" i="4"/>
  <c r="P879" i="4"/>
  <c r="Q879" i="4"/>
  <c r="P880" i="4"/>
  <c r="Q880" i="4"/>
  <c r="P881" i="4"/>
  <c r="Q881" i="4"/>
  <c r="P882" i="4"/>
  <c r="Q882" i="4"/>
  <c r="P883" i="4"/>
  <c r="Q883" i="4"/>
  <c r="P884" i="4"/>
  <c r="Q884" i="4"/>
  <c r="P885" i="4"/>
  <c r="Q885" i="4"/>
  <c r="P886" i="4"/>
  <c r="Q886" i="4"/>
  <c r="P887" i="4"/>
  <c r="Q887" i="4"/>
  <c r="P888" i="4"/>
  <c r="Q888" i="4"/>
  <c r="P889" i="4"/>
  <c r="Q889" i="4"/>
  <c r="P890" i="4"/>
  <c r="Q890" i="4"/>
  <c r="P891" i="4"/>
  <c r="Q891" i="4"/>
  <c r="P892" i="4"/>
  <c r="Q892" i="4"/>
  <c r="P893" i="4"/>
  <c r="Q893" i="4"/>
  <c r="P894" i="4"/>
  <c r="Q894" i="4"/>
  <c r="P895" i="4"/>
  <c r="Q895" i="4"/>
  <c r="P896" i="4"/>
  <c r="Q896" i="4"/>
  <c r="P897" i="4"/>
  <c r="Q897" i="4"/>
  <c r="P898" i="4"/>
  <c r="Q898" i="4"/>
  <c r="P899" i="4"/>
  <c r="Q899" i="4"/>
  <c r="P900" i="4"/>
  <c r="Q900" i="4"/>
  <c r="P901" i="4"/>
  <c r="Q901" i="4"/>
  <c r="P902" i="4"/>
  <c r="Q902" i="4"/>
  <c r="P903" i="4"/>
  <c r="Q903" i="4"/>
  <c r="P904" i="4"/>
  <c r="Q904" i="4"/>
  <c r="P905" i="4"/>
  <c r="Q905" i="4"/>
  <c r="P906" i="4"/>
  <c r="Q906" i="4"/>
  <c r="P907" i="4"/>
  <c r="Q907" i="4"/>
  <c r="P908" i="4"/>
  <c r="Q908" i="4"/>
  <c r="P909" i="4"/>
  <c r="Q909" i="4"/>
  <c r="P910" i="4"/>
  <c r="Q910" i="4"/>
  <c r="P911" i="4"/>
  <c r="Q911" i="4"/>
  <c r="P912" i="4"/>
  <c r="Q912" i="4"/>
  <c r="P913" i="4"/>
  <c r="Q913" i="4"/>
  <c r="P914" i="4"/>
  <c r="Q914" i="4"/>
  <c r="P915" i="4"/>
  <c r="Q915" i="4"/>
  <c r="P916" i="4"/>
  <c r="Q916" i="4"/>
  <c r="P917" i="4"/>
  <c r="Q917" i="4"/>
  <c r="P918" i="4"/>
  <c r="Q918" i="4"/>
  <c r="P919" i="4"/>
  <c r="Q919" i="4"/>
  <c r="P920" i="4"/>
  <c r="Q920" i="4"/>
  <c r="P921" i="4"/>
  <c r="Q921" i="4"/>
  <c r="P922" i="4"/>
  <c r="Q922" i="4"/>
  <c r="P923" i="4"/>
  <c r="Q923" i="4"/>
  <c r="P924" i="4"/>
  <c r="Q924" i="4"/>
  <c r="P925" i="4"/>
  <c r="Q925" i="4"/>
  <c r="P926" i="4"/>
  <c r="Q926" i="4"/>
  <c r="P927" i="4"/>
  <c r="Q927" i="4"/>
  <c r="P928" i="4"/>
  <c r="Q928" i="4"/>
  <c r="P929" i="4"/>
  <c r="Q929" i="4"/>
  <c r="P930" i="4"/>
  <c r="Q930" i="4"/>
  <c r="P931" i="4"/>
  <c r="Q931" i="4"/>
  <c r="P932" i="4"/>
  <c r="Q932" i="4"/>
  <c r="P933" i="4"/>
  <c r="Q933" i="4"/>
  <c r="P934" i="4"/>
  <c r="Q934" i="4"/>
  <c r="P935" i="4"/>
  <c r="Q935" i="4"/>
  <c r="P936" i="4"/>
  <c r="Q936" i="4"/>
  <c r="P937" i="4"/>
  <c r="Q937" i="4"/>
  <c r="P938" i="4"/>
  <c r="Q938" i="4"/>
  <c r="P939" i="4"/>
  <c r="Q939" i="4"/>
  <c r="P940" i="4"/>
  <c r="Q940" i="4"/>
  <c r="P941" i="4"/>
  <c r="Q941" i="4"/>
  <c r="P942" i="4"/>
  <c r="Q942" i="4"/>
  <c r="P943" i="4"/>
  <c r="Q943" i="4"/>
  <c r="P944" i="4"/>
  <c r="Q944" i="4"/>
  <c r="P945" i="4"/>
  <c r="Q945" i="4"/>
  <c r="P946" i="4"/>
  <c r="Q946" i="4"/>
  <c r="P947" i="4"/>
  <c r="Q947" i="4"/>
  <c r="P948" i="4"/>
  <c r="Q948" i="4"/>
  <c r="P949" i="4"/>
  <c r="Q949" i="4"/>
  <c r="P950" i="4"/>
  <c r="Q950" i="4"/>
  <c r="P951" i="4"/>
  <c r="Q951" i="4"/>
  <c r="P952" i="4"/>
  <c r="Q952" i="4"/>
  <c r="P953" i="4"/>
  <c r="Q953" i="4"/>
  <c r="P954" i="4"/>
  <c r="Q954" i="4"/>
  <c r="P955" i="4"/>
  <c r="Q955" i="4"/>
  <c r="P956" i="4"/>
  <c r="Q956" i="4"/>
  <c r="P957" i="4"/>
  <c r="Q957" i="4"/>
  <c r="P958" i="4"/>
  <c r="Q958" i="4"/>
  <c r="P959" i="4"/>
  <c r="Q959" i="4"/>
  <c r="P960" i="4"/>
  <c r="Q960" i="4"/>
  <c r="P961" i="4"/>
  <c r="Q961" i="4"/>
  <c r="P962" i="4"/>
  <c r="Q962" i="4"/>
  <c r="P963" i="4"/>
  <c r="Q963" i="4"/>
  <c r="P964" i="4"/>
  <c r="Q964" i="4"/>
  <c r="P965" i="4"/>
  <c r="Q965" i="4"/>
  <c r="P966" i="4"/>
  <c r="Q966" i="4"/>
  <c r="P967" i="4"/>
  <c r="Q967" i="4"/>
  <c r="P968" i="4"/>
  <c r="Q968" i="4"/>
  <c r="P969" i="4"/>
  <c r="Q969" i="4"/>
  <c r="P970" i="4"/>
  <c r="Q970" i="4"/>
  <c r="P971" i="4"/>
  <c r="Q971" i="4"/>
  <c r="P972" i="4"/>
  <c r="Q972" i="4"/>
  <c r="P973" i="4"/>
  <c r="Q973" i="4"/>
  <c r="P974" i="4"/>
  <c r="Q974" i="4"/>
  <c r="P975" i="4"/>
  <c r="Q975" i="4"/>
  <c r="P976" i="4"/>
  <c r="Q976" i="4"/>
  <c r="P977" i="4"/>
  <c r="Q977" i="4"/>
  <c r="P978" i="4"/>
  <c r="Q978" i="4"/>
  <c r="P979" i="4"/>
  <c r="Q979" i="4"/>
  <c r="P980" i="4"/>
  <c r="Q980" i="4"/>
  <c r="P981" i="4"/>
  <c r="Q981" i="4"/>
  <c r="P5" i="4"/>
  <c r="P6" i="4"/>
  <c r="P7" i="4"/>
  <c r="P8" i="4"/>
  <c r="P9" i="4"/>
  <c r="P10" i="4"/>
  <c r="P11" i="4"/>
  <c r="P12" i="4"/>
  <c r="P13" i="4"/>
  <c r="P14" i="4"/>
  <c r="P15" i="4"/>
  <c r="P16" i="4"/>
  <c r="P17" i="4"/>
  <c r="P18" i="4"/>
  <c r="P19" i="4"/>
  <c r="P20" i="4"/>
  <c r="P21" i="4"/>
  <c r="P22" i="4"/>
  <c r="P23" i="4"/>
  <c r="P24" i="4"/>
  <c r="P25" i="4"/>
  <c r="Q25" i="4"/>
  <c r="R25" i="4" s="1"/>
  <c r="P26" i="4"/>
  <c r="Q26" i="4"/>
  <c r="P27" i="4"/>
  <c r="Q27" i="4"/>
  <c r="T27" i="4" s="1"/>
  <c r="P28" i="4"/>
  <c r="Q28" i="4"/>
  <c r="P29" i="4"/>
  <c r="Q29" i="4"/>
  <c r="P30" i="4"/>
  <c r="Q30" i="4"/>
  <c r="P31" i="4"/>
  <c r="Q31" i="4"/>
  <c r="P32" i="4"/>
  <c r="Q32" i="4"/>
  <c r="T32" i="4" s="1"/>
  <c r="P33" i="4"/>
  <c r="Q33" i="4"/>
  <c r="P34" i="4"/>
  <c r="Q34" i="4"/>
  <c r="P35" i="4"/>
  <c r="Q35" i="4"/>
  <c r="P36" i="4"/>
  <c r="Q36" i="4"/>
  <c r="T36" i="4" s="1"/>
  <c r="P37" i="4"/>
  <c r="Q37" i="4"/>
  <c r="P38" i="4"/>
  <c r="Q38" i="4"/>
  <c r="P39" i="4"/>
  <c r="Q39" i="4"/>
  <c r="T39" i="4" s="1"/>
  <c r="P4" i="4"/>
  <c r="O38" i="4" l="1"/>
  <c r="AR38" i="4" s="1"/>
  <c r="T28" i="4"/>
  <c r="R28" i="4"/>
  <c r="T59" i="4"/>
  <c r="R59" i="4"/>
  <c r="O30" i="4"/>
  <c r="AR30" i="4" s="1"/>
  <c r="T30" i="4"/>
  <c r="O26" i="4"/>
  <c r="AR26" i="4" s="1"/>
  <c r="T26" i="4"/>
  <c r="T56" i="4"/>
  <c r="R56" i="4"/>
  <c r="O34" i="4"/>
  <c r="AR34" i="4" s="1"/>
  <c r="T37" i="4"/>
  <c r="R37" i="4"/>
  <c r="T29" i="4"/>
  <c r="R29" i="4"/>
  <c r="Z10" i="4" s="1"/>
  <c r="T25" i="4"/>
  <c r="AB10" i="4"/>
  <c r="AC9" i="14" s="1"/>
  <c r="I12" i="14" s="1"/>
  <c r="AB9" i="13"/>
  <c r="J9" i="13" s="1"/>
  <c r="AD9" i="14"/>
  <c r="J9" i="14" s="1"/>
  <c r="O957" i="4"/>
  <c r="AR957" i="4" s="1"/>
  <c r="O937" i="4"/>
  <c r="AR937" i="4" s="1"/>
  <c r="O909" i="4"/>
  <c r="AR909" i="4" s="1"/>
  <c r="O885" i="4"/>
  <c r="AR885" i="4" s="1"/>
  <c r="O857" i="4"/>
  <c r="AR857" i="4" s="1"/>
  <c r="O833" i="4"/>
  <c r="AR833" i="4" s="1"/>
  <c r="O809" i="4"/>
  <c r="AR809" i="4" s="1"/>
  <c r="O785" i="4"/>
  <c r="AR785" i="4" s="1"/>
  <c r="O761" i="4"/>
  <c r="AR761" i="4" s="1"/>
  <c r="O737" i="4"/>
  <c r="AR737" i="4" s="1"/>
  <c r="O713" i="4"/>
  <c r="AR713" i="4" s="1"/>
  <c r="O689" i="4"/>
  <c r="AR689" i="4" s="1"/>
  <c r="O661" i="4"/>
  <c r="AR661" i="4" s="1"/>
  <c r="O637" i="4"/>
  <c r="AR637" i="4" s="1"/>
  <c r="O613" i="4"/>
  <c r="AR613" i="4" s="1"/>
  <c r="O585" i="4"/>
  <c r="AR585" i="4" s="1"/>
  <c r="O561" i="4"/>
  <c r="AR561" i="4" s="1"/>
  <c r="O541" i="4"/>
  <c r="AR541" i="4" s="1"/>
  <c r="O517" i="4"/>
  <c r="AR517" i="4" s="1"/>
  <c r="O485" i="4"/>
  <c r="AR485" i="4" s="1"/>
  <c r="O405" i="4"/>
  <c r="AR405" i="4" s="1"/>
  <c r="O556" i="4"/>
  <c r="AR556" i="4" s="1"/>
  <c r="O965" i="4"/>
  <c r="AR965" i="4" s="1"/>
  <c r="O929" i="4"/>
  <c r="AR929" i="4" s="1"/>
  <c r="O901" i="4"/>
  <c r="AR901" i="4" s="1"/>
  <c r="O873" i="4"/>
  <c r="AR873" i="4" s="1"/>
  <c r="O849" i="4"/>
  <c r="AR849" i="4" s="1"/>
  <c r="O825" i="4"/>
  <c r="AR825" i="4" s="1"/>
  <c r="O801" i="4"/>
  <c r="AR801" i="4" s="1"/>
  <c r="O777" i="4"/>
  <c r="AR777" i="4" s="1"/>
  <c r="O749" i="4"/>
  <c r="AR749" i="4" s="1"/>
  <c r="O721" i="4"/>
  <c r="AR721" i="4" s="1"/>
  <c r="O697" i="4"/>
  <c r="AR697" i="4" s="1"/>
  <c r="O673" i="4"/>
  <c r="AR673" i="4" s="1"/>
  <c r="O645" i="4"/>
  <c r="AR645" i="4" s="1"/>
  <c r="O621" i="4"/>
  <c r="AR621" i="4" s="1"/>
  <c r="O597" i="4"/>
  <c r="AR597" i="4" s="1"/>
  <c r="O569" i="4"/>
  <c r="AR569" i="4" s="1"/>
  <c r="O529" i="4"/>
  <c r="AR529" i="4" s="1"/>
  <c r="O497" i="4"/>
  <c r="AR497" i="4" s="1"/>
  <c r="O469" i="4"/>
  <c r="AR469" i="4" s="1"/>
  <c r="O449" i="4"/>
  <c r="AR449" i="4" s="1"/>
  <c r="O425" i="4"/>
  <c r="AR425" i="4" s="1"/>
  <c r="O401" i="4"/>
  <c r="AR401" i="4" s="1"/>
  <c r="O969" i="4"/>
  <c r="AR969" i="4" s="1"/>
  <c r="O961" i="4"/>
  <c r="AR961" i="4" s="1"/>
  <c r="O941" i="4"/>
  <c r="AR941" i="4" s="1"/>
  <c r="O917" i="4"/>
  <c r="AR917" i="4" s="1"/>
  <c r="O893" i="4"/>
  <c r="AR893" i="4" s="1"/>
  <c r="O881" i="4"/>
  <c r="AR881" i="4" s="1"/>
  <c r="O865" i="4"/>
  <c r="AR865" i="4" s="1"/>
  <c r="O841" i="4"/>
  <c r="AR841" i="4" s="1"/>
  <c r="O817" i="4"/>
  <c r="AR817" i="4" s="1"/>
  <c r="O793" i="4"/>
  <c r="AR793" i="4" s="1"/>
  <c r="O765" i="4"/>
  <c r="AR765" i="4" s="1"/>
  <c r="O741" i="4"/>
  <c r="AR741" i="4" s="1"/>
  <c r="O725" i="4"/>
  <c r="AR725" i="4" s="1"/>
  <c r="O709" i="4"/>
  <c r="AR709" i="4" s="1"/>
  <c r="O685" i="4"/>
  <c r="AR685" i="4" s="1"/>
  <c r="O665" i="4"/>
  <c r="AR665" i="4" s="1"/>
  <c r="O649" i="4"/>
  <c r="AR649" i="4" s="1"/>
  <c r="O625" i="4"/>
  <c r="AR625" i="4" s="1"/>
  <c r="O605" i="4"/>
  <c r="AR605" i="4" s="1"/>
  <c r="O593" i="4"/>
  <c r="AR593" i="4" s="1"/>
  <c r="O573" i="4"/>
  <c r="AR573" i="4" s="1"/>
  <c r="O549" i="4"/>
  <c r="AR549" i="4" s="1"/>
  <c r="O537" i="4"/>
  <c r="AR537" i="4" s="1"/>
  <c r="O513" i="4"/>
  <c r="AR513" i="4" s="1"/>
  <c r="O493" i="4"/>
  <c r="AR493" i="4" s="1"/>
  <c r="O477" i="4"/>
  <c r="AR477" i="4" s="1"/>
  <c r="O457" i="4"/>
  <c r="AR457" i="4" s="1"/>
  <c r="O429" i="4"/>
  <c r="AR429" i="4" s="1"/>
  <c r="O397" i="4"/>
  <c r="AR397" i="4" s="1"/>
  <c r="O977" i="4"/>
  <c r="AR977" i="4" s="1"/>
  <c r="O953" i="4"/>
  <c r="AR953" i="4" s="1"/>
  <c r="O933" i="4"/>
  <c r="AR933" i="4" s="1"/>
  <c r="O913" i="4"/>
  <c r="AR913" i="4" s="1"/>
  <c r="O889" i="4"/>
  <c r="AR889" i="4" s="1"/>
  <c r="O861" i="4"/>
  <c r="AR861" i="4" s="1"/>
  <c r="O837" i="4"/>
  <c r="AR837" i="4" s="1"/>
  <c r="O813" i="4"/>
  <c r="AR813" i="4" s="1"/>
  <c r="O789" i="4"/>
  <c r="AR789" i="4" s="1"/>
  <c r="O769" i="4"/>
  <c r="AR769" i="4" s="1"/>
  <c r="O753" i="4"/>
  <c r="AR753" i="4" s="1"/>
  <c r="O733" i="4"/>
  <c r="AR733" i="4" s="1"/>
  <c r="O705" i="4"/>
  <c r="AR705" i="4" s="1"/>
  <c r="O681" i="4"/>
  <c r="AR681" i="4" s="1"/>
  <c r="O657" i="4"/>
  <c r="AR657" i="4" s="1"/>
  <c r="O633" i="4"/>
  <c r="AR633" i="4" s="1"/>
  <c r="O609" i="4"/>
  <c r="AR609" i="4" s="1"/>
  <c r="O589" i="4"/>
  <c r="AR589" i="4" s="1"/>
  <c r="O565" i="4"/>
  <c r="AR565" i="4" s="1"/>
  <c r="O545" i="4"/>
  <c r="AR545" i="4" s="1"/>
  <c r="O521" i="4"/>
  <c r="AR521" i="4" s="1"/>
  <c r="O509" i="4"/>
  <c r="AR509" i="4" s="1"/>
  <c r="O489" i="4"/>
  <c r="AR489" i="4" s="1"/>
  <c r="O481" i="4"/>
  <c r="AR481" i="4" s="1"/>
  <c r="O461" i="4"/>
  <c r="AR461" i="4" s="1"/>
  <c r="O441" i="4"/>
  <c r="AR441" i="4" s="1"/>
  <c r="O433" i="4"/>
  <c r="AR433" i="4" s="1"/>
  <c r="O417" i="4"/>
  <c r="AR417" i="4" s="1"/>
  <c r="O409" i="4"/>
  <c r="AR409" i="4" s="1"/>
  <c r="O389" i="4"/>
  <c r="AR389" i="4" s="1"/>
  <c r="O981" i="4"/>
  <c r="AR981" i="4" s="1"/>
  <c r="O949" i="4"/>
  <c r="AR949" i="4" s="1"/>
  <c r="O925" i="4"/>
  <c r="AR925" i="4" s="1"/>
  <c r="O905" i="4"/>
  <c r="AR905" i="4" s="1"/>
  <c r="O877" i="4"/>
  <c r="AR877" i="4" s="1"/>
  <c r="O853" i="4"/>
  <c r="AR853" i="4" s="1"/>
  <c r="O829" i="4"/>
  <c r="AR829" i="4" s="1"/>
  <c r="O805" i="4"/>
  <c r="AR805" i="4" s="1"/>
  <c r="O781" i="4"/>
  <c r="AR781" i="4" s="1"/>
  <c r="O757" i="4"/>
  <c r="AR757" i="4" s="1"/>
  <c r="O729" i="4"/>
  <c r="AR729" i="4" s="1"/>
  <c r="O701" i="4"/>
  <c r="AR701" i="4" s="1"/>
  <c r="O677" i="4"/>
  <c r="AR677" i="4" s="1"/>
  <c r="O653" i="4"/>
  <c r="AR653" i="4" s="1"/>
  <c r="O629" i="4"/>
  <c r="AR629" i="4" s="1"/>
  <c r="O601" i="4"/>
  <c r="AR601" i="4" s="1"/>
  <c r="O577" i="4"/>
  <c r="AR577" i="4" s="1"/>
  <c r="O553" i="4"/>
  <c r="AR553" i="4" s="1"/>
  <c r="O533" i="4"/>
  <c r="AR533" i="4" s="1"/>
  <c r="O505" i="4"/>
  <c r="AR505" i="4" s="1"/>
  <c r="O465" i="4"/>
  <c r="AR465" i="4" s="1"/>
  <c r="O445" i="4"/>
  <c r="AR445" i="4" s="1"/>
  <c r="O421" i="4"/>
  <c r="AR421" i="4" s="1"/>
  <c r="O393" i="4"/>
  <c r="AR393" i="4" s="1"/>
  <c r="O973" i="4"/>
  <c r="AR973" i="4" s="1"/>
  <c r="O945" i="4"/>
  <c r="AR945" i="4" s="1"/>
  <c r="O921" i="4"/>
  <c r="AR921" i="4" s="1"/>
  <c r="O897" i="4"/>
  <c r="AR897" i="4" s="1"/>
  <c r="O869" i="4"/>
  <c r="AR869" i="4" s="1"/>
  <c r="O845" i="4"/>
  <c r="AR845" i="4" s="1"/>
  <c r="O821" i="4"/>
  <c r="AR821" i="4" s="1"/>
  <c r="O797" i="4"/>
  <c r="AR797" i="4" s="1"/>
  <c r="O773" i="4"/>
  <c r="AR773" i="4" s="1"/>
  <c r="O745" i="4"/>
  <c r="AR745" i="4" s="1"/>
  <c r="O717" i="4"/>
  <c r="AR717" i="4" s="1"/>
  <c r="O693" i="4"/>
  <c r="AR693" i="4" s="1"/>
  <c r="O669" i="4"/>
  <c r="AR669" i="4" s="1"/>
  <c r="O641" i="4"/>
  <c r="AR641" i="4" s="1"/>
  <c r="O617" i="4"/>
  <c r="AR617" i="4" s="1"/>
  <c r="O581" i="4"/>
  <c r="AR581" i="4" s="1"/>
  <c r="O557" i="4"/>
  <c r="AR557" i="4" s="1"/>
  <c r="O525" i="4"/>
  <c r="AR525" i="4" s="1"/>
  <c r="O501" i="4"/>
  <c r="AR501" i="4" s="1"/>
  <c r="O473" i="4"/>
  <c r="AR473" i="4" s="1"/>
  <c r="O453" i="4"/>
  <c r="AR453" i="4" s="1"/>
  <c r="O437" i="4"/>
  <c r="AR437" i="4" s="1"/>
  <c r="O413" i="4"/>
  <c r="AR413" i="4" s="1"/>
  <c r="O385" i="4"/>
  <c r="AR385" i="4" s="1"/>
  <c r="O377" i="4"/>
  <c r="AR377" i="4" s="1"/>
  <c r="O373" i="4"/>
  <c r="AR373" i="4" s="1"/>
  <c r="O369" i="4"/>
  <c r="AR369" i="4" s="1"/>
  <c r="O365" i="4"/>
  <c r="AR365" i="4" s="1"/>
  <c r="O361" i="4"/>
  <c r="AR361" i="4" s="1"/>
  <c r="O357" i="4"/>
  <c r="AR357" i="4" s="1"/>
  <c r="O353" i="4"/>
  <c r="AR353" i="4" s="1"/>
  <c r="O349" i="4"/>
  <c r="AR349" i="4" s="1"/>
  <c r="O345" i="4"/>
  <c r="AR345" i="4" s="1"/>
  <c r="O341" i="4"/>
  <c r="AR341" i="4" s="1"/>
  <c r="O337" i="4"/>
  <c r="AR337" i="4" s="1"/>
  <c r="O333" i="4"/>
  <c r="AR333" i="4" s="1"/>
  <c r="O329" i="4"/>
  <c r="AR329" i="4" s="1"/>
  <c r="O325" i="4"/>
  <c r="AR325" i="4" s="1"/>
  <c r="O321" i="4"/>
  <c r="AR321" i="4" s="1"/>
  <c r="O317" i="4"/>
  <c r="AR317" i="4" s="1"/>
  <c r="O313" i="4"/>
  <c r="AR313" i="4" s="1"/>
  <c r="O309" i="4"/>
  <c r="AR309" i="4" s="1"/>
  <c r="O305" i="4"/>
  <c r="AR305" i="4" s="1"/>
  <c r="O301" i="4"/>
  <c r="AR301" i="4" s="1"/>
  <c r="O297" i="4"/>
  <c r="AR297" i="4" s="1"/>
  <c r="O293" i="4"/>
  <c r="AR293" i="4" s="1"/>
  <c r="O289" i="4"/>
  <c r="AR289" i="4" s="1"/>
  <c r="O285" i="4"/>
  <c r="AR285" i="4" s="1"/>
  <c r="O281" i="4"/>
  <c r="AR281" i="4" s="1"/>
  <c r="O277" i="4"/>
  <c r="AR277" i="4" s="1"/>
  <c r="O273" i="4"/>
  <c r="AR273" i="4" s="1"/>
  <c r="O269" i="4"/>
  <c r="AR269" i="4" s="1"/>
  <c r="O265" i="4"/>
  <c r="AR265" i="4" s="1"/>
  <c r="O261" i="4"/>
  <c r="AR261" i="4" s="1"/>
  <c r="O257" i="4"/>
  <c r="AR257" i="4" s="1"/>
  <c r="O253" i="4"/>
  <c r="AR253" i="4" s="1"/>
  <c r="O249" i="4"/>
  <c r="AR249" i="4" s="1"/>
  <c r="O245" i="4"/>
  <c r="AR245" i="4" s="1"/>
  <c r="O241" i="4"/>
  <c r="AR241" i="4" s="1"/>
  <c r="O237" i="4"/>
  <c r="AR237" i="4" s="1"/>
  <c r="O233" i="4"/>
  <c r="AR233" i="4" s="1"/>
  <c r="O229" i="4"/>
  <c r="AR229" i="4" s="1"/>
  <c r="O225" i="4"/>
  <c r="AR225" i="4" s="1"/>
  <c r="O221" i="4"/>
  <c r="AR221" i="4" s="1"/>
  <c r="O217" i="4"/>
  <c r="AR217" i="4" s="1"/>
  <c r="O213" i="4"/>
  <c r="AR213" i="4" s="1"/>
  <c r="O209" i="4"/>
  <c r="AR209" i="4" s="1"/>
  <c r="O205" i="4"/>
  <c r="AR205" i="4" s="1"/>
  <c r="O201" i="4"/>
  <c r="AR201" i="4" s="1"/>
  <c r="O197" i="4"/>
  <c r="AR197" i="4" s="1"/>
  <c r="O193" i="4"/>
  <c r="AR193" i="4" s="1"/>
  <c r="O189" i="4"/>
  <c r="AR189" i="4" s="1"/>
  <c r="O185" i="4"/>
  <c r="AR185" i="4" s="1"/>
  <c r="O181" i="4"/>
  <c r="AR181" i="4" s="1"/>
  <c r="O177" i="4"/>
  <c r="AR177" i="4" s="1"/>
  <c r="O173" i="4"/>
  <c r="AR173" i="4" s="1"/>
  <c r="O169" i="4"/>
  <c r="AR169" i="4" s="1"/>
  <c r="O165" i="4"/>
  <c r="AR165" i="4" s="1"/>
  <c r="O161" i="4"/>
  <c r="AR161" i="4" s="1"/>
  <c r="O157" i="4"/>
  <c r="AR157" i="4" s="1"/>
  <c r="O153" i="4"/>
  <c r="AR153" i="4" s="1"/>
  <c r="O149" i="4"/>
  <c r="AR149" i="4" s="1"/>
  <c r="O145" i="4"/>
  <c r="AR145" i="4" s="1"/>
  <c r="O141" i="4"/>
  <c r="AR141" i="4" s="1"/>
  <c r="O137" i="4"/>
  <c r="AR137" i="4" s="1"/>
  <c r="O133" i="4"/>
  <c r="AR133" i="4" s="1"/>
  <c r="O129" i="4"/>
  <c r="AR129" i="4" s="1"/>
  <c r="O125" i="4"/>
  <c r="AR125" i="4" s="1"/>
  <c r="O121" i="4"/>
  <c r="AR121" i="4" s="1"/>
  <c r="O117" i="4"/>
  <c r="AR117" i="4" s="1"/>
  <c r="O113" i="4"/>
  <c r="AR113" i="4" s="1"/>
  <c r="O109" i="4"/>
  <c r="AR109" i="4" s="1"/>
  <c r="O105" i="4"/>
  <c r="AR105" i="4" s="1"/>
  <c r="O101" i="4"/>
  <c r="AR101" i="4" s="1"/>
  <c r="O97" i="4"/>
  <c r="AR97" i="4" s="1"/>
  <c r="O93" i="4"/>
  <c r="AR93" i="4" s="1"/>
  <c r="O89" i="4"/>
  <c r="AR89" i="4" s="1"/>
  <c r="O85" i="4"/>
  <c r="AR85" i="4" s="1"/>
  <c r="O81" i="4"/>
  <c r="AR81" i="4" s="1"/>
  <c r="O77" i="4"/>
  <c r="AR77" i="4" s="1"/>
  <c r="O73" i="4"/>
  <c r="AR73" i="4" s="1"/>
  <c r="O69" i="4"/>
  <c r="AR69" i="4" s="1"/>
  <c r="O65" i="4"/>
  <c r="AR65" i="4" s="1"/>
  <c r="O61" i="4"/>
  <c r="AR61" i="4" s="1"/>
  <c r="O57" i="4"/>
  <c r="AR57" i="4" s="1"/>
  <c r="O53" i="4"/>
  <c r="AR53" i="4" s="1"/>
  <c r="O49" i="4"/>
  <c r="AR49" i="4" s="1"/>
  <c r="O45" i="4"/>
  <c r="AR45" i="4" s="1"/>
  <c r="O41" i="4"/>
  <c r="AR41" i="4" s="1"/>
  <c r="O997" i="4"/>
  <c r="AR997" i="4" s="1"/>
  <c r="O998" i="4"/>
  <c r="AR998" i="4" s="1"/>
  <c r="O1000" i="4"/>
  <c r="AR1000" i="4" s="1"/>
  <c r="O999" i="4"/>
  <c r="AR999" i="4" s="1"/>
  <c r="O994" i="4"/>
  <c r="AR994" i="4" s="1"/>
  <c r="O987" i="4"/>
  <c r="AR987" i="4" s="1"/>
  <c r="O985" i="4"/>
  <c r="AR985" i="4" s="1"/>
  <c r="O996" i="4"/>
  <c r="AR996" i="4" s="1"/>
  <c r="O995" i="4"/>
  <c r="AR995" i="4" s="1"/>
  <c r="O990" i="4"/>
  <c r="AR990" i="4" s="1"/>
  <c r="O988" i="4"/>
  <c r="AR988" i="4" s="1"/>
  <c r="O984" i="4"/>
  <c r="AR984" i="4" s="1"/>
  <c r="O989" i="4"/>
  <c r="AR989" i="4" s="1"/>
  <c r="O992" i="4"/>
  <c r="AR992" i="4" s="1"/>
  <c r="O991" i="4"/>
  <c r="AR991" i="4" s="1"/>
  <c r="O986" i="4"/>
  <c r="AR986" i="4" s="1"/>
  <c r="O982" i="4"/>
  <c r="AR982" i="4" s="1"/>
  <c r="O1001" i="4"/>
  <c r="AR1001" i="4" s="1"/>
  <c r="O983" i="4"/>
  <c r="AR983" i="4" s="1"/>
  <c r="O993" i="4"/>
  <c r="AR993" i="4" s="1"/>
  <c r="O1002" i="4"/>
  <c r="AR1002" i="4" s="1"/>
  <c r="O1003" i="4"/>
  <c r="AR1003" i="4" s="1"/>
  <c r="O964" i="4"/>
  <c r="AR964" i="4" s="1"/>
  <c r="O944" i="4"/>
  <c r="AR944" i="4" s="1"/>
  <c r="O916" i="4"/>
  <c r="AR916" i="4" s="1"/>
  <c r="O904" i="4"/>
  <c r="AR904" i="4" s="1"/>
  <c r="O884" i="4"/>
  <c r="AR884" i="4" s="1"/>
  <c r="O872" i="4"/>
  <c r="AR872" i="4" s="1"/>
  <c r="O860" i="4"/>
  <c r="AR860" i="4" s="1"/>
  <c r="O844" i="4"/>
  <c r="AR844" i="4" s="1"/>
  <c r="O832" i="4"/>
  <c r="AR832" i="4" s="1"/>
  <c r="O816" i="4"/>
  <c r="AR816" i="4" s="1"/>
  <c r="O800" i="4"/>
  <c r="AR800" i="4" s="1"/>
  <c r="O784" i="4"/>
  <c r="AR784" i="4" s="1"/>
  <c r="O772" i="4"/>
  <c r="AR772" i="4" s="1"/>
  <c r="O756" i="4"/>
  <c r="AR756" i="4" s="1"/>
  <c r="O740" i="4"/>
  <c r="AR740" i="4" s="1"/>
  <c r="O724" i="4"/>
  <c r="AR724" i="4" s="1"/>
  <c r="O708" i="4"/>
  <c r="AR708" i="4" s="1"/>
  <c r="O696" i="4"/>
  <c r="AR696" i="4" s="1"/>
  <c r="O684" i="4"/>
  <c r="AR684" i="4" s="1"/>
  <c r="O672" i="4"/>
  <c r="AR672" i="4" s="1"/>
  <c r="O668" i="4"/>
  <c r="AR668" i="4" s="1"/>
  <c r="O664" i="4"/>
  <c r="AR664" i="4" s="1"/>
  <c r="O660" i="4"/>
  <c r="AR660" i="4" s="1"/>
  <c r="O656" i="4"/>
  <c r="AR656" i="4" s="1"/>
  <c r="O644" i="4"/>
  <c r="AR644" i="4" s="1"/>
  <c r="O640" i="4"/>
  <c r="AR640" i="4" s="1"/>
  <c r="O636" i="4"/>
  <c r="AR636" i="4" s="1"/>
  <c r="O632" i="4"/>
  <c r="AR632" i="4" s="1"/>
  <c r="O628" i="4"/>
  <c r="AR628" i="4" s="1"/>
  <c r="O624" i="4"/>
  <c r="AR624" i="4" s="1"/>
  <c r="O620" i="4"/>
  <c r="AR620" i="4" s="1"/>
  <c r="O616" i="4"/>
  <c r="AR616" i="4" s="1"/>
  <c r="O612" i="4"/>
  <c r="AR612" i="4" s="1"/>
  <c r="O608" i="4"/>
  <c r="AR608" i="4" s="1"/>
  <c r="O604" i="4"/>
  <c r="AR604" i="4" s="1"/>
  <c r="O600" i="4"/>
  <c r="AR600" i="4" s="1"/>
  <c r="O596" i="4"/>
  <c r="AR596" i="4" s="1"/>
  <c r="O592" i="4"/>
  <c r="AR592" i="4" s="1"/>
  <c r="O588" i="4"/>
  <c r="AR588" i="4" s="1"/>
  <c r="O584" i="4"/>
  <c r="AR584" i="4" s="1"/>
  <c r="O580" i="4"/>
  <c r="AR580" i="4" s="1"/>
  <c r="O576" i="4"/>
  <c r="AR576" i="4" s="1"/>
  <c r="O572" i="4"/>
  <c r="AR572" i="4" s="1"/>
  <c r="O568" i="4"/>
  <c r="AR568" i="4" s="1"/>
  <c r="O564" i="4"/>
  <c r="AR564" i="4" s="1"/>
  <c r="O560" i="4"/>
  <c r="AR560" i="4" s="1"/>
  <c r="O552" i="4"/>
  <c r="AR552" i="4" s="1"/>
  <c r="O37" i="4"/>
  <c r="AR37" i="4" s="1"/>
  <c r="O976" i="4"/>
  <c r="AR976" i="4" s="1"/>
  <c r="O960" i="4"/>
  <c r="AR960" i="4" s="1"/>
  <c r="O948" i="4"/>
  <c r="AR948" i="4" s="1"/>
  <c r="O928" i="4"/>
  <c r="AR928" i="4" s="1"/>
  <c r="O920" i="4"/>
  <c r="AR920" i="4" s="1"/>
  <c r="O908" i="4"/>
  <c r="AR908" i="4" s="1"/>
  <c r="O896" i="4"/>
  <c r="AR896" i="4" s="1"/>
  <c r="O888" i="4"/>
  <c r="AR888" i="4" s="1"/>
  <c r="O876" i="4"/>
  <c r="AR876" i="4" s="1"/>
  <c r="O864" i="4"/>
  <c r="AR864" i="4" s="1"/>
  <c r="O852" i="4"/>
  <c r="AR852" i="4" s="1"/>
  <c r="O840" i="4"/>
  <c r="AR840" i="4" s="1"/>
  <c r="O828" i="4"/>
  <c r="AR828" i="4" s="1"/>
  <c r="O820" i="4"/>
  <c r="AR820" i="4" s="1"/>
  <c r="O808" i="4"/>
  <c r="AR808" i="4" s="1"/>
  <c r="O796" i="4"/>
  <c r="AR796" i="4" s="1"/>
  <c r="O788" i="4"/>
  <c r="AR788" i="4" s="1"/>
  <c r="O776" i="4"/>
  <c r="AR776" i="4" s="1"/>
  <c r="O764" i="4"/>
  <c r="AR764" i="4" s="1"/>
  <c r="O752" i="4"/>
  <c r="AR752" i="4" s="1"/>
  <c r="O744" i="4"/>
  <c r="AR744" i="4" s="1"/>
  <c r="O736" i="4"/>
  <c r="AR736" i="4" s="1"/>
  <c r="O728" i="4"/>
  <c r="AR728" i="4" s="1"/>
  <c r="O716" i="4"/>
  <c r="AR716" i="4" s="1"/>
  <c r="O704" i="4"/>
  <c r="AR704" i="4" s="1"/>
  <c r="O692" i="4"/>
  <c r="AR692" i="4" s="1"/>
  <c r="O680" i="4"/>
  <c r="AR680" i="4" s="1"/>
  <c r="O648" i="4"/>
  <c r="AR648" i="4" s="1"/>
  <c r="O32" i="4"/>
  <c r="AR32" i="4" s="1"/>
  <c r="O979" i="4"/>
  <c r="AR979" i="4" s="1"/>
  <c r="O971" i="4"/>
  <c r="AR971" i="4" s="1"/>
  <c r="O963" i="4"/>
  <c r="AR963" i="4" s="1"/>
  <c r="O955" i="4"/>
  <c r="AR955" i="4" s="1"/>
  <c r="O947" i="4"/>
  <c r="AR947" i="4" s="1"/>
  <c r="O939" i="4"/>
  <c r="AR939" i="4" s="1"/>
  <c r="O931" i="4"/>
  <c r="AR931" i="4" s="1"/>
  <c r="O923" i="4"/>
  <c r="AR923" i="4" s="1"/>
  <c r="O915" i="4"/>
  <c r="AR915" i="4" s="1"/>
  <c r="O907" i="4"/>
  <c r="AR907" i="4" s="1"/>
  <c r="O899" i="4"/>
  <c r="AR899" i="4" s="1"/>
  <c r="O895" i="4"/>
  <c r="AR895" i="4" s="1"/>
  <c r="O887" i="4"/>
  <c r="AR887" i="4" s="1"/>
  <c r="O879" i="4"/>
  <c r="AR879" i="4" s="1"/>
  <c r="O871" i="4"/>
  <c r="AR871" i="4" s="1"/>
  <c r="O863" i="4"/>
  <c r="AR863" i="4" s="1"/>
  <c r="O855" i="4"/>
  <c r="AR855" i="4" s="1"/>
  <c r="O847" i="4"/>
  <c r="AR847" i="4" s="1"/>
  <c r="O839" i="4"/>
  <c r="AR839" i="4" s="1"/>
  <c r="O831" i="4"/>
  <c r="AR831" i="4" s="1"/>
  <c r="O823" i="4"/>
  <c r="AR823" i="4" s="1"/>
  <c r="O815" i="4"/>
  <c r="AR815" i="4" s="1"/>
  <c r="O807" i="4"/>
  <c r="AR807" i="4" s="1"/>
  <c r="O799" i="4"/>
  <c r="AR799" i="4" s="1"/>
  <c r="O787" i="4"/>
  <c r="AR787" i="4" s="1"/>
  <c r="O779" i="4"/>
  <c r="AR779" i="4" s="1"/>
  <c r="O771" i="4"/>
  <c r="AR771" i="4" s="1"/>
  <c r="O763" i="4"/>
  <c r="AR763" i="4" s="1"/>
  <c r="O755" i="4"/>
  <c r="AR755" i="4" s="1"/>
  <c r="O747" i="4"/>
  <c r="AR747" i="4" s="1"/>
  <c r="O739" i="4"/>
  <c r="AR739" i="4" s="1"/>
  <c r="O731" i="4"/>
  <c r="AR731" i="4" s="1"/>
  <c r="O723" i="4"/>
  <c r="AR723" i="4" s="1"/>
  <c r="O715" i="4"/>
  <c r="AR715" i="4" s="1"/>
  <c r="O703" i="4"/>
  <c r="AR703" i="4" s="1"/>
  <c r="O695" i="4"/>
  <c r="AR695" i="4" s="1"/>
  <c r="O687" i="4"/>
  <c r="AR687" i="4" s="1"/>
  <c r="O679" i="4"/>
  <c r="AR679" i="4" s="1"/>
  <c r="O671" i="4"/>
  <c r="AR671" i="4" s="1"/>
  <c r="O659" i="4"/>
  <c r="AR659" i="4" s="1"/>
  <c r="O643" i="4"/>
  <c r="AR643" i="4" s="1"/>
  <c r="O29" i="4"/>
  <c r="AR29" i="4" s="1"/>
  <c r="O972" i="4"/>
  <c r="AR972" i="4" s="1"/>
  <c r="O952" i="4"/>
  <c r="AR952" i="4" s="1"/>
  <c r="O940" i="4"/>
  <c r="AR940" i="4" s="1"/>
  <c r="O924" i="4"/>
  <c r="AR924" i="4" s="1"/>
  <c r="O912" i="4"/>
  <c r="AR912" i="4" s="1"/>
  <c r="O900" i="4"/>
  <c r="AR900" i="4" s="1"/>
  <c r="O892" i="4"/>
  <c r="AR892" i="4" s="1"/>
  <c r="O880" i="4"/>
  <c r="AR880" i="4" s="1"/>
  <c r="O868" i="4"/>
  <c r="AR868" i="4" s="1"/>
  <c r="O856" i="4"/>
  <c r="AR856" i="4" s="1"/>
  <c r="O848" i="4"/>
  <c r="AR848" i="4" s="1"/>
  <c r="O836" i="4"/>
  <c r="AR836" i="4" s="1"/>
  <c r="O824" i="4"/>
  <c r="AR824" i="4" s="1"/>
  <c r="O812" i="4"/>
  <c r="AR812" i="4" s="1"/>
  <c r="O804" i="4"/>
  <c r="AR804" i="4" s="1"/>
  <c r="O792" i="4"/>
  <c r="AR792" i="4" s="1"/>
  <c r="O780" i="4"/>
  <c r="AR780" i="4" s="1"/>
  <c r="O768" i="4"/>
  <c r="AR768" i="4" s="1"/>
  <c r="O760" i="4"/>
  <c r="AR760" i="4" s="1"/>
  <c r="O748" i="4"/>
  <c r="AR748" i="4" s="1"/>
  <c r="O732" i="4"/>
  <c r="AR732" i="4" s="1"/>
  <c r="O720" i="4"/>
  <c r="AR720" i="4" s="1"/>
  <c r="O712" i="4"/>
  <c r="AR712" i="4" s="1"/>
  <c r="O700" i="4"/>
  <c r="AR700" i="4" s="1"/>
  <c r="O688" i="4"/>
  <c r="AR688" i="4" s="1"/>
  <c r="O676" i="4"/>
  <c r="AR676" i="4" s="1"/>
  <c r="O652" i="4"/>
  <c r="AR652" i="4" s="1"/>
  <c r="O36" i="4"/>
  <c r="AR36" i="4" s="1"/>
  <c r="O28" i="4"/>
  <c r="AR28" i="4" s="1"/>
  <c r="O975" i="4"/>
  <c r="AR975" i="4" s="1"/>
  <c r="O967" i="4"/>
  <c r="AR967" i="4" s="1"/>
  <c r="O959" i="4"/>
  <c r="AR959" i="4" s="1"/>
  <c r="O951" i="4"/>
  <c r="AR951" i="4" s="1"/>
  <c r="O943" i="4"/>
  <c r="AR943" i="4" s="1"/>
  <c r="O935" i="4"/>
  <c r="AR935" i="4" s="1"/>
  <c r="O927" i="4"/>
  <c r="AR927" i="4" s="1"/>
  <c r="O919" i="4"/>
  <c r="AR919" i="4" s="1"/>
  <c r="O911" i="4"/>
  <c r="AR911" i="4" s="1"/>
  <c r="O903" i="4"/>
  <c r="AR903" i="4" s="1"/>
  <c r="O891" i="4"/>
  <c r="AR891" i="4" s="1"/>
  <c r="O883" i="4"/>
  <c r="AR883" i="4" s="1"/>
  <c r="O875" i="4"/>
  <c r="AR875" i="4" s="1"/>
  <c r="O867" i="4"/>
  <c r="AR867" i="4" s="1"/>
  <c r="O859" i="4"/>
  <c r="AR859" i="4" s="1"/>
  <c r="O851" i="4"/>
  <c r="AR851" i="4" s="1"/>
  <c r="O843" i="4"/>
  <c r="AR843" i="4" s="1"/>
  <c r="O835" i="4"/>
  <c r="AR835" i="4" s="1"/>
  <c r="O827" i="4"/>
  <c r="AR827" i="4" s="1"/>
  <c r="O819" i="4"/>
  <c r="AR819" i="4" s="1"/>
  <c r="O811" i="4"/>
  <c r="AR811" i="4" s="1"/>
  <c r="O803" i="4"/>
  <c r="AR803" i="4" s="1"/>
  <c r="O795" i="4"/>
  <c r="AR795" i="4" s="1"/>
  <c r="O791" i="4"/>
  <c r="AR791" i="4" s="1"/>
  <c r="O783" i="4"/>
  <c r="AR783" i="4" s="1"/>
  <c r="O775" i="4"/>
  <c r="AR775" i="4" s="1"/>
  <c r="O767" i="4"/>
  <c r="AR767" i="4" s="1"/>
  <c r="O759" i="4"/>
  <c r="AR759" i="4" s="1"/>
  <c r="O751" i="4"/>
  <c r="AR751" i="4" s="1"/>
  <c r="O743" i="4"/>
  <c r="AR743" i="4" s="1"/>
  <c r="O735" i="4"/>
  <c r="AR735" i="4" s="1"/>
  <c r="O727" i="4"/>
  <c r="AR727" i="4" s="1"/>
  <c r="O719" i="4"/>
  <c r="AR719" i="4" s="1"/>
  <c r="O711" i="4"/>
  <c r="AR711" i="4" s="1"/>
  <c r="O707" i="4"/>
  <c r="AR707" i="4" s="1"/>
  <c r="O699" i="4"/>
  <c r="AR699" i="4" s="1"/>
  <c r="O691" i="4"/>
  <c r="AR691" i="4" s="1"/>
  <c r="O683" i="4"/>
  <c r="AR683" i="4" s="1"/>
  <c r="O675" i="4"/>
  <c r="AR675" i="4" s="1"/>
  <c r="O667" i="4"/>
  <c r="AR667" i="4" s="1"/>
  <c r="O663" i="4"/>
  <c r="AR663" i="4" s="1"/>
  <c r="O655" i="4"/>
  <c r="AR655" i="4" s="1"/>
  <c r="O651" i="4"/>
  <c r="AR651" i="4" s="1"/>
  <c r="O647" i="4"/>
  <c r="AR647" i="4" s="1"/>
  <c r="O639" i="4"/>
  <c r="AR639" i="4" s="1"/>
  <c r="O33" i="4"/>
  <c r="AR33" i="4" s="1"/>
  <c r="O968" i="4"/>
  <c r="AR968" i="4" s="1"/>
  <c r="O936" i="4"/>
  <c r="AR936" i="4" s="1"/>
  <c r="O39" i="4"/>
  <c r="AR39" i="4" s="1"/>
  <c r="O31" i="4"/>
  <c r="AR31" i="4" s="1"/>
  <c r="O974" i="4"/>
  <c r="AR974" i="4" s="1"/>
  <c r="O966" i="4"/>
  <c r="AR966" i="4" s="1"/>
  <c r="O958" i="4"/>
  <c r="AR958" i="4" s="1"/>
  <c r="O950" i="4"/>
  <c r="AR950" i="4" s="1"/>
  <c r="O942" i="4"/>
  <c r="AR942" i="4" s="1"/>
  <c r="O934" i="4"/>
  <c r="AR934" i="4" s="1"/>
  <c r="O926" i="4"/>
  <c r="AR926" i="4" s="1"/>
  <c r="O918" i="4"/>
  <c r="AR918" i="4" s="1"/>
  <c r="O910" i="4"/>
  <c r="AR910" i="4" s="1"/>
  <c r="O902" i="4"/>
  <c r="AR902" i="4" s="1"/>
  <c r="O894" i="4"/>
  <c r="AR894" i="4" s="1"/>
  <c r="O886" i="4"/>
  <c r="AR886" i="4" s="1"/>
  <c r="O878" i="4"/>
  <c r="AR878" i="4" s="1"/>
  <c r="O870" i="4"/>
  <c r="AR870" i="4" s="1"/>
  <c r="O862" i="4"/>
  <c r="AR862" i="4" s="1"/>
  <c r="O854" i="4"/>
  <c r="AR854" i="4" s="1"/>
  <c r="O846" i="4"/>
  <c r="AR846" i="4" s="1"/>
  <c r="O834" i="4"/>
  <c r="AR834" i="4" s="1"/>
  <c r="O826" i="4"/>
  <c r="AR826" i="4" s="1"/>
  <c r="O818" i="4"/>
  <c r="AR818" i="4" s="1"/>
  <c r="O810" i="4"/>
  <c r="AR810" i="4" s="1"/>
  <c r="O802" i="4"/>
  <c r="AR802" i="4" s="1"/>
  <c r="O794" i="4"/>
  <c r="AR794" i="4" s="1"/>
  <c r="O786" i="4"/>
  <c r="AR786" i="4" s="1"/>
  <c r="O778" i="4"/>
  <c r="AR778" i="4" s="1"/>
  <c r="O770" i="4"/>
  <c r="AR770" i="4" s="1"/>
  <c r="O762" i="4"/>
  <c r="AR762" i="4" s="1"/>
  <c r="O754" i="4"/>
  <c r="AR754" i="4" s="1"/>
  <c r="O746" i="4"/>
  <c r="AR746" i="4" s="1"/>
  <c r="O738" i="4"/>
  <c r="AR738" i="4" s="1"/>
  <c r="O730" i="4"/>
  <c r="AR730" i="4" s="1"/>
  <c r="O722" i="4"/>
  <c r="AR722" i="4" s="1"/>
  <c r="O714" i="4"/>
  <c r="AR714" i="4" s="1"/>
  <c r="O706" i="4"/>
  <c r="AR706" i="4" s="1"/>
  <c r="O698" i="4"/>
  <c r="AR698" i="4" s="1"/>
  <c r="O690" i="4"/>
  <c r="AR690" i="4" s="1"/>
  <c r="O682" i="4"/>
  <c r="AR682" i="4" s="1"/>
  <c r="O674" i="4"/>
  <c r="AR674" i="4" s="1"/>
  <c r="O670" i="4"/>
  <c r="AR670" i="4" s="1"/>
  <c r="O666" i="4"/>
  <c r="AR666" i="4" s="1"/>
  <c r="O658" i="4"/>
  <c r="AR658" i="4" s="1"/>
  <c r="O654" i="4"/>
  <c r="AR654" i="4" s="1"/>
  <c r="O650" i="4"/>
  <c r="AR650" i="4" s="1"/>
  <c r="O646" i="4"/>
  <c r="AR646" i="4" s="1"/>
  <c r="O642" i="4"/>
  <c r="AR642" i="4" s="1"/>
  <c r="O638" i="4"/>
  <c r="AR638" i="4" s="1"/>
  <c r="O634" i="4"/>
  <c r="AR634" i="4" s="1"/>
  <c r="O630" i="4"/>
  <c r="AR630" i="4" s="1"/>
  <c r="O626" i="4"/>
  <c r="AR626" i="4" s="1"/>
  <c r="O622" i="4"/>
  <c r="AR622" i="4" s="1"/>
  <c r="O618" i="4"/>
  <c r="AR618" i="4" s="1"/>
  <c r="O614" i="4"/>
  <c r="AR614" i="4" s="1"/>
  <c r="O610" i="4"/>
  <c r="AR610" i="4" s="1"/>
  <c r="O606" i="4"/>
  <c r="AR606" i="4" s="1"/>
  <c r="O602" i="4"/>
  <c r="AR602" i="4" s="1"/>
  <c r="O598" i="4"/>
  <c r="AR598" i="4" s="1"/>
  <c r="O594" i="4"/>
  <c r="AR594" i="4" s="1"/>
  <c r="O590" i="4"/>
  <c r="AR590" i="4" s="1"/>
  <c r="O586" i="4"/>
  <c r="AR586" i="4" s="1"/>
  <c r="O582" i="4"/>
  <c r="AR582" i="4" s="1"/>
  <c r="O578" i="4"/>
  <c r="AR578" i="4" s="1"/>
  <c r="O574" i="4"/>
  <c r="AR574" i="4" s="1"/>
  <c r="O980" i="4"/>
  <c r="AR980" i="4" s="1"/>
  <c r="O956" i="4"/>
  <c r="AR956" i="4" s="1"/>
  <c r="O932" i="4"/>
  <c r="AR932" i="4" s="1"/>
  <c r="O35" i="4"/>
  <c r="AR35" i="4" s="1"/>
  <c r="O27" i="4"/>
  <c r="AR27" i="4" s="1"/>
  <c r="O978" i="4"/>
  <c r="AR978" i="4" s="1"/>
  <c r="O970" i="4"/>
  <c r="AR970" i="4" s="1"/>
  <c r="O962" i="4"/>
  <c r="AR962" i="4" s="1"/>
  <c r="O954" i="4"/>
  <c r="AR954" i="4" s="1"/>
  <c r="O946" i="4"/>
  <c r="AR946" i="4" s="1"/>
  <c r="O938" i="4"/>
  <c r="AR938" i="4" s="1"/>
  <c r="O930" i="4"/>
  <c r="AR930" i="4" s="1"/>
  <c r="O922" i="4"/>
  <c r="AR922" i="4" s="1"/>
  <c r="O914" i="4"/>
  <c r="AR914" i="4" s="1"/>
  <c r="O906" i="4"/>
  <c r="AR906" i="4" s="1"/>
  <c r="O898" i="4"/>
  <c r="AR898" i="4" s="1"/>
  <c r="O890" i="4"/>
  <c r="AR890" i="4" s="1"/>
  <c r="O882" i="4"/>
  <c r="AR882" i="4" s="1"/>
  <c r="O874" i="4"/>
  <c r="AR874" i="4" s="1"/>
  <c r="O866" i="4"/>
  <c r="AR866" i="4" s="1"/>
  <c r="O858" i="4"/>
  <c r="AR858" i="4" s="1"/>
  <c r="O850" i="4"/>
  <c r="AR850" i="4" s="1"/>
  <c r="O842" i="4"/>
  <c r="AR842" i="4" s="1"/>
  <c r="O838" i="4"/>
  <c r="AR838" i="4" s="1"/>
  <c r="O830" i="4"/>
  <c r="AR830" i="4" s="1"/>
  <c r="O822" i="4"/>
  <c r="AR822" i="4" s="1"/>
  <c r="O814" i="4"/>
  <c r="AR814" i="4" s="1"/>
  <c r="O806" i="4"/>
  <c r="AR806" i="4" s="1"/>
  <c r="O798" i="4"/>
  <c r="AR798" i="4" s="1"/>
  <c r="O790" i="4"/>
  <c r="AR790" i="4" s="1"/>
  <c r="O782" i="4"/>
  <c r="AR782" i="4" s="1"/>
  <c r="O774" i="4"/>
  <c r="AR774" i="4" s="1"/>
  <c r="O766" i="4"/>
  <c r="AR766" i="4" s="1"/>
  <c r="O758" i="4"/>
  <c r="AR758" i="4" s="1"/>
  <c r="O750" i="4"/>
  <c r="AR750" i="4" s="1"/>
  <c r="O742" i="4"/>
  <c r="AR742" i="4" s="1"/>
  <c r="O734" i="4"/>
  <c r="AR734" i="4" s="1"/>
  <c r="O726" i="4"/>
  <c r="AR726" i="4" s="1"/>
  <c r="O718" i="4"/>
  <c r="AR718" i="4" s="1"/>
  <c r="O710" i="4"/>
  <c r="AR710" i="4" s="1"/>
  <c r="O702" i="4"/>
  <c r="AR702" i="4" s="1"/>
  <c r="O694" i="4"/>
  <c r="AR694" i="4" s="1"/>
  <c r="O686" i="4"/>
  <c r="AR686" i="4" s="1"/>
  <c r="O678" i="4"/>
  <c r="AR678" i="4" s="1"/>
  <c r="O662" i="4"/>
  <c r="AR662" i="4" s="1"/>
  <c r="O570" i="4"/>
  <c r="AR570" i="4" s="1"/>
  <c r="O548" i="4"/>
  <c r="AR548" i="4" s="1"/>
  <c r="O540" i="4"/>
  <c r="AR540" i="4" s="1"/>
  <c r="O532" i="4"/>
  <c r="AR532" i="4" s="1"/>
  <c r="O524" i="4"/>
  <c r="AR524" i="4" s="1"/>
  <c r="O516" i="4"/>
  <c r="AR516" i="4" s="1"/>
  <c r="O508" i="4"/>
  <c r="AR508" i="4" s="1"/>
  <c r="O504" i="4"/>
  <c r="AR504" i="4" s="1"/>
  <c r="O496" i="4"/>
  <c r="AR496" i="4" s="1"/>
  <c r="O488" i="4"/>
  <c r="AR488" i="4" s="1"/>
  <c r="O480" i="4"/>
  <c r="AR480" i="4" s="1"/>
  <c r="O472" i="4"/>
  <c r="AR472" i="4" s="1"/>
  <c r="O464" i="4"/>
  <c r="AR464" i="4" s="1"/>
  <c r="O456" i="4"/>
  <c r="AR456" i="4" s="1"/>
  <c r="O448" i="4"/>
  <c r="AR448" i="4" s="1"/>
  <c r="O440" i="4"/>
  <c r="AR440" i="4" s="1"/>
  <c r="O432" i="4"/>
  <c r="AR432" i="4" s="1"/>
  <c r="O424" i="4"/>
  <c r="AR424" i="4" s="1"/>
  <c r="O416" i="4"/>
  <c r="AR416" i="4" s="1"/>
  <c r="O408" i="4"/>
  <c r="AR408" i="4" s="1"/>
  <c r="O400" i="4"/>
  <c r="AR400" i="4" s="1"/>
  <c r="O392" i="4"/>
  <c r="AR392" i="4" s="1"/>
  <c r="O384" i="4"/>
  <c r="AR384" i="4" s="1"/>
  <c r="O376" i="4"/>
  <c r="AR376" i="4" s="1"/>
  <c r="O368" i="4"/>
  <c r="AR368" i="4" s="1"/>
  <c r="O360" i="4"/>
  <c r="AR360" i="4" s="1"/>
  <c r="O352" i="4"/>
  <c r="AR352" i="4" s="1"/>
  <c r="O344" i="4"/>
  <c r="AR344" i="4" s="1"/>
  <c r="O336" i="4"/>
  <c r="AR336" i="4" s="1"/>
  <c r="O328" i="4"/>
  <c r="AR328" i="4" s="1"/>
  <c r="O320" i="4"/>
  <c r="AR320" i="4" s="1"/>
  <c r="O312" i="4"/>
  <c r="AR312" i="4" s="1"/>
  <c r="O304" i="4"/>
  <c r="AR304" i="4" s="1"/>
  <c r="O296" i="4"/>
  <c r="AR296" i="4" s="1"/>
  <c r="O288" i="4"/>
  <c r="AR288" i="4" s="1"/>
  <c r="O284" i="4"/>
  <c r="AR284" i="4" s="1"/>
  <c r="O276" i="4"/>
  <c r="AR276" i="4" s="1"/>
  <c r="O268" i="4"/>
  <c r="AR268" i="4" s="1"/>
  <c r="O260" i="4"/>
  <c r="AR260" i="4" s="1"/>
  <c r="O252" i="4"/>
  <c r="AR252" i="4" s="1"/>
  <c r="O244" i="4"/>
  <c r="AR244" i="4" s="1"/>
  <c r="O236" i="4"/>
  <c r="AR236" i="4" s="1"/>
  <c r="O228" i="4"/>
  <c r="AR228" i="4" s="1"/>
  <c r="O220" i="4"/>
  <c r="AR220" i="4" s="1"/>
  <c r="O212" i="4"/>
  <c r="AR212" i="4" s="1"/>
  <c r="O204" i="4"/>
  <c r="AR204" i="4" s="1"/>
  <c r="O196" i="4"/>
  <c r="AR196" i="4" s="1"/>
  <c r="O188" i="4"/>
  <c r="AR188" i="4" s="1"/>
  <c r="O180" i="4"/>
  <c r="AR180" i="4" s="1"/>
  <c r="O172" i="4"/>
  <c r="AR172" i="4" s="1"/>
  <c r="O164" i="4"/>
  <c r="AR164" i="4" s="1"/>
  <c r="O156" i="4"/>
  <c r="AR156" i="4" s="1"/>
  <c r="O148" i="4"/>
  <c r="AR148" i="4" s="1"/>
  <c r="O144" i="4"/>
  <c r="AR144" i="4" s="1"/>
  <c r="O136" i="4"/>
  <c r="AR136" i="4" s="1"/>
  <c r="O128" i="4"/>
  <c r="AR128" i="4" s="1"/>
  <c r="O120" i="4"/>
  <c r="AR120" i="4" s="1"/>
  <c r="O112" i="4"/>
  <c r="AR112" i="4" s="1"/>
  <c r="O108" i="4"/>
  <c r="AR108" i="4" s="1"/>
  <c r="O104" i="4"/>
  <c r="AR104" i="4" s="1"/>
  <c r="O100" i="4"/>
  <c r="AR100" i="4" s="1"/>
  <c r="O96" i="4"/>
  <c r="AR96" i="4" s="1"/>
  <c r="O92" i="4"/>
  <c r="AR92" i="4" s="1"/>
  <c r="O88" i="4"/>
  <c r="AR88" i="4" s="1"/>
  <c r="O84" i="4"/>
  <c r="AR84" i="4" s="1"/>
  <c r="O80" i="4"/>
  <c r="AR80" i="4" s="1"/>
  <c r="O72" i="4"/>
  <c r="AR72" i="4" s="1"/>
  <c r="O68" i="4"/>
  <c r="AR68" i="4" s="1"/>
  <c r="O64" i="4"/>
  <c r="AR64" i="4" s="1"/>
  <c r="O60" i="4"/>
  <c r="AR60" i="4" s="1"/>
  <c r="O56" i="4"/>
  <c r="AR56" i="4" s="1"/>
  <c r="O52" i="4"/>
  <c r="AR52" i="4" s="1"/>
  <c r="O48" i="4"/>
  <c r="AR48" i="4" s="1"/>
  <c r="O44" i="4"/>
  <c r="AR44" i="4" s="1"/>
  <c r="O40" i="4"/>
  <c r="AR40" i="4" s="1"/>
  <c r="O544" i="4"/>
  <c r="AR544" i="4" s="1"/>
  <c r="O536" i="4"/>
  <c r="AR536" i="4" s="1"/>
  <c r="O528" i="4"/>
  <c r="AR528" i="4" s="1"/>
  <c r="O520" i="4"/>
  <c r="AR520" i="4" s="1"/>
  <c r="O512" i="4"/>
  <c r="AR512" i="4" s="1"/>
  <c r="O500" i="4"/>
  <c r="AR500" i="4" s="1"/>
  <c r="O492" i="4"/>
  <c r="AR492" i="4" s="1"/>
  <c r="O484" i="4"/>
  <c r="AR484" i="4" s="1"/>
  <c r="O476" i="4"/>
  <c r="AR476" i="4" s="1"/>
  <c r="O468" i="4"/>
  <c r="AR468" i="4" s="1"/>
  <c r="O460" i="4"/>
  <c r="AR460" i="4" s="1"/>
  <c r="O452" i="4"/>
  <c r="AR452" i="4" s="1"/>
  <c r="O444" i="4"/>
  <c r="AR444" i="4" s="1"/>
  <c r="O436" i="4"/>
  <c r="AR436" i="4" s="1"/>
  <c r="O428" i="4"/>
  <c r="AR428" i="4" s="1"/>
  <c r="O420" i="4"/>
  <c r="AR420" i="4" s="1"/>
  <c r="O412" i="4"/>
  <c r="AR412" i="4" s="1"/>
  <c r="O404" i="4"/>
  <c r="AR404" i="4" s="1"/>
  <c r="O396" i="4"/>
  <c r="AR396" i="4" s="1"/>
  <c r="O388" i="4"/>
  <c r="AR388" i="4" s="1"/>
  <c r="O380" i="4"/>
  <c r="AR380" i="4" s="1"/>
  <c r="O372" i="4"/>
  <c r="AR372" i="4" s="1"/>
  <c r="O364" i="4"/>
  <c r="AR364" i="4" s="1"/>
  <c r="O356" i="4"/>
  <c r="AR356" i="4" s="1"/>
  <c r="O348" i="4"/>
  <c r="AR348" i="4" s="1"/>
  <c r="O340" i="4"/>
  <c r="AR340" i="4" s="1"/>
  <c r="O332" i="4"/>
  <c r="AR332" i="4" s="1"/>
  <c r="O324" i="4"/>
  <c r="AR324" i="4" s="1"/>
  <c r="O316" i="4"/>
  <c r="AR316" i="4" s="1"/>
  <c r="O308" i="4"/>
  <c r="AR308" i="4" s="1"/>
  <c r="O300" i="4"/>
  <c r="AR300" i="4" s="1"/>
  <c r="O292" i="4"/>
  <c r="AR292" i="4" s="1"/>
  <c r="O280" i="4"/>
  <c r="AR280" i="4" s="1"/>
  <c r="O272" i="4"/>
  <c r="AR272" i="4" s="1"/>
  <c r="O264" i="4"/>
  <c r="AR264" i="4" s="1"/>
  <c r="O256" i="4"/>
  <c r="AR256" i="4" s="1"/>
  <c r="O248" i="4"/>
  <c r="AR248" i="4" s="1"/>
  <c r="O240" i="4"/>
  <c r="AR240" i="4" s="1"/>
  <c r="O232" i="4"/>
  <c r="AR232" i="4" s="1"/>
  <c r="O224" i="4"/>
  <c r="AR224" i="4" s="1"/>
  <c r="O216" i="4"/>
  <c r="AR216" i="4" s="1"/>
  <c r="O208" i="4"/>
  <c r="AR208" i="4" s="1"/>
  <c r="O200" i="4"/>
  <c r="AR200" i="4" s="1"/>
  <c r="O192" i="4"/>
  <c r="AR192" i="4" s="1"/>
  <c r="O184" i="4"/>
  <c r="AR184" i="4" s="1"/>
  <c r="O176" i="4"/>
  <c r="AR176" i="4" s="1"/>
  <c r="O168" i="4"/>
  <c r="AR168" i="4" s="1"/>
  <c r="O160" i="4"/>
  <c r="AR160" i="4" s="1"/>
  <c r="O152" i="4"/>
  <c r="AR152" i="4" s="1"/>
  <c r="O140" i="4"/>
  <c r="AR140" i="4" s="1"/>
  <c r="O132" i="4"/>
  <c r="AR132" i="4" s="1"/>
  <c r="O124" i="4"/>
  <c r="AR124" i="4" s="1"/>
  <c r="O116" i="4"/>
  <c r="AR116" i="4" s="1"/>
  <c r="O76" i="4"/>
  <c r="AR76" i="4" s="1"/>
  <c r="O635" i="4"/>
  <c r="AR635" i="4" s="1"/>
  <c r="O627" i="4"/>
  <c r="AR627" i="4" s="1"/>
  <c r="O619" i="4"/>
  <c r="AR619" i="4" s="1"/>
  <c r="O611" i="4"/>
  <c r="AR611" i="4" s="1"/>
  <c r="O603" i="4"/>
  <c r="AR603" i="4" s="1"/>
  <c r="O595" i="4"/>
  <c r="AR595" i="4" s="1"/>
  <c r="O587" i="4"/>
  <c r="AR587" i="4" s="1"/>
  <c r="O579" i="4"/>
  <c r="AR579" i="4" s="1"/>
  <c r="O571" i="4"/>
  <c r="AR571" i="4" s="1"/>
  <c r="O563" i="4"/>
  <c r="AR563" i="4" s="1"/>
  <c r="O555" i="4"/>
  <c r="AR555" i="4" s="1"/>
  <c r="O547" i="4"/>
  <c r="AR547" i="4" s="1"/>
  <c r="O543" i="4"/>
  <c r="AR543" i="4" s="1"/>
  <c r="O535" i="4"/>
  <c r="AR535" i="4" s="1"/>
  <c r="O523" i="4"/>
  <c r="AR523" i="4" s="1"/>
  <c r="O515" i="4"/>
  <c r="AR515" i="4" s="1"/>
  <c r="O507" i="4"/>
  <c r="AR507" i="4" s="1"/>
  <c r="O503" i="4"/>
  <c r="AR503" i="4" s="1"/>
  <c r="O495" i="4"/>
  <c r="AR495" i="4" s="1"/>
  <c r="O483" i="4"/>
  <c r="AR483" i="4" s="1"/>
  <c r="O475" i="4"/>
  <c r="AR475" i="4" s="1"/>
  <c r="O467" i="4"/>
  <c r="AR467" i="4" s="1"/>
  <c r="O463" i="4"/>
  <c r="AR463" i="4" s="1"/>
  <c r="O455" i="4"/>
  <c r="AR455" i="4" s="1"/>
  <c r="O447" i="4"/>
  <c r="AR447" i="4" s="1"/>
  <c r="O439" i="4"/>
  <c r="AR439" i="4" s="1"/>
  <c r="O431" i="4"/>
  <c r="AR431" i="4" s="1"/>
  <c r="O423" i="4"/>
  <c r="AR423" i="4" s="1"/>
  <c r="O411" i="4"/>
  <c r="AR411" i="4" s="1"/>
  <c r="O403" i="4"/>
  <c r="AR403" i="4" s="1"/>
  <c r="O395" i="4"/>
  <c r="AR395" i="4" s="1"/>
  <c r="O387" i="4"/>
  <c r="AR387" i="4" s="1"/>
  <c r="O383" i="4"/>
  <c r="AR383" i="4" s="1"/>
  <c r="O371" i="4"/>
  <c r="AR371" i="4" s="1"/>
  <c r="O363" i="4"/>
  <c r="AR363" i="4" s="1"/>
  <c r="O355" i="4"/>
  <c r="AR355" i="4" s="1"/>
  <c r="O347" i="4"/>
  <c r="AR347" i="4" s="1"/>
  <c r="O339" i="4"/>
  <c r="AR339" i="4" s="1"/>
  <c r="O331" i="4"/>
  <c r="AR331" i="4" s="1"/>
  <c r="O323" i="4"/>
  <c r="AR323" i="4" s="1"/>
  <c r="O315" i="4"/>
  <c r="AR315" i="4" s="1"/>
  <c r="O311" i="4"/>
  <c r="AR311" i="4" s="1"/>
  <c r="O303" i="4"/>
  <c r="AR303" i="4" s="1"/>
  <c r="O295" i="4"/>
  <c r="AR295" i="4" s="1"/>
  <c r="O287" i="4"/>
  <c r="AR287" i="4" s="1"/>
  <c r="O279" i="4"/>
  <c r="AR279" i="4" s="1"/>
  <c r="O271" i="4"/>
  <c r="AR271" i="4" s="1"/>
  <c r="O267" i="4"/>
  <c r="AR267" i="4" s="1"/>
  <c r="O259" i="4"/>
  <c r="AR259" i="4" s="1"/>
  <c r="O251" i="4"/>
  <c r="AR251" i="4" s="1"/>
  <c r="O243" i="4"/>
  <c r="AR243" i="4" s="1"/>
  <c r="O235" i="4"/>
  <c r="AR235" i="4" s="1"/>
  <c r="O227" i="4"/>
  <c r="AR227" i="4" s="1"/>
  <c r="O223" i="4"/>
  <c r="AR223" i="4" s="1"/>
  <c r="O215" i="4"/>
  <c r="AR215" i="4" s="1"/>
  <c r="O207" i="4"/>
  <c r="AR207" i="4" s="1"/>
  <c r="O199" i="4"/>
  <c r="AR199" i="4" s="1"/>
  <c r="O191" i="4"/>
  <c r="AR191" i="4" s="1"/>
  <c r="O183" i="4"/>
  <c r="AR183" i="4" s="1"/>
  <c r="O175" i="4"/>
  <c r="AR175" i="4" s="1"/>
  <c r="O167" i="4"/>
  <c r="AR167" i="4" s="1"/>
  <c r="O159" i="4"/>
  <c r="AR159" i="4" s="1"/>
  <c r="O151" i="4"/>
  <c r="AR151" i="4" s="1"/>
  <c r="O139" i="4"/>
  <c r="AR139" i="4" s="1"/>
  <c r="O131" i="4"/>
  <c r="AR131" i="4" s="1"/>
  <c r="O127" i="4"/>
  <c r="AR127" i="4" s="1"/>
  <c r="O119" i="4"/>
  <c r="AR119" i="4" s="1"/>
  <c r="O115" i="4"/>
  <c r="AR115" i="4" s="1"/>
  <c r="O111" i="4"/>
  <c r="AR111" i="4" s="1"/>
  <c r="O107" i="4"/>
  <c r="AR107" i="4" s="1"/>
  <c r="O103" i="4"/>
  <c r="AR103" i="4" s="1"/>
  <c r="O99" i="4"/>
  <c r="AR99" i="4" s="1"/>
  <c r="O95" i="4"/>
  <c r="AR95" i="4" s="1"/>
  <c r="O91" i="4"/>
  <c r="AR91" i="4" s="1"/>
  <c r="O87" i="4"/>
  <c r="AR87" i="4" s="1"/>
  <c r="O83" i="4"/>
  <c r="AR83" i="4" s="1"/>
  <c r="O79" i="4"/>
  <c r="AR79" i="4" s="1"/>
  <c r="O71" i="4"/>
  <c r="AR71" i="4" s="1"/>
  <c r="O67" i="4"/>
  <c r="AR67" i="4" s="1"/>
  <c r="O63" i="4"/>
  <c r="AR63" i="4" s="1"/>
  <c r="O59" i="4"/>
  <c r="AR59" i="4" s="1"/>
  <c r="O55" i="4"/>
  <c r="AR55" i="4" s="1"/>
  <c r="O51" i="4"/>
  <c r="AR51" i="4" s="1"/>
  <c r="O47" i="4"/>
  <c r="AR47" i="4" s="1"/>
  <c r="O43" i="4"/>
  <c r="AR43" i="4" s="1"/>
  <c r="O631" i="4"/>
  <c r="AR631" i="4" s="1"/>
  <c r="O623" i="4"/>
  <c r="AR623" i="4" s="1"/>
  <c r="O615" i="4"/>
  <c r="AR615" i="4" s="1"/>
  <c r="O607" i="4"/>
  <c r="AR607" i="4" s="1"/>
  <c r="O599" i="4"/>
  <c r="AR599" i="4" s="1"/>
  <c r="O591" i="4"/>
  <c r="AR591" i="4" s="1"/>
  <c r="O583" i="4"/>
  <c r="AR583" i="4" s="1"/>
  <c r="O575" i="4"/>
  <c r="AR575" i="4" s="1"/>
  <c r="O567" i="4"/>
  <c r="AR567" i="4" s="1"/>
  <c r="O559" i="4"/>
  <c r="AR559" i="4" s="1"/>
  <c r="O551" i="4"/>
  <c r="AR551" i="4" s="1"/>
  <c r="O539" i="4"/>
  <c r="AR539" i="4" s="1"/>
  <c r="O531" i="4"/>
  <c r="AR531" i="4" s="1"/>
  <c r="O527" i="4"/>
  <c r="AR527" i="4" s="1"/>
  <c r="O519" i="4"/>
  <c r="AR519" i="4" s="1"/>
  <c r="O511" i="4"/>
  <c r="AR511" i="4" s="1"/>
  <c r="O499" i="4"/>
  <c r="AR499" i="4" s="1"/>
  <c r="O491" i="4"/>
  <c r="AR491" i="4" s="1"/>
  <c r="O487" i="4"/>
  <c r="AR487" i="4" s="1"/>
  <c r="O479" i="4"/>
  <c r="AR479" i="4" s="1"/>
  <c r="O471" i="4"/>
  <c r="AR471" i="4" s="1"/>
  <c r="O459" i="4"/>
  <c r="AR459" i="4" s="1"/>
  <c r="O451" i="4"/>
  <c r="AR451" i="4" s="1"/>
  <c r="O443" i="4"/>
  <c r="AR443" i="4" s="1"/>
  <c r="O435" i="4"/>
  <c r="AR435" i="4" s="1"/>
  <c r="O427" i="4"/>
  <c r="AR427" i="4" s="1"/>
  <c r="O419" i="4"/>
  <c r="AR419" i="4" s="1"/>
  <c r="O415" i="4"/>
  <c r="AR415" i="4" s="1"/>
  <c r="O407" i="4"/>
  <c r="AR407" i="4" s="1"/>
  <c r="O399" i="4"/>
  <c r="AR399" i="4" s="1"/>
  <c r="O391" i="4"/>
  <c r="AR391" i="4" s="1"/>
  <c r="O379" i="4"/>
  <c r="AR379" i="4" s="1"/>
  <c r="O375" i="4"/>
  <c r="AR375" i="4" s="1"/>
  <c r="O367" i="4"/>
  <c r="AR367" i="4" s="1"/>
  <c r="O359" i="4"/>
  <c r="AR359" i="4" s="1"/>
  <c r="O351" i="4"/>
  <c r="AR351" i="4" s="1"/>
  <c r="O343" i="4"/>
  <c r="AR343" i="4" s="1"/>
  <c r="O335" i="4"/>
  <c r="AR335" i="4" s="1"/>
  <c r="O327" i="4"/>
  <c r="AR327" i="4" s="1"/>
  <c r="O319" i="4"/>
  <c r="AR319" i="4" s="1"/>
  <c r="O307" i="4"/>
  <c r="AR307" i="4" s="1"/>
  <c r="O299" i="4"/>
  <c r="AR299" i="4" s="1"/>
  <c r="O291" i="4"/>
  <c r="AR291" i="4" s="1"/>
  <c r="O283" i="4"/>
  <c r="AR283" i="4" s="1"/>
  <c r="O275" i="4"/>
  <c r="AR275" i="4" s="1"/>
  <c r="O263" i="4"/>
  <c r="AR263" i="4" s="1"/>
  <c r="O255" i="4"/>
  <c r="AR255" i="4" s="1"/>
  <c r="O247" i="4"/>
  <c r="AR247" i="4" s="1"/>
  <c r="O239" i="4"/>
  <c r="AR239" i="4" s="1"/>
  <c r="O231" i="4"/>
  <c r="AR231" i="4" s="1"/>
  <c r="O219" i="4"/>
  <c r="AR219" i="4" s="1"/>
  <c r="O211" i="4"/>
  <c r="AR211" i="4" s="1"/>
  <c r="O203" i="4"/>
  <c r="AR203" i="4" s="1"/>
  <c r="O195" i="4"/>
  <c r="AR195" i="4" s="1"/>
  <c r="O187" i="4"/>
  <c r="AR187" i="4" s="1"/>
  <c r="O179" i="4"/>
  <c r="AR179" i="4" s="1"/>
  <c r="O171" i="4"/>
  <c r="AR171" i="4" s="1"/>
  <c r="O163" i="4"/>
  <c r="AR163" i="4" s="1"/>
  <c r="O155" i="4"/>
  <c r="AR155" i="4" s="1"/>
  <c r="O147" i="4"/>
  <c r="AR147" i="4" s="1"/>
  <c r="O143" i="4"/>
  <c r="AR143" i="4" s="1"/>
  <c r="O135" i="4"/>
  <c r="AR135" i="4" s="1"/>
  <c r="O123" i="4"/>
  <c r="AR123" i="4" s="1"/>
  <c r="O75" i="4"/>
  <c r="AR75" i="4" s="1"/>
  <c r="O566" i="4"/>
  <c r="AR566" i="4" s="1"/>
  <c r="O558" i="4"/>
  <c r="AR558" i="4" s="1"/>
  <c r="O550" i="4"/>
  <c r="AR550" i="4" s="1"/>
  <c r="O542" i="4"/>
  <c r="AR542" i="4" s="1"/>
  <c r="O534" i="4"/>
  <c r="AR534" i="4" s="1"/>
  <c r="O526" i="4"/>
  <c r="AR526" i="4" s="1"/>
  <c r="O518" i="4"/>
  <c r="AR518" i="4" s="1"/>
  <c r="O510" i="4"/>
  <c r="AR510" i="4" s="1"/>
  <c r="O502" i="4"/>
  <c r="AR502" i="4" s="1"/>
  <c r="O494" i="4"/>
  <c r="AR494" i="4" s="1"/>
  <c r="O486" i="4"/>
  <c r="AR486" i="4" s="1"/>
  <c r="O478" i="4"/>
  <c r="AR478" i="4" s="1"/>
  <c r="O470" i="4"/>
  <c r="AR470" i="4" s="1"/>
  <c r="O462" i="4"/>
  <c r="AR462" i="4" s="1"/>
  <c r="O454" i="4"/>
  <c r="AR454" i="4" s="1"/>
  <c r="O446" i="4"/>
  <c r="AR446" i="4" s="1"/>
  <c r="O438" i="4"/>
  <c r="AR438" i="4" s="1"/>
  <c r="O430" i="4"/>
  <c r="AR430" i="4" s="1"/>
  <c r="O422" i="4"/>
  <c r="AR422" i="4" s="1"/>
  <c r="O414" i="4"/>
  <c r="AR414" i="4" s="1"/>
  <c r="O406" i="4"/>
  <c r="AR406" i="4" s="1"/>
  <c r="O398" i="4"/>
  <c r="AR398" i="4" s="1"/>
  <c r="O390" i="4"/>
  <c r="AR390" i="4" s="1"/>
  <c r="O382" i="4"/>
  <c r="AR382" i="4" s="1"/>
  <c r="O374" i="4"/>
  <c r="AR374" i="4" s="1"/>
  <c r="O366" i="4"/>
  <c r="AR366" i="4" s="1"/>
  <c r="O358" i="4"/>
  <c r="AR358" i="4" s="1"/>
  <c r="O350" i="4"/>
  <c r="AR350" i="4" s="1"/>
  <c r="O342" i="4"/>
  <c r="AR342" i="4" s="1"/>
  <c r="O334" i="4"/>
  <c r="AR334" i="4" s="1"/>
  <c r="O326" i="4"/>
  <c r="AR326" i="4" s="1"/>
  <c r="O318" i="4"/>
  <c r="AR318" i="4" s="1"/>
  <c r="O306" i="4"/>
  <c r="AR306" i="4" s="1"/>
  <c r="O298" i="4"/>
  <c r="AR298" i="4" s="1"/>
  <c r="O290" i="4"/>
  <c r="AR290" i="4" s="1"/>
  <c r="O282" i="4"/>
  <c r="AR282" i="4" s="1"/>
  <c r="O274" i="4"/>
  <c r="AR274" i="4" s="1"/>
  <c r="O266" i="4"/>
  <c r="AR266" i="4" s="1"/>
  <c r="O258" i="4"/>
  <c r="AR258" i="4" s="1"/>
  <c r="O250" i="4"/>
  <c r="AR250" i="4" s="1"/>
  <c r="O242" i="4"/>
  <c r="AR242" i="4" s="1"/>
  <c r="O234" i="4"/>
  <c r="AR234" i="4" s="1"/>
  <c r="O226" i="4"/>
  <c r="AR226" i="4" s="1"/>
  <c r="O218" i="4"/>
  <c r="AR218" i="4" s="1"/>
  <c r="O210" i="4"/>
  <c r="AR210" i="4" s="1"/>
  <c r="O202" i="4"/>
  <c r="AR202" i="4" s="1"/>
  <c r="O194" i="4"/>
  <c r="AR194" i="4" s="1"/>
  <c r="O186" i="4"/>
  <c r="AR186" i="4" s="1"/>
  <c r="O178" i="4"/>
  <c r="AR178" i="4" s="1"/>
  <c r="O170" i="4"/>
  <c r="AR170" i="4" s="1"/>
  <c r="O162" i="4"/>
  <c r="AR162" i="4" s="1"/>
  <c r="O154" i="4"/>
  <c r="AR154" i="4" s="1"/>
  <c r="O146" i="4"/>
  <c r="AR146" i="4" s="1"/>
  <c r="O138" i="4"/>
  <c r="AR138" i="4" s="1"/>
  <c r="O130" i="4"/>
  <c r="AR130" i="4" s="1"/>
  <c r="O126" i="4"/>
  <c r="AR126" i="4" s="1"/>
  <c r="O118" i="4"/>
  <c r="AR118" i="4" s="1"/>
  <c r="O110" i="4"/>
  <c r="AR110" i="4" s="1"/>
  <c r="O106" i="4"/>
  <c r="AR106" i="4" s="1"/>
  <c r="O98" i="4"/>
  <c r="AR98" i="4" s="1"/>
  <c r="O94" i="4"/>
  <c r="AR94" i="4" s="1"/>
  <c r="O90" i="4"/>
  <c r="AR90" i="4" s="1"/>
  <c r="O86" i="4"/>
  <c r="AR86" i="4" s="1"/>
  <c r="O82" i="4"/>
  <c r="AR82" i="4" s="1"/>
  <c r="O78" i="4"/>
  <c r="AR78" i="4" s="1"/>
  <c r="O74" i="4"/>
  <c r="AR74" i="4" s="1"/>
  <c r="O70" i="4"/>
  <c r="AR70" i="4" s="1"/>
  <c r="O62" i="4"/>
  <c r="AR62" i="4" s="1"/>
  <c r="O58" i="4"/>
  <c r="AR58" i="4" s="1"/>
  <c r="O54" i="4"/>
  <c r="AR54" i="4" s="1"/>
  <c r="O50" i="4"/>
  <c r="AR50" i="4" s="1"/>
  <c r="O46" i="4"/>
  <c r="AR46" i="4" s="1"/>
  <c r="O42" i="4"/>
  <c r="AR42" i="4" s="1"/>
  <c r="O562" i="4"/>
  <c r="AR562" i="4" s="1"/>
  <c r="O554" i="4"/>
  <c r="AR554" i="4" s="1"/>
  <c r="O546" i="4"/>
  <c r="AR546" i="4" s="1"/>
  <c r="O538" i="4"/>
  <c r="AR538" i="4" s="1"/>
  <c r="O530" i="4"/>
  <c r="AR530" i="4" s="1"/>
  <c r="O522" i="4"/>
  <c r="AR522" i="4" s="1"/>
  <c r="O514" i="4"/>
  <c r="AR514" i="4" s="1"/>
  <c r="O506" i="4"/>
  <c r="AR506" i="4" s="1"/>
  <c r="O498" i="4"/>
  <c r="AR498" i="4" s="1"/>
  <c r="O490" i="4"/>
  <c r="AR490" i="4" s="1"/>
  <c r="O482" i="4"/>
  <c r="AR482" i="4" s="1"/>
  <c r="O474" i="4"/>
  <c r="AR474" i="4" s="1"/>
  <c r="O466" i="4"/>
  <c r="AR466" i="4" s="1"/>
  <c r="O458" i="4"/>
  <c r="AR458" i="4" s="1"/>
  <c r="O450" i="4"/>
  <c r="AR450" i="4" s="1"/>
  <c r="O442" i="4"/>
  <c r="AR442" i="4" s="1"/>
  <c r="O434" i="4"/>
  <c r="AR434" i="4" s="1"/>
  <c r="O426" i="4"/>
  <c r="AR426" i="4" s="1"/>
  <c r="O418" i="4"/>
  <c r="AR418" i="4" s="1"/>
  <c r="O410" i="4"/>
  <c r="AR410" i="4" s="1"/>
  <c r="O402" i="4"/>
  <c r="AR402" i="4" s="1"/>
  <c r="O394" i="4"/>
  <c r="AR394" i="4" s="1"/>
  <c r="O386" i="4"/>
  <c r="AR386" i="4" s="1"/>
  <c r="O378" i="4"/>
  <c r="AR378" i="4" s="1"/>
  <c r="O370" i="4"/>
  <c r="AR370" i="4" s="1"/>
  <c r="O362" i="4"/>
  <c r="AR362" i="4" s="1"/>
  <c r="O354" i="4"/>
  <c r="AR354" i="4" s="1"/>
  <c r="O346" i="4"/>
  <c r="AR346" i="4" s="1"/>
  <c r="O338" i="4"/>
  <c r="AR338" i="4" s="1"/>
  <c r="O330" i="4"/>
  <c r="AR330" i="4" s="1"/>
  <c r="O322" i="4"/>
  <c r="AR322" i="4" s="1"/>
  <c r="O314" i="4"/>
  <c r="AR314" i="4" s="1"/>
  <c r="O310" i="4"/>
  <c r="AR310" i="4" s="1"/>
  <c r="O302" i="4"/>
  <c r="AR302" i="4" s="1"/>
  <c r="O294" i="4"/>
  <c r="AR294" i="4" s="1"/>
  <c r="O286" i="4"/>
  <c r="AR286" i="4" s="1"/>
  <c r="O278" i="4"/>
  <c r="AR278" i="4" s="1"/>
  <c r="O270" i="4"/>
  <c r="AR270" i="4" s="1"/>
  <c r="O262" i="4"/>
  <c r="AR262" i="4" s="1"/>
  <c r="O254" i="4"/>
  <c r="AR254" i="4" s="1"/>
  <c r="O246" i="4"/>
  <c r="AR246" i="4" s="1"/>
  <c r="O238" i="4"/>
  <c r="AR238" i="4" s="1"/>
  <c r="O230" i="4"/>
  <c r="AR230" i="4" s="1"/>
  <c r="O222" i="4"/>
  <c r="AR222" i="4" s="1"/>
  <c r="O214" i="4"/>
  <c r="AR214" i="4" s="1"/>
  <c r="O206" i="4"/>
  <c r="AR206" i="4" s="1"/>
  <c r="O198" i="4"/>
  <c r="AR198" i="4" s="1"/>
  <c r="O190" i="4"/>
  <c r="AR190" i="4" s="1"/>
  <c r="O182" i="4"/>
  <c r="AR182" i="4" s="1"/>
  <c r="O174" i="4"/>
  <c r="AR174" i="4" s="1"/>
  <c r="O166" i="4"/>
  <c r="AR166" i="4" s="1"/>
  <c r="O158" i="4"/>
  <c r="AR158" i="4" s="1"/>
  <c r="O150" i="4"/>
  <c r="AR150" i="4" s="1"/>
  <c r="O142" i="4"/>
  <c r="AR142" i="4" s="1"/>
  <c r="O134" i="4"/>
  <c r="AR134" i="4" s="1"/>
  <c r="O122" i="4"/>
  <c r="AR122" i="4" s="1"/>
  <c r="O114" i="4"/>
  <c r="AR114" i="4" s="1"/>
  <c r="O102" i="4"/>
  <c r="AR102" i="4" s="1"/>
  <c r="O66" i="4"/>
  <c r="AR66" i="4" s="1"/>
  <c r="O25" i="4"/>
  <c r="AR25" i="4" s="1"/>
  <c r="Y10" i="4"/>
  <c r="AA10" i="5"/>
  <c r="Z10" i="5"/>
  <c r="Y9" i="5"/>
  <c r="Y8" i="5"/>
  <c r="AA10" i="4" l="1"/>
  <c r="AB9" i="14" s="1"/>
  <c r="I18" i="14" s="1"/>
  <c r="AA9" i="14"/>
  <c r="I15" i="14" s="1"/>
  <c r="AA9" i="13"/>
  <c r="I12" i="13" s="1"/>
  <c r="AD7" i="14"/>
  <c r="J28" i="14" s="1"/>
  <c r="AB7" i="13"/>
  <c r="J22" i="13" s="1"/>
  <c r="AD8" i="14"/>
  <c r="J8" i="14" s="1"/>
  <c r="AB8" i="13"/>
  <c r="J8" i="13" s="1"/>
  <c r="AC9" i="13"/>
  <c r="J12" i="13" s="1"/>
  <c r="K12" i="13" s="1"/>
  <c r="AE9" i="14"/>
  <c r="J15" i="14" s="1"/>
  <c r="AF9" i="14"/>
  <c r="J18" i="14" s="1"/>
  <c r="Y8" i="4"/>
  <c r="Y9" i="4"/>
  <c r="Z9" i="14"/>
  <c r="I9" i="14" s="1"/>
  <c r="K9" i="14" s="1"/>
  <c r="Z9" i="13"/>
  <c r="I9" i="13" s="1"/>
  <c r="K9" i="13" s="1"/>
  <c r="AS1000" i="5"/>
  <c r="AR1000" i="5"/>
  <c r="AS999" i="5"/>
  <c r="AR999" i="5"/>
  <c r="AS998" i="5"/>
  <c r="AR998" i="5"/>
  <c r="AS997" i="5"/>
  <c r="AR997" i="5"/>
  <c r="AS996" i="5"/>
  <c r="AR996" i="5"/>
  <c r="AS995" i="5"/>
  <c r="AR995" i="5"/>
  <c r="AS994" i="5"/>
  <c r="AR994" i="5"/>
  <c r="AS993" i="5"/>
  <c r="AR993" i="5"/>
  <c r="AS992" i="5"/>
  <c r="AR992" i="5"/>
  <c r="AS991" i="5"/>
  <c r="AR991" i="5"/>
  <c r="AS990" i="5"/>
  <c r="AR990" i="5"/>
  <c r="AS989" i="5"/>
  <c r="AR989" i="5"/>
  <c r="AS988" i="5"/>
  <c r="AR988" i="5"/>
  <c r="AS987" i="5"/>
  <c r="AR987" i="5"/>
  <c r="AS986" i="5"/>
  <c r="AR986" i="5"/>
  <c r="AS985" i="5"/>
  <c r="AR985" i="5"/>
  <c r="AS984" i="5"/>
  <c r="AR984" i="5"/>
  <c r="AS983" i="5"/>
  <c r="AR983" i="5"/>
  <c r="AS982" i="5"/>
  <c r="AR982" i="5"/>
  <c r="AS981" i="5"/>
  <c r="AR981" i="5"/>
  <c r="AS980" i="5"/>
  <c r="AR980" i="5"/>
  <c r="AS979" i="5"/>
  <c r="AR979" i="5"/>
  <c r="AS978" i="5"/>
  <c r="AR978" i="5"/>
  <c r="AS977" i="5"/>
  <c r="AR977" i="5"/>
  <c r="AS976" i="5"/>
  <c r="AR976" i="5"/>
  <c r="AS975" i="5"/>
  <c r="AR975" i="5"/>
  <c r="AS974" i="5"/>
  <c r="AR974" i="5"/>
  <c r="AS973" i="5"/>
  <c r="AR973" i="5"/>
  <c r="AS972" i="5"/>
  <c r="AR972" i="5"/>
  <c r="AS971" i="5"/>
  <c r="AR971" i="5"/>
  <c r="AS970" i="5"/>
  <c r="AR970" i="5"/>
  <c r="AS969" i="5"/>
  <c r="AR969" i="5"/>
  <c r="AS968" i="5"/>
  <c r="AR968" i="5"/>
  <c r="AS967" i="5"/>
  <c r="AR967" i="5"/>
  <c r="AS966" i="5"/>
  <c r="AR966" i="5"/>
  <c r="AS965" i="5"/>
  <c r="AR965" i="5"/>
  <c r="AS964" i="5"/>
  <c r="AR964" i="5"/>
  <c r="AS963" i="5"/>
  <c r="AR963" i="5"/>
  <c r="AS962" i="5"/>
  <c r="AR962" i="5"/>
  <c r="AS961" i="5"/>
  <c r="AR961" i="5"/>
  <c r="AS960" i="5"/>
  <c r="AR960" i="5"/>
  <c r="AS959" i="5"/>
  <c r="AR959" i="5"/>
  <c r="AS958" i="5"/>
  <c r="AR958" i="5"/>
  <c r="AS957" i="5"/>
  <c r="AR957" i="5"/>
  <c r="AS956" i="5"/>
  <c r="AR956" i="5"/>
  <c r="AS955" i="5"/>
  <c r="AR955" i="5"/>
  <c r="AS954" i="5"/>
  <c r="AR954" i="5"/>
  <c r="AS953" i="5"/>
  <c r="AR953" i="5"/>
  <c r="AS952" i="5"/>
  <c r="AR952" i="5"/>
  <c r="AS951" i="5"/>
  <c r="AR951" i="5"/>
  <c r="AS950" i="5"/>
  <c r="AR950" i="5"/>
  <c r="AS949" i="5"/>
  <c r="AR949" i="5"/>
  <c r="AS948" i="5"/>
  <c r="AR948" i="5"/>
  <c r="AS947" i="5"/>
  <c r="AR947" i="5"/>
  <c r="AS946" i="5"/>
  <c r="AR946" i="5"/>
  <c r="AS945" i="5"/>
  <c r="AR945" i="5"/>
  <c r="AS944" i="5"/>
  <c r="AR944" i="5"/>
  <c r="AS943" i="5"/>
  <c r="AR943" i="5"/>
  <c r="AS942" i="5"/>
  <c r="AR942" i="5"/>
  <c r="AS941" i="5"/>
  <c r="AR941" i="5"/>
  <c r="AS940" i="5"/>
  <c r="AR940" i="5"/>
  <c r="AS939" i="5"/>
  <c r="AR939" i="5"/>
  <c r="AS938" i="5"/>
  <c r="AR938" i="5"/>
  <c r="AS937" i="5"/>
  <c r="AR937" i="5"/>
  <c r="AS936" i="5"/>
  <c r="AR936" i="5"/>
  <c r="AS935" i="5"/>
  <c r="AR935" i="5"/>
  <c r="AS934" i="5"/>
  <c r="AR934" i="5"/>
  <c r="AS933" i="5"/>
  <c r="AR933" i="5"/>
  <c r="AS932" i="5"/>
  <c r="AR932" i="5"/>
  <c r="AS931" i="5"/>
  <c r="AR931" i="5"/>
  <c r="AS930" i="5"/>
  <c r="AR930" i="5"/>
  <c r="AS929" i="5"/>
  <c r="AR929" i="5"/>
  <c r="AS928" i="5"/>
  <c r="AR928" i="5"/>
  <c r="AS927" i="5"/>
  <c r="AR927" i="5"/>
  <c r="AS926" i="5"/>
  <c r="AR926" i="5"/>
  <c r="AS925" i="5"/>
  <c r="AR925" i="5"/>
  <c r="AS924" i="5"/>
  <c r="AR924" i="5"/>
  <c r="AS923" i="5"/>
  <c r="AR923" i="5"/>
  <c r="AS922" i="5"/>
  <c r="AR922" i="5"/>
  <c r="AS921" i="5"/>
  <c r="AR921" i="5"/>
  <c r="AS920" i="5"/>
  <c r="AR920" i="5"/>
  <c r="AS919" i="5"/>
  <c r="AR919" i="5"/>
  <c r="AS918" i="5"/>
  <c r="AR918" i="5"/>
  <c r="AS917" i="5"/>
  <c r="AR917" i="5"/>
  <c r="AS916" i="5"/>
  <c r="AR916" i="5"/>
  <c r="AS915" i="5"/>
  <c r="AR915" i="5"/>
  <c r="AS914" i="5"/>
  <c r="AR914" i="5"/>
  <c r="AS913" i="5"/>
  <c r="AR913" i="5"/>
  <c r="AS912" i="5"/>
  <c r="AR912" i="5"/>
  <c r="AS911" i="5"/>
  <c r="AR911" i="5"/>
  <c r="AS910" i="5"/>
  <c r="AR910" i="5"/>
  <c r="AS909" i="5"/>
  <c r="AR909" i="5"/>
  <c r="AS908" i="5"/>
  <c r="AR908" i="5"/>
  <c r="AS907" i="5"/>
  <c r="AR907" i="5"/>
  <c r="AS906" i="5"/>
  <c r="AR906" i="5"/>
  <c r="AS905" i="5"/>
  <c r="AR905" i="5"/>
  <c r="AS904" i="5"/>
  <c r="AR904" i="5"/>
  <c r="AS903" i="5"/>
  <c r="AR903" i="5"/>
  <c r="AS902" i="5"/>
  <c r="AR902" i="5"/>
  <c r="AS901" i="5"/>
  <c r="AR901" i="5"/>
  <c r="AS900" i="5"/>
  <c r="AR900" i="5"/>
  <c r="AS899" i="5"/>
  <c r="AR899" i="5"/>
  <c r="AS898" i="5"/>
  <c r="AR898" i="5"/>
  <c r="AS897" i="5"/>
  <c r="AR897" i="5"/>
  <c r="AS896" i="5"/>
  <c r="AR896" i="5"/>
  <c r="AS895" i="5"/>
  <c r="AR895" i="5"/>
  <c r="AS894" i="5"/>
  <c r="AR894" i="5"/>
  <c r="AS893" i="5"/>
  <c r="AR893" i="5"/>
  <c r="AS892" i="5"/>
  <c r="AR892" i="5"/>
  <c r="AS891" i="5"/>
  <c r="AR891" i="5"/>
  <c r="AS890" i="5"/>
  <c r="AR890" i="5"/>
  <c r="AS889" i="5"/>
  <c r="AR889" i="5"/>
  <c r="AS888" i="5"/>
  <c r="AR888" i="5"/>
  <c r="AS887" i="5"/>
  <c r="AR887" i="5"/>
  <c r="AS886" i="5"/>
  <c r="AR886" i="5"/>
  <c r="AS885" i="5"/>
  <c r="AR885" i="5"/>
  <c r="AS884" i="5"/>
  <c r="AR884" i="5"/>
  <c r="AS883" i="5"/>
  <c r="AR883" i="5"/>
  <c r="AS882" i="5"/>
  <c r="AR882" i="5"/>
  <c r="AS881" i="5"/>
  <c r="AR881" i="5"/>
  <c r="AS880" i="5"/>
  <c r="AR880" i="5"/>
  <c r="AS879" i="5"/>
  <c r="AR879" i="5"/>
  <c r="AS878" i="5"/>
  <c r="AR878" i="5"/>
  <c r="AS877" i="5"/>
  <c r="AR877" i="5"/>
  <c r="AS876" i="5"/>
  <c r="AR876" i="5"/>
  <c r="AS875" i="5"/>
  <c r="AR875" i="5"/>
  <c r="AS874" i="5"/>
  <c r="AR874" i="5"/>
  <c r="AS873" i="5"/>
  <c r="AR873" i="5"/>
  <c r="AS872" i="5"/>
  <c r="AR872" i="5"/>
  <c r="AS871" i="5"/>
  <c r="AR871" i="5"/>
  <c r="AS870" i="5"/>
  <c r="AR870" i="5"/>
  <c r="AS869" i="5"/>
  <c r="AR869" i="5"/>
  <c r="AS868" i="5"/>
  <c r="AR868" i="5"/>
  <c r="AS867" i="5"/>
  <c r="AR867" i="5"/>
  <c r="AS866" i="5"/>
  <c r="AR866" i="5"/>
  <c r="AS865" i="5"/>
  <c r="AR865" i="5"/>
  <c r="AS864" i="5"/>
  <c r="AR864" i="5"/>
  <c r="AS863" i="5"/>
  <c r="AR863" i="5"/>
  <c r="AS862" i="5"/>
  <c r="AR862" i="5"/>
  <c r="AS861" i="5"/>
  <c r="AR861" i="5"/>
  <c r="AS860" i="5"/>
  <c r="AR860" i="5"/>
  <c r="AS859" i="5"/>
  <c r="AR859" i="5"/>
  <c r="AS858" i="5"/>
  <c r="AR858" i="5"/>
  <c r="AS857" i="5"/>
  <c r="AR857" i="5"/>
  <c r="AS856" i="5"/>
  <c r="AR856" i="5"/>
  <c r="AS855" i="5"/>
  <c r="AR855" i="5"/>
  <c r="AS854" i="5"/>
  <c r="AR854" i="5"/>
  <c r="AS853" i="5"/>
  <c r="AR853" i="5"/>
  <c r="AS852" i="5"/>
  <c r="AR852" i="5"/>
  <c r="AS851" i="5"/>
  <c r="AR851" i="5"/>
  <c r="AS850" i="5"/>
  <c r="AR850" i="5"/>
  <c r="AS849" i="5"/>
  <c r="AR849" i="5"/>
  <c r="AS848" i="5"/>
  <c r="AR848" i="5"/>
  <c r="AS847" i="5"/>
  <c r="AR847" i="5"/>
  <c r="AS846" i="5"/>
  <c r="AR846" i="5"/>
  <c r="AS845" i="5"/>
  <c r="AR845" i="5"/>
  <c r="AS844" i="5"/>
  <c r="AR844" i="5"/>
  <c r="AS843" i="5"/>
  <c r="AR843" i="5"/>
  <c r="AS842" i="5"/>
  <c r="AR842" i="5"/>
  <c r="AS841" i="5"/>
  <c r="AR841" i="5"/>
  <c r="AS840" i="5"/>
  <c r="AR840" i="5"/>
  <c r="AS839" i="5"/>
  <c r="AR839" i="5"/>
  <c r="AS838" i="5"/>
  <c r="AR838" i="5"/>
  <c r="AS837" i="5"/>
  <c r="AR837" i="5"/>
  <c r="AS836" i="5"/>
  <c r="AR836" i="5"/>
  <c r="AS835" i="5"/>
  <c r="AR835" i="5"/>
  <c r="AS834" i="5"/>
  <c r="AR834" i="5"/>
  <c r="AS833" i="5"/>
  <c r="AR833" i="5"/>
  <c r="AS832" i="5"/>
  <c r="AR832" i="5"/>
  <c r="AS831" i="5"/>
  <c r="AR831" i="5"/>
  <c r="AS830" i="5"/>
  <c r="AR830" i="5"/>
  <c r="AS829" i="5"/>
  <c r="AR829" i="5"/>
  <c r="AS828" i="5"/>
  <c r="AR828" i="5"/>
  <c r="AS827" i="5"/>
  <c r="AR827" i="5"/>
  <c r="AS826" i="5"/>
  <c r="AR826" i="5"/>
  <c r="AS825" i="5"/>
  <c r="AR825" i="5"/>
  <c r="AS824" i="5"/>
  <c r="AR824" i="5"/>
  <c r="AS823" i="5"/>
  <c r="AR823" i="5"/>
  <c r="AS822" i="5"/>
  <c r="AR822" i="5"/>
  <c r="AS821" i="5"/>
  <c r="AR821" i="5"/>
  <c r="AS820" i="5"/>
  <c r="AR820" i="5"/>
  <c r="AS819" i="5"/>
  <c r="AR819" i="5"/>
  <c r="AS818" i="5"/>
  <c r="AR818" i="5"/>
  <c r="AS817" i="5"/>
  <c r="AR817" i="5"/>
  <c r="AS816" i="5"/>
  <c r="AR816" i="5"/>
  <c r="AS815" i="5"/>
  <c r="AR815" i="5"/>
  <c r="AS814" i="5"/>
  <c r="AR814" i="5"/>
  <c r="AS813" i="5"/>
  <c r="AR813" i="5"/>
  <c r="AS812" i="5"/>
  <c r="AR812" i="5"/>
  <c r="AS811" i="5"/>
  <c r="AR811" i="5"/>
  <c r="AS810" i="5"/>
  <c r="AR810" i="5"/>
  <c r="AS809" i="5"/>
  <c r="AR809" i="5"/>
  <c r="AS808" i="5"/>
  <c r="AR808" i="5"/>
  <c r="AS807" i="5"/>
  <c r="AR807" i="5"/>
  <c r="AS806" i="5"/>
  <c r="AR806" i="5"/>
  <c r="AS805" i="5"/>
  <c r="AR805" i="5"/>
  <c r="AS804" i="5"/>
  <c r="AR804" i="5"/>
  <c r="AS803" i="5"/>
  <c r="AR803" i="5"/>
  <c r="AS802" i="5"/>
  <c r="AR802" i="5"/>
  <c r="AS801" i="5"/>
  <c r="AR801" i="5"/>
  <c r="AS800" i="5"/>
  <c r="AR800" i="5"/>
  <c r="AS799" i="5"/>
  <c r="AR799" i="5"/>
  <c r="AS798" i="5"/>
  <c r="AR798" i="5"/>
  <c r="AS797" i="5"/>
  <c r="AR797" i="5"/>
  <c r="AS796" i="5"/>
  <c r="AR796" i="5"/>
  <c r="AS795" i="5"/>
  <c r="AR795" i="5"/>
  <c r="AS794" i="5"/>
  <c r="AR794" i="5"/>
  <c r="AS793" i="5"/>
  <c r="AR793" i="5"/>
  <c r="AS792" i="5"/>
  <c r="AR792" i="5"/>
  <c r="AS791" i="5"/>
  <c r="AR791" i="5"/>
  <c r="AS790" i="5"/>
  <c r="AR790" i="5"/>
  <c r="AS789" i="5"/>
  <c r="AR789" i="5"/>
  <c r="AS788" i="5"/>
  <c r="AR788" i="5"/>
  <c r="AS787" i="5"/>
  <c r="AR787" i="5"/>
  <c r="AS786" i="5"/>
  <c r="AR786" i="5"/>
  <c r="AS785" i="5"/>
  <c r="AR785" i="5"/>
  <c r="AS784" i="5"/>
  <c r="AR784" i="5"/>
  <c r="AS783" i="5"/>
  <c r="AR783" i="5"/>
  <c r="AS782" i="5"/>
  <c r="AR782" i="5"/>
  <c r="AS781" i="5"/>
  <c r="AR781" i="5"/>
  <c r="AS780" i="5"/>
  <c r="AR780" i="5"/>
  <c r="AS779" i="5"/>
  <c r="AR779" i="5"/>
  <c r="AS778" i="5"/>
  <c r="AR778" i="5"/>
  <c r="AS777" i="5"/>
  <c r="AR777" i="5"/>
  <c r="AS776" i="5"/>
  <c r="AR776" i="5"/>
  <c r="AS775" i="5"/>
  <c r="AR775" i="5"/>
  <c r="AS774" i="5"/>
  <c r="AR774" i="5"/>
  <c r="AS773" i="5"/>
  <c r="AR773" i="5"/>
  <c r="AS772" i="5"/>
  <c r="AR772" i="5"/>
  <c r="AS771" i="5"/>
  <c r="AR771" i="5"/>
  <c r="AS770" i="5"/>
  <c r="AR770" i="5"/>
  <c r="AS769" i="5"/>
  <c r="AR769" i="5"/>
  <c r="AS768" i="5"/>
  <c r="AR768" i="5"/>
  <c r="AS767" i="5"/>
  <c r="AR767" i="5"/>
  <c r="AS766" i="5"/>
  <c r="AR766" i="5"/>
  <c r="AS765" i="5"/>
  <c r="AR765" i="5"/>
  <c r="AS764" i="5"/>
  <c r="AR764" i="5"/>
  <c r="AS763" i="5"/>
  <c r="AR763" i="5"/>
  <c r="AS762" i="5"/>
  <c r="AR762" i="5"/>
  <c r="AS761" i="5"/>
  <c r="AR761" i="5"/>
  <c r="AS760" i="5"/>
  <c r="AR760" i="5"/>
  <c r="AS759" i="5"/>
  <c r="AR759" i="5"/>
  <c r="AS758" i="5"/>
  <c r="AR758" i="5"/>
  <c r="AS757" i="5"/>
  <c r="AR757" i="5"/>
  <c r="AS756" i="5"/>
  <c r="AR756" i="5"/>
  <c r="AS755" i="5"/>
  <c r="AR755" i="5"/>
  <c r="AS754" i="5"/>
  <c r="AR754" i="5"/>
  <c r="AS753" i="5"/>
  <c r="AR753" i="5"/>
  <c r="AS752" i="5"/>
  <c r="AR752" i="5"/>
  <c r="AS751" i="5"/>
  <c r="AR751" i="5"/>
  <c r="AS750" i="5"/>
  <c r="AR750" i="5"/>
  <c r="AS749" i="5"/>
  <c r="AR749" i="5"/>
  <c r="AS748" i="5"/>
  <c r="AR748" i="5"/>
  <c r="AS747" i="5"/>
  <c r="AR747" i="5"/>
  <c r="AS746" i="5"/>
  <c r="AR746" i="5"/>
  <c r="AS745" i="5"/>
  <c r="AR745" i="5"/>
  <c r="AS744" i="5"/>
  <c r="AR744" i="5"/>
  <c r="AS743" i="5"/>
  <c r="AR743" i="5"/>
  <c r="AS742" i="5"/>
  <c r="AR742" i="5"/>
  <c r="AS741" i="5"/>
  <c r="AR741" i="5"/>
  <c r="AS740" i="5"/>
  <c r="AR740" i="5"/>
  <c r="AS739" i="5"/>
  <c r="AR739" i="5"/>
  <c r="AS738" i="5"/>
  <c r="AR738" i="5"/>
  <c r="AS737" i="5"/>
  <c r="AR737" i="5"/>
  <c r="AS736" i="5"/>
  <c r="AR736" i="5"/>
  <c r="AS735" i="5"/>
  <c r="AR735" i="5"/>
  <c r="AS734" i="5"/>
  <c r="AR734" i="5"/>
  <c r="AS733" i="5"/>
  <c r="AR733" i="5"/>
  <c r="AS732" i="5"/>
  <c r="AR732" i="5"/>
  <c r="AS731" i="5"/>
  <c r="AR731" i="5"/>
  <c r="AS730" i="5"/>
  <c r="AR730" i="5"/>
  <c r="AS729" i="5"/>
  <c r="AR729" i="5"/>
  <c r="AS728" i="5"/>
  <c r="AR728" i="5"/>
  <c r="AS727" i="5"/>
  <c r="AR727" i="5"/>
  <c r="AS726" i="5"/>
  <c r="AR726" i="5"/>
  <c r="AS725" i="5"/>
  <c r="AR725" i="5"/>
  <c r="AS724" i="5"/>
  <c r="AR724" i="5"/>
  <c r="AS723" i="5"/>
  <c r="AR723" i="5"/>
  <c r="AS722" i="5"/>
  <c r="AR722" i="5"/>
  <c r="AS721" i="5"/>
  <c r="AR721" i="5"/>
  <c r="AS720" i="5"/>
  <c r="AR720" i="5"/>
  <c r="AS719" i="5"/>
  <c r="AR719" i="5"/>
  <c r="AS718" i="5"/>
  <c r="AR718" i="5"/>
  <c r="AS717" i="5"/>
  <c r="AR717" i="5"/>
  <c r="AS716" i="5"/>
  <c r="AR716" i="5"/>
  <c r="AS715" i="5"/>
  <c r="AR715" i="5"/>
  <c r="AS714" i="5"/>
  <c r="AR714" i="5"/>
  <c r="AS713" i="5"/>
  <c r="AR713" i="5"/>
  <c r="AS712" i="5"/>
  <c r="AR712" i="5"/>
  <c r="AS711" i="5"/>
  <c r="AR711" i="5"/>
  <c r="AS710" i="5"/>
  <c r="AR710" i="5"/>
  <c r="AS709" i="5"/>
  <c r="AR709" i="5"/>
  <c r="AS708" i="5"/>
  <c r="AR708" i="5"/>
  <c r="AS707" i="5"/>
  <c r="AR707" i="5"/>
  <c r="AS706" i="5"/>
  <c r="AR706" i="5"/>
  <c r="AS705" i="5"/>
  <c r="AR705" i="5"/>
  <c r="AS704" i="5"/>
  <c r="AR704" i="5"/>
  <c r="AS703" i="5"/>
  <c r="AR703" i="5"/>
  <c r="AS702" i="5"/>
  <c r="AR702" i="5"/>
  <c r="AS701" i="5"/>
  <c r="AR701" i="5"/>
  <c r="AS700" i="5"/>
  <c r="AR700" i="5"/>
  <c r="AS699" i="5"/>
  <c r="AR699" i="5"/>
  <c r="AS698" i="5"/>
  <c r="AR698" i="5"/>
  <c r="AS697" i="5"/>
  <c r="AR697" i="5"/>
  <c r="AS696" i="5"/>
  <c r="AR696" i="5"/>
  <c r="AS695" i="5"/>
  <c r="AR695" i="5"/>
  <c r="AS694" i="5"/>
  <c r="AR694" i="5"/>
  <c r="AS693" i="5"/>
  <c r="AR693" i="5"/>
  <c r="AS692" i="5"/>
  <c r="AR692" i="5"/>
  <c r="AS691" i="5"/>
  <c r="AR691" i="5"/>
  <c r="AS690" i="5"/>
  <c r="AR690" i="5"/>
  <c r="AS689" i="5"/>
  <c r="AR689" i="5"/>
  <c r="AS688" i="5"/>
  <c r="AR688" i="5"/>
  <c r="AS687" i="5"/>
  <c r="AR687" i="5"/>
  <c r="AS686" i="5"/>
  <c r="AR686" i="5"/>
  <c r="AS685" i="5"/>
  <c r="AR685" i="5"/>
  <c r="AS684" i="5"/>
  <c r="AR684" i="5"/>
  <c r="AS683" i="5"/>
  <c r="AR683" i="5"/>
  <c r="AS682" i="5"/>
  <c r="AR682" i="5"/>
  <c r="AS681" i="5"/>
  <c r="AR681" i="5"/>
  <c r="AS680" i="5"/>
  <c r="AR680" i="5"/>
  <c r="AS679" i="5"/>
  <c r="AR679" i="5"/>
  <c r="AS678" i="5"/>
  <c r="AR678" i="5"/>
  <c r="AS677" i="5"/>
  <c r="AR677" i="5"/>
  <c r="AS676" i="5"/>
  <c r="AR676" i="5"/>
  <c r="AS675" i="5"/>
  <c r="AR675" i="5"/>
  <c r="AS674" i="5"/>
  <c r="AR674" i="5"/>
  <c r="AS673" i="5"/>
  <c r="AR673" i="5"/>
  <c r="AS672" i="5"/>
  <c r="AR672" i="5"/>
  <c r="AS671" i="5"/>
  <c r="AR671" i="5"/>
  <c r="AS670" i="5"/>
  <c r="AR670" i="5"/>
  <c r="AS669" i="5"/>
  <c r="AR669" i="5"/>
  <c r="AS668" i="5"/>
  <c r="AR668" i="5"/>
  <c r="AS667" i="5"/>
  <c r="AR667" i="5"/>
  <c r="AS666" i="5"/>
  <c r="AR666" i="5"/>
  <c r="AS665" i="5"/>
  <c r="AR665" i="5"/>
  <c r="AS664" i="5"/>
  <c r="AR664" i="5"/>
  <c r="AS663" i="5"/>
  <c r="AR663" i="5"/>
  <c r="AS662" i="5"/>
  <c r="AR662" i="5"/>
  <c r="AS661" i="5"/>
  <c r="AR661" i="5"/>
  <c r="AS660" i="5"/>
  <c r="AR660" i="5"/>
  <c r="AS659" i="5"/>
  <c r="AR659" i="5"/>
  <c r="AS658" i="5"/>
  <c r="AR658" i="5"/>
  <c r="AS657" i="5"/>
  <c r="AR657" i="5"/>
  <c r="AS656" i="5"/>
  <c r="AR656" i="5"/>
  <c r="AS655" i="5"/>
  <c r="AR655" i="5"/>
  <c r="AS654" i="5"/>
  <c r="AR654" i="5"/>
  <c r="AS653" i="5"/>
  <c r="AR653" i="5"/>
  <c r="AS652" i="5"/>
  <c r="AR652" i="5"/>
  <c r="AS651" i="5"/>
  <c r="AR651" i="5"/>
  <c r="AS650" i="5"/>
  <c r="AR650" i="5"/>
  <c r="AS649" i="5"/>
  <c r="AR649" i="5"/>
  <c r="AS648" i="5"/>
  <c r="AR648" i="5"/>
  <c r="AS647" i="5"/>
  <c r="AR647" i="5"/>
  <c r="AS646" i="5"/>
  <c r="AR646" i="5"/>
  <c r="AS645" i="5"/>
  <c r="AR645" i="5"/>
  <c r="AS644" i="5"/>
  <c r="AR644" i="5"/>
  <c r="AS643" i="5"/>
  <c r="AR643" i="5"/>
  <c r="AS642" i="5"/>
  <c r="AR642" i="5"/>
  <c r="AS641" i="5"/>
  <c r="AR641" i="5"/>
  <c r="AS640" i="5"/>
  <c r="AR640" i="5"/>
  <c r="AS639" i="5"/>
  <c r="AR639" i="5"/>
  <c r="AS638" i="5"/>
  <c r="AR638" i="5"/>
  <c r="AS637" i="5"/>
  <c r="AR637" i="5"/>
  <c r="AS636" i="5"/>
  <c r="AR636" i="5"/>
  <c r="AS635" i="5"/>
  <c r="AR635" i="5"/>
  <c r="AS634" i="5"/>
  <c r="AR634" i="5"/>
  <c r="AS633" i="5"/>
  <c r="AR633" i="5"/>
  <c r="AS632" i="5"/>
  <c r="AR632" i="5"/>
  <c r="AS631" i="5"/>
  <c r="AR631" i="5"/>
  <c r="AS630" i="5"/>
  <c r="AR630" i="5"/>
  <c r="AS629" i="5"/>
  <c r="AR629" i="5"/>
  <c r="AS628" i="5"/>
  <c r="AR628" i="5"/>
  <c r="AS627" i="5"/>
  <c r="AR627" i="5"/>
  <c r="AS626" i="5"/>
  <c r="AR626" i="5"/>
  <c r="AS625" i="5"/>
  <c r="AR625" i="5"/>
  <c r="AS624" i="5"/>
  <c r="AR624" i="5"/>
  <c r="AS623" i="5"/>
  <c r="AR623" i="5"/>
  <c r="AS622" i="5"/>
  <c r="AR622" i="5"/>
  <c r="AS621" i="5"/>
  <c r="AR621" i="5"/>
  <c r="AS620" i="5"/>
  <c r="AR620" i="5"/>
  <c r="AS619" i="5"/>
  <c r="AR619" i="5"/>
  <c r="AS618" i="5"/>
  <c r="AR618" i="5"/>
  <c r="AS617" i="5"/>
  <c r="AR617" i="5"/>
  <c r="AS616" i="5"/>
  <c r="AR616" i="5"/>
  <c r="AS615" i="5"/>
  <c r="AR615" i="5"/>
  <c r="AS614" i="5"/>
  <c r="AR614" i="5"/>
  <c r="AS613" i="5"/>
  <c r="AR613" i="5"/>
  <c r="AS612" i="5"/>
  <c r="AR612" i="5"/>
  <c r="AS611" i="5"/>
  <c r="AR611" i="5"/>
  <c r="AS610" i="5"/>
  <c r="AR610" i="5"/>
  <c r="AS609" i="5"/>
  <c r="AR609" i="5"/>
  <c r="AS608" i="5"/>
  <c r="AR608" i="5"/>
  <c r="AS607" i="5"/>
  <c r="AR607" i="5"/>
  <c r="AS606" i="5"/>
  <c r="AR606" i="5"/>
  <c r="AS605" i="5"/>
  <c r="AR605" i="5"/>
  <c r="AS604" i="5"/>
  <c r="AR604" i="5"/>
  <c r="AS603" i="5"/>
  <c r="AR603" i="5"/>
  <c r="AS602" i="5"/>
  <c r="AR602" i="5"/>
  <c r="AS601" i="5"/>
  <c r="AR601" i="5"/>
  <c r="AS600" i="5"/>
  <c r="AR600" i="5"/>
  <c r="AS599" i="5"/>
  <c r="AR599" i="5"/>
  <c r="AS598" i="5"/>
  <c r="AR598" i="5"/>
  <c r="AS597" i="5"/>
  <c r="AR597" i="5"/>
  <c r="AS596" i="5"/>
  <c r="AR596" i="5"/>
  <c r="AS595" i="5"/>
  <c r="AR595" i="5"/>
  <c r="AS594" i="5"/>
  <c r="AR594" i="5"/>
  <c r="AS593" i="5"/>
  <c r="AR593" i="5"/>
  <c r="AS592" i="5"/>
  <c r="AR592" i="5"/>
  <c r="AS591" i="5"/>
  <c r="AR591" i="5"/>
  <c r="AS590" i="5"/>
  <c r="AR590" i="5"/>
  <c r="AS589" i="5"/>
  <c r="AR589" i="5"/>
  <c r="AS588" i="5"/>
  <c r="AR588" i="5"/>
  <c r="AS587" i="5"/>
  <c r="AR587" i="5"/>
  <c r="AS586" i="5"/>
  <c r="AR586" i="5"/>
  <c r="AS585" i="5"/>
  <c r="AR585" i="5"/>
  <c r="AS584" i="5"/>
  <c r="AR584" i="5"/>
  <c r="AS583" i="5"/>
  <c r="AR583" i="5"/>
  <c r="AS582" i="5"/>
  <c r="AR582" i="5"/>
  <c r="AS581" i="5"/>
  <c r="AR581" i="5"/>
  <c r="AS580" i="5"/>
  <c r="AR580" i="5"/>
  <c r="AS579" i="5"/>
  <c r="AR579" i="5"/>
  <c r="AS578" i="5"/>
  <c r="AR578" i="5"/>
  <c r="AS577" i="5"/>
  <c r="AR577" i="5"/>
  <c r="AS576" i="5"/>
  <c r="AR576" i="5"/>
  <c r="AS575" i="5"/>
  <c r="AR575" i="5"/>
  <c r="AS574" i="5"/>
  <c r="AR574" i="5"/>
  <c r="AS573" i="5"/>
  <c r="AR573" i="5"/>
  <c r="AS572" i="5"/>
  <c r="AR572" i="5"/>
  <c r="AS571" i="5"/>
  <c r="AR571" i="5"/>
  <c r="AS570" i="5"/>
  <c r="AR570" i="5"/>
  <c r="AS569" i="5"/>
  <c r="AR569" i="5"/>
  <c r="AS568" i="5"/>
  <c r="AR568" i="5"/>
  <c r="AS567" i="5"/>
  <c r="AR567" i="5"/>
  <c r="AS566" i="5"/>
  <c r="AR566" i="5"/>
  <c r="AS565" i="5"/>
  <c r="AR565" i="5"/>
  <c r="AS564" i="5"/>
  <c r="AR564" i="5"/>
  <c r="AS563" i="5"/>
  <c r="AR563" i="5"/>
  <c r="AS562" i="5"/>
  <c r="AR562" i="5"/>
  <c r="AS561" i="5"/>
  <c r="AR561" i="5"/>
  <c r="AS560" i="5"/>
  <c r="AR560" i="5"/>
  <c r="AS559" i="5"/>
  <c r="AR559" i="5"/>
  <c r="AS558" i="5"/>
  <c r="AR558" i="5"/>
  <c r="AS557" i="5"/>
  <c r="AR557" i="5"/>
  <c r="AS556" i="5"/>
  <c r="AR556" i="5"/>
  <c r="AS555" i="5"/>
  <c r="AR555" i="5"/>
  <c r="AS554" i="5"/>
  <c r="AR554" i="5"/>
  <c r="AS553" i="5"/>
  <c r="AR553" i="5"/>
  <c r="AS552" i="5"/>
  <c r="AR552" i="5"/>
  <c r="AS551" i="5"/>
  <c r="AR551" i="5"/>
  <c r="AS550" i="5"/>
  <c r="AR550" i="5"/>
  <c r="AS549" i="5"/>
  <c r="AR549" i="5"/>
  <c r="AS548" i="5"/>
  <c r="AR548" i="5"/>
  <c r="AS547" i="5"/>
  <c r="AR547" i="5"/>
  <c r="AS546" i="5"/>
  <c r="AR546" i="5"/>
  <c r="AS545" i="5"/>
  <c r="AR545" i="5"/>
  <c r="AS544" i="5"/>
  <c r="AR544" i="5"/>
  <c r="AS543" i="5"/>
  <c r="AR543" i="5"/>
  <c r="AS542" i="5"/>
  <c r="AR542" i="5"/>
  <c r="AS541" i="5"/>
  <c r="AR541" i="5"/>
  <c r="AS540" i="5"/>
  <c r="AR540" i="5"/>
  <c r="AS539" i="5"/>
  <c r="AR539" i="5"/>
  <c r="AS538" i="5"/>
  <c r="AR538" i="5"/>
  <c r="AS537" i="5"/>
  <c r="AR537" i="5"/>
  <c r="AS536" i="5"/>
  <c r="AR536" i="5"/>
  <c r="AS535" i="5"/>
  <c r="AR535" i="5"/>
  <c r="AS534" i="5"/>
  <c r="AR534" i="5"/>
  <c r="AS533" i="5"/>
  <c r="AR533" i="5"/>
  <c r="AS532" i="5"/>
  <c r="AR532" i="5"/>
  <c r="AS531" i="5"/>
  <c r="AR531" i="5"/>
  <c r="AS530" i="5"/>
  <c r="AR530" i="5"/>
  <c r="AS529" i="5"/>
  <c r="AR529" i="5"/>
  <c r="AS528" i="5"/>
  <c r="AR528" i="5"/>
  <c r="AS527" i="5"/>
  <c r="AR527" i="5"/>
  <c r="AS526" i="5"/>
  <c r="AR526" i="5"/>
  <c r="AS525" i="5"/>
  <c r="AR525" i="5"/>
  <c r="AS524" i="5"/>
  <c r="AR524" i="5"/>
  <c r="AS523" i="5"/>
  <c r="AR523" i="5"/>
  <c r="AS522" i="5"/>
  <c r="AR522" i="5"/>
  <c r="AS521" i="5"/>
  <c r="AR521" i="5"/>
  <c r="AS520" i="5"/>
  <c r="AR520" i="5"/>
  <c r="AS519" i="5"/>
  <c r="AR519" i="5"/>
  <c r="AS518" i="5"/>
  <c r="AR518" i="5"/>
  <c r="AS517" i="5"/>
  <c r="AR517" i="5"/>
  <c r="AS516" i="5"/>
  <c r="AR516" i="5"/>
  <c r="AS515" i="5"/>
  <c r="AR515" i="5"/>
  <c r="AS514" i="5"/>
  <c r="AR514" i="5"/>
  <c r="AS513" i="5"/>
  <c r="AR513" i="5"/>
  <c r="AS512" i="5"/>
  <c r="AR512" i="5"/>
  <c r="AS511" i="5"/>
  <c r="AR511" i="5"/>
  <c r="AS510" i="5"/>
  <c r="AR510" i="5"/>
  <c r="AS509" i="5"/>
  <c r="AR509" i="5"/>
  <c r="AS508" i="5"/>
  <c r="AR508" i="5"/>
  <c r="AS507" i="5"/>
  <c r="AR507" i="5"/>
  <c r="AS506" i="5"/>
  <c r="AR506" i="5"/>
  <c r="AS505" i="5"/>
  <c r="AR505" i="5"/>
  <c r="AS504" i="5"/>
  <c r="AR504" i="5"/>
  <c r="AS503" i="5"/>
  <c r="AR503" i="5"/>
  <c r="AS502" i="5"/>
  <c r="AR502" i="5"/>
  <c r="AS501" i="5"/>
  <c r="AR501" i="5"/>
  <c r="AS500" i="5"/>
  <c r="AR500" i="5"/>
  <c r="AS499" i="5"/>
  <c r="AR499" i="5"/>
  <c r="AS498" i="5"/>
  <c r="AR498" i="5"/>
  <c r="AS497" i="5"/>
  <c r="AR497" i="5"/>
  <c r="AS496" i="5"/>
  <c r="AR496" i="5"/>
  <c r="AS495" i="5"/>
  <c r="AR495" i="5"/>
  <c r="AS494" i="5"/>
  <c r="AR494" i="5"/>
  <c r="AS493" i="5"/>
  <c r="AR493" i="5"/>
  <c r="AS492" i="5"/>
  <c r="AR492" i="5"/>
  <c r="AS491" i="5"/>
  <c r="AR491" i="5"/>
  <c r="AS490" i="5"/>
  <c r="AR490" i="5"/>
  <c r="AS489" i="5"/>
  <c r="AR489" i="5"/>
  <c r="AS488" i="5"/>
  <c r="AR488" i="5"/>
  <c r="AS487" i="5"/>
  <c r="AR487" i="5"/>
  <c r="AS486" i="5"/>
  <c r="AR486" i="5"/>
  <c r="AS485" i="5"/>
  <c r="AR485" i="5"/>
  <c r="AS484" i="5"/>
  <c r="AR484" i="5"/>
  <c r="AS483" i="5"/>
  <c r="AR483" i="5"/>
  <c r="AS482" i="5"/>
  <c r="AR482" i="5"/>
  <c r="AS481" i="5"/>
  <c r="AR481" i="5"/>
  <c r="AS480" i="5"/>
  <c r="AR480" i="5"/>
  <c r="AS479" i="5"/>
  <c r="AR479" i="5"/>
  <c r="AS478" i="5"/>
  <c r="AR478" i="5"/>
  <c r="AS477" i="5"/>
  <c r="AR477" i="5"/>
  <c r="AS476" i="5"/>
  <c r="AR476" i="5"/>
  <c r="AS475" i="5"/>
  <c r="AR475" i="5"/>
  <c r="AS474" i="5"/>
  <c r="AR474" i="5"/>
  <c r="AS473" i="5"/>
  <c r="AR473" i="5"/>
  <c r="AS472" i="5"/>
  <c r="AR472" i="5"/>
  <c r="AS471" i="5"/>
  <c r="AR471" i="5"/>
  <c r="AS470" i="5"/>
  <c r="AR470" i="5"/>
  <c r="AS469" i="5"/>
  <c r="AR469" i="5"/>
  <c r="AS468" i="5"/>
  <c r="AR468" i="5"/>
  <c r="AS467" i="5"/>
  <c r="AR467" i="5"/>
  <c r="AS466" i="5"/>
  <c r="AR466" i="5"/>
  <c r="AS465" i="5"/>
  <c r="AR465" i="5"/>
  <c r="AS464" i="5"/>
  <c r="AR464" i="5"/>
  <c r="AS463" i="5"/>
  <c r="AR463" i="5"/>
  <c r="AS462" i="5"/>
  <c r="AR462" i="5"/>
  <c r="AS461" i="5"/>
  <c r="AR461" i="5"/>
  <c r="AS460" i="5"/>
  <c r="AR460" i="5"/>
  <c r="AS459" i="5"/>
  <c r="AR459" i="5"/>
  <c r="AS458" i="5"/>
  <c r="AR458" i="5"/>
  <c r="AS457" i="5"/>
  <c r="AR457" i="5"/>
  <c r="AS456" i="5"/>
  <c r="AR456" i="5"/>
  <c r="AS455" i="5"/>
  <c r="AR455" i="5"/>
  <c r="AS454" i="5"/>
  <c r="AR454" i="5"/>
  <c r="AS453" i="5"/>
  <c r="AR453" i="5"/>
  <c r="AS452" i="5"/>
  <c r="AR452" i="5"/>
  <c r="AS451" i="5"/>
  <c r="AR451" i="5"/>
  <c r="AS450" i="5"/>
  <c r="AR450" i="5"/>
  <c r="AS449" i="5"/>
  <c r="AR449" i="5"/>
  <c r="AS448" i="5"/>
  <c r="AR448" i="5"/>
  <c r="AS447" i="5"/>
  <c r="AR447" i="5"/>
  <c r="AS446" i="5"/>
  <c r="AR446" i="5"/>
  <c r="AS445" i="5"/>
  <c r="AR445" i="5"/>
  <c r="AS444" i="5"/>
  <c r="AR444" i="5"/>
  <c r="AS443" i="5"/>
  <c r="AR443" i="5"/>
  <c r="AS442" i="5"/>
  <c r="AR442" i="5"/>
  <c r="AS441" i="5"/>
  <c r="AR441" i="5"/>
  <c r="AS440" i="5"/>
  <c r="AR440" i="5"/>
  <c r="AS439" i="5"/>
  <c r="AR439" i="5"/>
  <c r="AS438" i="5"/>
  <c r="AR438" i="5"/>
  <c r="AS437" i="5"/>
  <c r="AR437" i="5"/>
  <c r="AS436" i="5"/>
  <c r="AR436" i="5"/>
  <c r="AS435" i="5"/>
  <c r="AR435" i="5"/>
  <c r="AS434" i="5"/>
  <c r="AR434" i="5"/>
  <c r="AS433" i="5"/>
  <c r="AR433" i="5"/>
  <c r="AS432" i="5"/>
  <c r="AR432" i="5"/>
  <c r="AS431" i="5"/>
  <c r="AR431" i="5"/>
  <c r="AS430" i="5"/>
  <c r="AR430" i="5"/>
  <c r="AS429" i="5"/>
  <c r="AR429" i="5"/>
  <c r="AS428" i="5"/>
  <c r="AR428" i="5"/>
  <c r="AS427" i="5"/>
  <c r="AR427" i="5"/>
  <c r="AS426" i="5"/>
  <c r="AR426" i="5"/>
  <c r="AS425" i="5"/>
  <c r="AR425" i="5"/>
  <c r="AS424" i="5"/>
  <c r="AR424" i="5"/>
  <c r="AS423" i="5"/>
  <c r="AR423" i="5"/>
  <c r="AS422" i="5"/>
  <c r="AR422" i="5"/>
  <c r="AS421" i="5"/>
  <c r="AR421" i="5"/>
  <c r="AS420" i="5"/>
  <c r="AR420" i="5"/>
  <c r="AS419" i="5"/>
  <c r="AR419" i="5"/>
  <c r="AS418" i="5"/>
  <c r="AR418" i="5"/>
  <c r="AS417" i="5"/>
  <c r="AR417" i="5"/>
  <c r="AS416" i="5"/>
  <c r="AR416" i="5"/>
  <c r="AS415" i="5"/>
  <c r="AR415" i="5"/>
  <c r="AS414" i="5"/>
  <c r="AR414" i="5"/>
  <c r="AS413" i="5"/>
  <c r="AR413" i="5"/>
  <c r="AS412" i="5"/>
  <c r="AR412" i="5"/>
  <c r="AS411" i="5"/>
  <c r="AR411" i="5"/>
  <c r="AS410" i="5"/>
  <c r="AR410" i="5"/>
  <c r="AS409" i="5"/>
  <c r="AR409" i="5"/>
  <c r="AS408" i="5"/>
  <c r="AR408" i="5"/>
  <c r="AS407" i="5"/>
  <c r="AR407" i="5"/>
  <c r="AS406" i="5"/>
  <c r="AR406" i="5"/>
  <c r="AS405" i="5"/>
  <c r="AR405" i="5"/>
  <c r="AS404" i="5"/>
  <c r="AR404" i="5"/>
  <c r="AS403" i="5"/>
  <c r="AR403" i="5"/>
  <c r="AS402" i="5"/>
  <c r="AR402" i="5"/>
  <c r="AS401" i="5"/>
  <c r="AR401" i="5"/>
  <c r="AS400" i="5"/>
  <c r="AR400" i="5"/>
  <c r="AS399" i="5"/>
  <c r="AR399" i="5"/>
  <c r="AS398" i="5"/>
  <c r="AR398" i="5"/>
  <c r="AS397" i="5"/>
  <c r="AR397" i="5"/>
  <c r="AS396" i="5"/>
  <c r="AR396" i="5"/>
  <c r="AS395" i="5"/>
  <c r="AR395" i="5"/>
  <c r="AS394" i="5"/>
  <c r="AR394" i="5"/>
  <c r="AS393" i="5"/>
  <c r="AR393" i="5"/>
  <c r="AS392" i="5"/>
  <c r="AR392" i="5"/>
  <c r="AS391" i="5"/>
  <c r="AR391" i="5"/>
  <c r="AS390" i="5"/>
  <c r="AR390" i="5"/>
  <c r="AS389" i="5"/>
  <c r="AR389" i="5"/>
  <c r="AS388" i="5"/>
  <c r="AR388" i="5"/>
  <c r="AS387" i="5"/>
  <c r="AR387" i="5"/>
  <c r="AS386" i="5"/>
  <c r="AR386" i="5"/>
  <c r="AS385" i="5"/>
  <c r="AR385" i="5"/>
  <c r="AS384" i="5"/>
  <c r="AR384" i="5"/>
  <c r="AS383" i="5"/>
  <c r="AR383" i="5"/>
  <c r="AS382" i="5"/>
  <c r="AR382" i="5"/>
  <c r="AS381" i="5"/>
  <c r="AR381" i="5"/>
  <c r="AS380" i="5"/>
  <c r="AR380" i="5"/>
  <c r="AS379" i="5"/>
  <c r="AR379" i="5"/>
  <c r="AS378" i="5"/>
  <c r="AR378" i="5"/>
  <c r="AS377" i="5"/>
  <c r="AR377" i="5"/>
  <c r="AS376" i="5"/>
  <c r="AR376" i="5"/>
  <c r="AS375" i="5"/>
  <c r="AR375" i="5"/>
  <c r="AS374" i="5"/>
  <c r="AR374" i="5"/>
  <c r="AS373" i="5"/>
  <c r="AR373" i="5"/>
  <c r="AS372" i="5"/>
  <c r="AR372" i="5"/>
  <c r="AS371" i="5"/>
  <c r="AR371" i="5"/>
  <c r="AS370" i="5"/>
  <c r="AR370" i="5"/>
  <c r="AS369" i="5"/>
  <c r="AR369" i="5"/>
  <c r="AS368" i="5"/>
  <c r="AR368" i="5"/>
  <c r="AS367" i="5"/>
  <c r="AR367" i="5"/>
  <c r="AS366" i="5"/>
  <c r="AR366" i="5"/>
  <c r="AS365" i="5"/>
  <c r="AR365" i="5"/>
  <c r="AS364" i="5"/>
  <c r="AR364" i="5"/>
  <c r="AS363" i="5"/>
  <c r="AR363" i="5"/>
  <c r="AS362" i="5"/>
  <c r="AR362" i="5"/>
  <c r="AS361" i="5"/>
  <c r="AR361" i="5"/>
  <c r="AS360" i="5"/>
  <c r="AR360" i="5"/>
  <c r="AS359" i="5"/>
  <c r="AR359" i="5"/>
  <c r="AS358" i="5"/>
  <c r="AR358" i="5"/>
  <c r="AS357" i="5"/>
  <c r="AR357" i="5"/>
  <c r="AS356" i="5"/>
  <c r="AR356" i="5"/>
  <c r="AS355" i="5"/>
  <c r="AR355" i="5"/>
  <c r="AS354" i="5"/>
  <c r="AR354" i="5"/>
  <c r="AS353" i="5"/>
  <c r="AR353" i="5"/>
  <c r="AS352" i="5"/>
  <c r="AR352" i="5"/>
  <c r="AS351" i="5"/>
  <c r="AR351" i="5"/>
  <c r="AS350" i="5"/>
  <c r="AR350" i="5"/>
  <c r="AS349" i="5"/>
  <c r="AR349" i="5"/>
  <c r="AS348" i="5"/>
  <c r="AR348" i="5"/>
  <c r="AS347" i="5"/>
  <c r="AR347" i="5"/>
  <c r="AS346" i="5"/>
  <c r="AR346" i="5"/>
  <c r="AS345" i="5"/>
  <c r="AR345" i="5"/>
  <c r="AS344" i="5"/>
  <c r="AR344" i="5"/>
  <c r="AS343" i="5"/>
  <c r="AR343" i="5"/>
  <c r="AS342" i="5"/>
  <c r="AR342" i="5"/>
  <c r="AS341" i="5"/>
  <c r="AR341" i="5"/>
  <c r="AS340" i="5"/>
  <c r="AR340" i="5"/>
  <c r="AS339" i="5"/>
  <c r="AR339" i="5"/>
  <c r="AS338" i="5"/>
  <c r="AR338" i="5"/>
  <c r="AS337" i="5"/>
  <c r="AR337" i="5"/>
  <c r="AS336" i="5"/>
  <c r="AR336" i="5"/>
  <c r="AS335" i="5"/>
  <c r="AR335" i="5"/>
  <c r="AS334" i="5"/>
  <c r="AR334" i="5"/>
  <c r="AS333" i="5"/>
  <c r="AR333" i="5"/>
  <c r="AS332" i="5"/>
  <c r="AR332" i="5"/>
  <c r="AS331" i="5"/>
  <c r="AR331" i="5"/>
  <c r="AS330" i="5"/>
  <c r="AR330" i="5"/>
  <c r="AS329" i="5"/>
  <c r="AR329" i="5"/>
  <c r="AS328" i="5"/>
  <c r="AR328" i="5"/>
  <c r="AS327" i="5"/>
  <c r="AR327" i="5"/>
  <c r="AS326" i="5"/>
  <c r="AR326" i="5"/>
  <c r="AS325" i="5"/>
  <c r="AR325" i="5"/>
  <c r="AS324" i="5"/>
  <c r="AR324" i="5"/>
  <c r="AS323" i="5"/>
  <c r="AR323" i="5"/>
  <c r="AS322" i="5"/>
  <c r="AR322" i="5"/>
  <c r="AS321" i="5"/>
  <c r="AR321" i="5"/>
  <c r="AS320" i="5"/>
  <c r="AR320" i="5"/>
  <c r="AS319" i="5"/>
  <c r="AR319" i="5"/>
  <c r="AS318" i="5"/>
  <c r="AR318" i="5"/>
  <c r="AS317" i="5"/>
  <c r="AR317" i="5"/>
  <c r="AS316" i="5"/>
  <c r="AR316" i="5"/>
  <c r="AS315" i="5"/>
  <c r="AR315" i="5"/>
  <c r="AS314" i="5"/>
  <c r="AR314" i="5"/>
  <c r="AS313" i="5"/>
  <c r="AR313" i="5"/>
  <c r="AS312" i="5"/>
  <c r="AR312" i="5"/>
  <c r="AS311" i="5"/>
  <c r="AR311" i="5"/>
  <c r="AS310" i="5"/>
  <c r="AR310" i="5"/>
  <c r="AS309" i="5"/>
  <c r="AR309" i="5"/>
  <c r="AS308" i="5"/>
  <c r="AR308" i="5"/>
  <c r="AS307" i="5"/>
  <c r="AR307" i="5"/>
  <c r="AS306" i="5"/>
  <c r="AR306" i="5"/>
  <c r="AS305" i="5"/>
  <c r="AR305" i="5"/>
  <c r="AS304" i="5"/>
  <c r="AR304" i="5"/>
  <c r="AS303" i="5"/>
  <c r="AR303" i="5"/>
  <c r="AS302" i="5"/>
  <c r="AR302" i="5"/>
  <c r="AS301" i="5"/>
  <c r="AR301" i="5"/>
  <c r="AS300" i="5"/>
  <c r="AR300" i="5"/>
  <c r="AS299" i="5"/>
  <c r="AR299" i="5"/>
  <c r="AS298" i="5"/>
  <c r="AR298" i="5"/>
  <c r="AS297" i="5"/>
  <c r="AR297" i="5"/>
  <c r="AS296" i="5"/>
  <c r="AR296" i="5"/>
  <c r="AS295" i="5"/>
  <c r="AR295" i="5"/>
  <c r="AS294" i="5"/>
  <c r="AR294" i="5"/>
  <c r="AS293" i="5"/>
  <c r="AR293" i="5"/>
  <c r="AS292" i="5"/>
  <c r="AR292" i="5"/>
  <c r="AS291" i="5"/>
  <c r="AR291" i="5"/>
  <c r="AS290" i="5"/>
  <c r="AR290" i="5"/>
  <c r="AS289" i="5"/>
  <c r="AR289" i="5"/>
  <c r="AS288" i="5"/>
  <c r="AR288" i="5"/>
  <c r="AS287" i="5"/>
  <c r="AR287" i="5"/>
  <c r="AS286" i="5"/>
  <c r="AR286" i="5"/>
  <c r="AS285" i="5"/>
  <c r="AR285" i="5"/>
  <c r="AS284" i="5"/>
  <c r="AR284" i="5"/>
  <c r="AS283" i="5"/>
  <c r="AR283" i="5"/>
  <c r="AS282" i="5"/>
  <c r="AR282" i="5"/>
  <c r="AS281" i="5"/>
  <c r="AR281" i="5"/>
  <c r="AS280" i="5"/>
  <c r="AR280" i="5"/>
  <c r="AS279" i="5"/>
  <c r="AR279" i="5"/>
  <c r="AS278" i="5"/>
  <c r="AR278" i="5"/>
  <c r="AS277" i="5"/>
  <c r="AR277" i="5"/>
  <c r="AS276" i="5"/>
  <c r="AR276" i="5"/>
  <c r="AS275" i="5"/>
  <c r="AR275" i="5"/>
  <c r="AS274" i="5"/>
  <c r="AR274" i="5"/>
  <c r="AS273" i="5"/>
  <c r="AR273" i="5"/>
  <c r="AS272" i="5"/>
  <c r="AR272" i="5"/>
  <c r="AS271" i="5"/>
  <c r="AR271" i="5"/>
  <c r="AS270" i="5"/>
  <c r="AR270" i="5"/>
  <c r="AS269" i="5"/>
  <c r="AR269" i="5"/>
  <c r="AS268" i="5"/>
  <c r="AR268" i="5"/>
  <c r="AS267" i="5"/>
  <c r="AR267" i="5"/>
  <c r="AS266" i="5"/>
  <c r="AR266" i="5"/>
  <c r="AS265" i="5"/>
  <c r="AR265" i="5"/>
  <c r="AS264" i="5"/>
  <c r="AR264" i="5"/>
  <c r="AS263" i="5"/>
  <c r="AR263" i="5"/>
  <c r="AS262" i="5"/>
  <c r="AR262" i="5"/>
  <c r="AS261" i="5"/>
  <c r="AR261" i="5"/>
  <c r="AS260" i="5"/>
  <c r="AR260" i="5"/>
  <c r="AS259" i="5"/>
  <c r="AR259" i="5"/>
  <c r="AS258" i="5"/>
  <c r="AR258" i="5"/>
  <c r="AS257" i="5"/>
  <c r="AR257" i="5"/>
  <c r="AS256" i="5"/>
  <c r="AR256" i="5"/>
  <c r="AS255" i="5"/>
  <c r="AR255" i="5"/>
  <c r="AS254" i="5"/>
  <c r="AR254" i="5"/>
  <c r="AS253" i="5"/>
  <c r="AR253" i="5"/>
  <c r="AS252" i="5"/>
  <c r="AR252" i="5"/>
  <c r="AS251" i="5"/>
  <c r="AR251" i="5"/>
  <c r="AS250" i="5"/>
  <c r="AR250" i="5"/>
  <c r="AS249" i="5"/>
  <c r="AR249" i="5"/>
  <c r="AS248" i="5"/>
  <c r="AR248" i="5"/>
  <c r="AS247" i="5"/>
  <c r="AR247" i="5"/>
  <c r="AS246" i="5"/>
  <c r="AR246" i="5"/>
  <c r="AS245" i="5"/>
  <c r="AR245" i="5"/>
  <c r="AS244" i="5"/>
  <c r="AR244" i="5"/>
  <c r="AS243" i="5"/>
  <c r="AR243" i="5"/>
  <c r="AS242" i="5"/>
  <c r="AR242" i="5"/>
  <c r="AS241" i="5"/>
  <c r="AR241" i="5"/>
  <c r="AS240" i="5"/>
  <c r="AR240" i="5"/>
  <c r="AS239" i="5"/>
  <c r="AR239" i="5"/>
  <c r="AS238" i="5"/>
  <c r="AR238" i="5"/>
  <c r="AS237" i="5"/>
  <c r="AR237" i="5"/>
  <c r="AS236" i="5"/>
  <c r="AR236" i="5"/>
  <c r="AS235" i="5"/>
  <c r="AR235" i="5"/>
  <c r="AS234" i="5"/>
  <c r="AR234" i="5"/>
  <c r="AS233" i="5"/>
  <c r="AR233" i="5"/>
  <c r="AS232" i="5"/>
  <c r="AR232" i="5"/>
  <c r="AS231" i="5"/>
  <c r="AR231" i="5"/>
  <c r="AS230" i="5"/>
  <c r="AR230" i="5"/>
  <c r="AS229" i="5"/>
  <c r="AR229" i="5"/>
  <c r="AS228" i="5"/>
  <c r="AR228" i="5"/>
  <c r="AS227" i="5"/>
  <c r="AR227" i="5"/>
  <c r="AS226" i="5"/>
  <c r="AR226" i="5"/>
  <c r="AS225" i="5"/>
  <c r="AR225" i="5"/>
  <c r="AS224" i="5"/>
  <c r="AR224" i="5"/>
  <c r="AS223" i="5"/>
  <c r="AR223" i="5"/>
  <c r="AS222" i="5"/>
  <c r="AR222" i="5"/>
  <c r="AS221" i="5"/>
  <c r="AR221" i="5"/>
  <c r="AS220" i="5"/>
  <c r="AR220" i="5"/>
  <c r="AS219" i="5"/>
  <c r="AR219" i="5"/>
  <c r="AS218" i="5"/>
  <c r="AR218" i="5"/>
  <c r="AS217" i="5"/>
  <c r="AR217" i="5"/>
  <c r="AS216" i="5"/>
  <c r="AR216" i="5"/>
  <c r="AS215" i="5"/>
  <c r="AR215" i="5"/>
  <c r="AS214" i="5"/>
  <c r="AR214" i="5"/>
  <c r="AS213" i="5"/>
  <c r="AR213" i="5"/>
  <c r="AS212" i="5"/>
  <c r="AR212" i="5"/>
  <c r="AS211" i="5"/>
  <c r="AR211" i="5"/>
  <c r="AS210" i="5"/>
  <c r="AR210" i="5"/>
  <c r="AS209" i="5"/>
  <c r="AR209" i="5"/>
  <c r="AS208" i="5"/>
  <c r="AR208" i="5"/>
  <c r="AS207" i="5"/>
  <c r="AR207" i="5"/>
  <c r="AS206" i="5"/>
  <c r="AR206" i="5"/>
  <c r="AS205" i="5"/>
  <c r="AR205" i="5"/>
  <c r="AS204" i="5"/>
  <c r="AR204" i="5"/>
  <c r="AS203" i="5"/>
  <c r="AR203" i="5"/>
  <c r="AS202" i="5"/>
  <c r="AR202" i="5"/>
  <c r="AS201" i="5"/>
  <c r="AR201" i="5"/>
  <c r="AS200" i="5"/>
  <c r="AR200" i="5"/>
  <c r="AS199" i="5"/>
  <c r="AR199" i="5"/>
  <c r="AS198" i="5"/>
  <c r="AR198" i="5"/>
  <c r="AS197" i="5"/>
  <c r="AR197" i="5"/>
  <c r="AS196" i="5"/>
  <c r="AR196" i="5"/>
  <c r="AS195" i="5"/>
  <c r="AR195" i="5"/>
  <c r="AS194" i="5"/>
  <c r="AR194" i="5"/>
  <c r="AS193" i="5"/>
  <c r="AR193" i="5"/>
  <c r="AS192" i="5"/>
  <c r="AR192" i="5"/>
  <c r="AS191" i="5"/>
  <c r="AR191" i="5"/>
  <c r="AS190" i="5"/>
  <c r="AR190" i="5"/>
  <c r="AS189" i="5"/>
  <c r="AR189" i="5"/>
  <c r="AS188" i="5"/>
  <c r="AR188" i="5"/>
  <c r="AS187" i="5"/>
  <c r="AR187" i="5"/>
  <c r="AS186" i="5"/>
  <c r="AR186" i="5"/>
  <c r="AS185" i="5"/>
  <c r="AR185" i="5"/>
  <c r="AS184" i="5"/>
  <c r="AR184" i="5"/>
  <c r="AS183" i="5"/>
  <c r="AR183" i="5"/>
  <c r="AS182" i="5"/>
  <c r="AR182" i="5"/>
  <c r="AS181" i="5"/>
  <c r="AR181" i="5"/>
  <c r="AS180" i="5"/>
  <c r="AR180" i="5"/>
  <c r="AS179" i="5"/>
  <c r="AR179" i="5"/>
  <c r="AS178" i="5"/>
  <c r="AR178" i="5"/>
  <c r="AS177" i="5"/>
  <c r="AR177" i="5"/>
  <c r="AS176" i="5"/>
  <c r="AR176" i="5"/>
  <c r="AS175" i="5"/>
  <c r="AR175" i="5"/>
  <c r="AS174" i="5"/>
  <c r="AR174" i="5"/>
  <c r="AS173" i="5"/>
  <c r="AR173" i="5"/>
  <c r="AS172" i="5"/>
  <c r="AR172" i="5"/>
  <c r="AS171" i="5"/>
  <c r="AR171" i="5"/>
  <c r="AS170" i="5"/>
  <c r="AR170" i="5"/>
  <c r="AS169" i="5"/>
  <c r="AR169" i="5"/>
  <c r="AS168" i="5"/>
  <c r="AR168" i="5"/>
  <c r="AS167" i="5"/>
  <c r="AR167" i="5"/>
  <c r="AS166" i="5"/>
  <c r="AR166" i="5"/>
  <c r="AS165" i="5"/>
  <c r="AR165" i="5"/>
  <c r="AS164" i="5"/>
  <c r="AR164" i="5"/>
  <c r="AS163" i="5"/>
  <c r="AR163" i="5"/>
  <c r="AS162" i="5"/>
  <c r="AR162" i="5"/>
  <c r="AS161" i="5"/>
  <c r="AR161" i="5"/>
  <c r="AS160" i="5"/>
  <c r="AR160" i="5"/>
  <c r="AS159" i="5"/>
  <c r="AR159" i="5"/>
  <c r="AS158" i="5"/>
  <c r="AR158" i="5"/>
  <c r="AS157" i="5"/>
  <c r="AR157" i="5"/>
  <c r="AS156" i="5"/>
  <c r="AR156" i="5"/>
  <c r="AS155" i="5"/>
  <c r="AR155" i="5"/>
  <c r="AS154" i="5"/>
  <c r="AR154" i="5"/>
  <c r="AS153" i="5"/>
  <c r="AR153" i="5"/>
  <c r="AS152" i="5"/>
  <c r="AR152" i="5"/>
  <c r="AS151" i="5"/>
  <c r="AR151" i="5"/>
  <c r="AS150" i="5"/>
  <c r="AR150" i="5"/>
  <c r="AS149" i="5"/>
  <c r="AR149" i="5"/>
  <c r="AS148" i="5"/>
  <c r="AR148" i="5"/>
  <c r="AS147" i="5"/>
  <c r="AR147" i="5"/>
  <c r="AS146" i="5"/>
  <c r="AR146" i="5"/>
  <c r="AS145" i="5"/>
  <c r="AR145" i="5"/>
  <c r="AS144" i="5"/>
  <c r="AR144" i="5"/>
  <c r="AS143" i="5"/>
  <c r="AR143" i="5"/>
  <c r="AS142" i="5"/>
  <c r="AR142" i="5"/>
  <c r="AS141" i="5"/>
  <c r="AR141" i="5"/>
  <c r="AS140" i="5"/>
  <c r="AR140" i="5"/>
  <c r="AS139" i="5"/>
  <c r="AR139" i="5"/>
  <c r="AS138" i="5"/>
  <c r="AR138" i="5"/>
  <c r="AS137" i="5"/>
  <c r="AR137" i="5"/>
  <c r="AS136" i="5"/>
  <c r="AR136" i="5"/>
  <c r="AS135" i="5"/>
  <c r="AR135" i="5"/>
  <c r="AS134" i="5"/>
  <c r="AR134" i="5"/>
  <c r="AS133" i="5"/>
  <c r="AR133" i="5"/>
  <c r="AS132" i="5"/>
  <c r="AR132" i="5"/>
  <c r="AS131" i="5"/>
  <c r="AR131" i="5"/>
  <c r="AS130" i="5"/>
  <c r="AR130" i="5"/>
  <c r="AS129" i="5"/>
  <c r="AR129" i="5"/>
  <c r="AS128" i="5"/>
  <c r="AR128" i="5"/>
  <c r="AS127" i="5"/>
  <c r="AR127" i="5"/>
  <c r="AS126" i="5"/>
  <c r="AR126" i="5"/>
  <c r="AS125" i="5"/>
  <c r="AR125" i="5"/>
  <c r="AS124" i="5"/>
  <c r="AR124" i="5"/>
  <c r="AS123" i="5"/>
  <c r="AR123" i="5"/>
  <c r="AS122" i="5"/>
  <c r="AR122" i="5"/>
  <c r="AS121" i="5"/>
  <c r="AR121" i="5"/>
  <c r="AS120" i="5"/>
  <c r="AR120" i="5"/>
  <c r="AS119" i="5"/>
  <c r="AR119" i="5"/>
  <c r="AS118" i="5"/>
  <c r="AR118" i="5"/>
  <c r="AS117" i="5"/>
  <c r="AR117" i="5"/>
  <c r="AS116" i="5"/>
  <c r="AR116" i="5"/>
  <c r="AS115" i="5"/>
  <c r="AR115" i="5"/>
  <c r="AS114" i="5"/>
  <c r="AR114" i="5"/>
  <c r="AS113" i="5"/>
  <c r="AR113" i="5"/>
  <c r="AS112" i="5"/>
  <c r="AR112" i="5"/>
  <c r="AS111" i="5"/>
  <c r="AR111" i="5"/>
  <c r="AS110" i="5"/>
  <c r="AR110" i="5"/>
  <c r="AS109" i="5"/>
  <c r="AR109" i="5"/>
  <c r="AS108" i="5"/>
  <c r="AR108" i="5"/>
  <c r="AS107" i="5"/>
  <c r="AR107" i="5"/>
  <c r="AS106" i="5"/>
  <c r="AR106" i="5"/>
  <c r="AS105" i="5"/>
  <c r="AR105" i="5"/>
  <c r="AS104" i="5"/>
  <c r="AR104" i="5"/>
  <c r="AS103" i="5"/>
  <c r="AR103" i="5"/>
  <c r="AS102" i="5"/>
  <c r="AR102" i="5"/>
  <c r="AS101" i="5"/>
  <c r="AR101" i="5"/>
  <c r="AS100" i="5"/>
  <c r="AR100" i="5"/>
  <c r="AS99" i="5"/>
  <c r="AR99" i="5"/>
  <c r="AS98" i="5"/>
  <c r="AR98" i="5"/>
  <c r="AS97" i="5"/>
  <c r="AR97" i="5"/>
  <c r="AS96" i="5"/>
  <c r="AR96" i="5"/>
  <c r="AS95" i="5"/>
  <c r="AR95" i="5"/>
  <c r="AS94" i="5"/>
  <c r="AR94" i="5"/>
  <c r="AS93" i="5"/>
  <c r="AR93" i="5"/>
  <c r="AS92" i="5"/>
  <c r="AR92" i="5"/>
  <c r="AS91" i="5"/>
  <c r="AR91" i="5"/>
  <c r="AS90" i="5"/>
  <c r="AR90" i="5"/>
  <c r="AS89" i="5"/>
  <c r="AR89" i="5"/>
  <c r="AS88" i="5"/>
  <c r="AR88" i="5"/>
  <c r="AS87" i="5"/>
  <c r="AR87" i="5"/>
  <c r="AS86" i="5"/>
  <c r="AR86" i="5"/>
  <c r="AS85" i="5"/>
  <c r="AR85" i="5"/>
  <c r="AS84" i="5"/>
  <c r="AR84" i="5"/>
  <c r="AS83" i="5"/>
  <c r="AR83" i="5"/>
  <c r="AS82" i="5"/>
  <c r="AR82" i="5"/>
  <c r="AS81" i="5"/>
  <c r="AR81" i="5"/>
  <c r="AS80" i="5"/>
  <c r="AR80" i="5"/>
  <c r="AS79" i="5"/>
  <c r="AR79" i="5"/>
  <c r="AS78" i="5"/>
  <c r="AR78" i="5"/>
  <c r="AS77" i="5"/>
  <c r="AR77" i="5"/>
  <c r="AS76" i="5"/>
  <c r="AR76" i="5"/>
  <c r="AS75" i="5"/>
  <c r="AR75" i="5"/>
  <c r="AS74" i="5"/>
  <c r="AR74" i="5"/>
  <c r="AS73" i="5"/>
  <c r="AR73" i="5"/>
  <c r="AS72" i="5"/>
  <c r="AR72" i="5"/>
  <c r="AS71" i="5"/>
  <c r="AR71" i="5"/>
  <c r="AS70" i="5"/>
  <c r="AR70" i="5"/>
  <c r="AS69" i="5"/>
  <c r="AR69" i="5"/>
  <c r="AS68" i="5"/>
  <c r="AR68" i="5"/>
  <c r="AS67" i="5"/>
  <c r="AR67" i="5"/>
  <c r="AS66" i="5"/>
  <c r="AR66" i="5"/>
  <c r="AS65" i="5"/>
  <c r="AR65" i="5"/>
  <c r="AS64" i="5"/>
  <c r="AR64" i="5"/>
  <c r="AS63" i="5"/>
  <c r="AR63" i="5"/>
  <c r="AS62" i="5"/>
  <c r="AR62" i="5"/>
  <c r="AS61" i="5"/>
  <c r="AR61" i="5"/>
  <c r="AS60" i="5"/>
  <c r="AR60" i="5"/>
  <c r="AS59" i="5"/>
  <c r="AR59" i="5"/>
  <c r="AS58" i="5"/>
  <c r="AR58" i="5"/>
  <c r="AS57" i="5"/>
  <c r="AR57" i="5"/>
  <c r="AS56" i="5"/>
  <c r="AR56" i="5"/>
  <c r="AS55" i="5"/>
  <c r="AR55" i="5"/>
  <c r="AS54" i="5"/>
  <c r="AR54" i="5"/>
  <c r="AS53" i="5"/>
  <c r="AR53" i="5"/>
  <c r="AS52" i="5"/>
  <c r="AR52" i="5"/>
  <c r="AS51" i="5"/>
  <c r="AR51" i="5"/>
  <c r="AS50" i="5"/>
  <c r="AR50" i="5"/>
  <c r="AS49" i="5"/>
  <c r="AR49" i="5"/>
  <c r="AS48" i="5"/>
  <c r="AR48" i="5"/>
  <c r="AS47" i="5"/>
  <c r="AR47" i="5"/>
  <c r="AS46" i="5"/>
  <c r="AR46" i="5"/>
  <c r="AS45" i="5"/>
  <c r="AR45" i="5"/>
  <c r="AS44" i="5"/>
  <c r="AR44" i="5"/>
  <c r="AS43" i="5"/>
  <c r="AR43" i="5"/>
  <c r="AS42" i="5"/>
  <c r="AR42" i="5"/>
  <c r="AS41" i="5"/>
  <c r="AR41" i="5"/>
  <c r="AS40" i="5"/>
  <c r="AR40" i="5"/>
  <c r="AS39" i="5"/>
  <c r="AR39" i="5"/>
  <c r="AS38" i="5"/>
  <c r="AR38" i="5"/>
  <c r="AS37" i="5"/>
  <c r="AR37" i="5"/>
  <c r="AS36" i="5"/>
  <c r="AR36" i="5"/>
  <c r="AS35" i="5"/>
  <c r="AR35" i="5"/>
  <c r="AS34" i="5"/>
  <c r="AR34" i="5"/>
  <c r="AS33" i="5"/>
  <c r="AR33" i="5"/>
  <c r="AS32" i="5"/>
  <c r="AR32" i="5"/>
  <c r="AS31" i="5"/>
  <c r="AR31" i="5"/>
  <c r="AS30" i="5"/>
  <c r="AR30" i="5"/>
  <c r="AS29" i="5"/>
  <c r="AR29" i="5"/>
  <c r="AS28" i="5"/>
  <c r="AR28" i="5"/>
  <c r="AS27" i="5"/>
  <c r="AS26" i="5"/>
  <c r="AS25" i="5"/>
  <c r="AS24" i="5"/>
  <c r="AS23" i="5"/>
  <c r="AS22" i="5"/>
  <c r="AS21" i="5"/>
  <c r="AS20" i="5"/>
  <c r="AS19" i="5"/>
  <c r="AS17" i="5"/>
  <c r="AS16" i="5"/>
  <c r="AS15" i="5"/>
  <c r="AS14" i="5"/>
  <c r="AS13" i="5"/>
  <c r="AS12" i="5"/>
  <c r="AS11" i="5"/>
  <c r="AS10" i="5"/>
  <c r="AS9" i="5"/>
  <c r="AS8" i="5"/>
  <c r="AS7" i="5"/>
  <c r="Y7" i="5"/>
  <c r="AS6" i="5"/>
  <c r="Y6" i="5"/>
  <c r="AS5" i="5"/>
  <c r="Y5" i="5"/>
  <c r="AR4" i="5"/>
  <c r="Y4" i="5"/>
  <c r="AB7" i="4"/>
  <c r="Y4" i="4"/>
  <c r="K15" i="14" l="1"/>
  <c r="K18" i="14"/>
  <c r="AD5" i="14"/>
  <c r="J26" i="14" s="1"/>
  <c r="AB5" i="13"/>
  <c r="J20" i="13" s="1"/>
  <c r="AD6" i="14"/>
  <c r="J27" i="14" s="1"/>
  <c r="AB6" i="13"/>
  <c r="J21" i="13" s="1"/>
  <c r="AB3" i="13"/>
  <c r="J18" i="13" s="1"/>
  <c r="AD3" i="14"/>
  <c r="J24" i="14" s="1"/>
  <c r="AD4" i="14"/>
  <c r="J25" i="14" s="1"/>
  <c r="AB4" i="13"/>
  <c r="J19" i="13" s="1"/>
  <c r="Z8" i="14"/>
  <c r="I8" i="14" s="1"/>
  <c r="K8" i="14" s="1"/>
  <c r="Z7" i="14"/>
  <c r="I28" i="14" s="1"/>
  <c r="K28" i="14" s="1"/>
  <c r="Z7" i="13"/>
  <c r="I22" i="13" s="1"/>
  <c r="Z8" i="13"/>
  <c r="I8" i="13" s="1"/>
  <c r="Z3" i="14"/>
  <c r="I24" i="14" s="1"/>
  <c r="Z3" i="13"/>
  <c r="I18" i="13" s="1"/>
  <c r="AC6" i="14"/>
  <c r="I35" i="14" s="1"/>
  <c r="AB10" i="5"/>
  <c r="AB8" i="4"/>
  <c r="AB6" i="4"/>
  <c r="AA7" i="5"/>
  <c r="AB7" i="5"/>
  <c r="AB5" i="5"/>
  <c r="AA4" i="5"/>
  <c r="Z4" i="5"/>
  <c r="Z6" i="5"/>
  <c r="AA6" i="5"/>
  <c r="AA5" i="5"/>
  <c r="Z5" i="5"/>
  <c r="AB6" i="5"/>
  <c r="Z7" i="5"/>
  <c r="AB5" i="4"/>
  <c r="AB4" i="4"/>
  <c r="AA4" i="4"/>
  <c r="AE3" i="14" l="1"/>
  <c r="AC3" i="13"/>
  <c r="J26" i="13" s="1"/>
  <c r="K26" i="13" s="1"/>
  <c r="AF3" i="14"/>
  <c r="AG4" i="14"/>
  <c r="J33" i="14" s="1"/>
  <c r="AG6" i="14"/>
  <c r="J35" i="14" s="1"/>
  <c r="K35" i="14" s="1"/>
  <c r="AG9" i="14"/>
  <c r="J12" i="14" s="1"/>
  <c r="K12" i="14" s="1"/>
  <c r="AC4" i="13"/>
  <c r="J27" i="13" s="1"/>
  <c r="AE4" i="14"/>
  <c r="AF6" i="14"/>
  <c r="AG5" i="14"/>
  <c r="J34" i="14" s="1"/>
  <c r="AF4" i="14"/>
  <c r="AC5" i="13"/>
  <c r="J28" i="13" s="1"/>
  <c r="AE5" i="14"/>
  <c r="AE6" i="14"/>
  <c r="AC6" i="13"/>
  <c r="J29" i="13" s="1"/>
  <c r="K29" i="13" s="1"/>
  <c r="AF5" i="14"/>
  <c r="K24" i="14"/>
  <c r="K8" i="13"/>
  <c r="K18" i="13"/>
  <c r="K22" i="13"/>
  <c r="AB3" i="14"/>
  <c r="AC5" i="14"/>
  <c r="I34" i="14" s="1"/>
  <c r="AC4" i="14"/>
  <c r="I33" i="14" s="1"/>
  <c r="AC7" i="14"/>
  <c r="I36" i="14" s="1"/>
  <c r="K36" i="14" s="1"/>
  <c r="AC3" i="14"/>
  <c r="I32" i="14" s="1"/>
  <c r="K32" i="14" s="1"/>
  <c r="Z9" i="5"/>
  <c r="AA9" i="5"/>
  <c r="AR5" i="5"/>
  <c r="AB9" i="5"/>
  <c r="AB9" i="4"/>
  <c r="Z5" i="4"/>
  <c r="D11" i="7"/>
  <c r="AG9" i="7"/>
  <c r="AF9" i="7"/>
  <c r="K34" i="14" l="1"/>
  <c r="F53" i="14"/>
  <c r="F47" i="13"/>
  <c r="AE8" i="14"/>
  <c r="J14" i="14" s="1"/>
  <c r="AC8" i="13"/>
  <c r="J11" i="13" s="1"/>
  <c r="AF8" i="14"/>
  <c r="J17" i="14" s="1"/>
  <c r="K33" i="14"/>
  <c r="AG8" i="14"/>
  <c r="J11" i="14" s="1"/>
  <c r="F48" i="13"/>
  <c r="F54" i="14"/>
  <c r="AC8" i="14"/>
  <c r="I11" i="14" s="1"/>
  <c r="AA4" i="14"/>
  <c r="AA4" i="13"/>
  <c r="I27" i="13" s="1"/>
  <c r="K27" i="13" s="1"/>
  <c r="D29" i="13"/>
  <c r="D29" i="14"/>
  <c r="AG10" i="7"/>
  <c r="AH10" i="7" s="1"/>
  <c r="F11" i="7" s="1"/>
  <c r="E29" i="13"/>
  <c r="E29" i="14"/>
  <c r="A2" i="5"/>
  <c r="R17" i="7"/>
  <c r="AR6" i="5"/>
  <c r="R13" i="7"/>
  <c r="R21" i="7"/>
  <c r="R22" i="7"/>
  <c r="R14" i="7"/>
  <c r="R15" i="7"/>
  <c r="R19" i="7"/>
  <c r="Z8" i="4"/>
  <c r="Z6" i="4"/>
  <c r="AA6" i="4"/>
  <c r="AA5" i="4"/>
  <c r="AA7" i="4"/>
  <c r="AA8" i="4"/>
  <c r="R18" i="7"/>
  <c r="R16" i="7"/>
  <c r="R20" i="7"/>
  <c r="R5" i="7" l="1"/>
  <c r="I14" i="13" s="1"/>
  <c r="K11" i="14"/>
  <c r="R6" i="7"/>
  <c r="J14" i="13" s="1"/>
  <c r="AA7" i="13"/>
  <c r="I30" i="13" s="1"/>
  <c r="K30" i="13" s="1"/>
  <c r="AA7" i="14"/>
  <c r="AA5" i="13"/>
  <c r="I28" i="13" s="1"/>
  <c r="K28" i="13" s="1"/>
  <c r="AA5" i="14"/>
  <c r="AB6" i="14"/>
  <c r="AB7" i="14"/>
  <c r="AB4" i="14"/>
  <c r="AB5" i="14"/>
  <c r="E9" i="7"/>
  <c r="D28" i="14"/>
  <c r="D28" i="13"/>
  <c r="AH9" i="7"/>
  <c r="F10" i="7" s="1"/>
  <c r="G11" i="7"/>
  <c r="F61" i="14" s="1"/>
  <c r="AR7" i="5"/>
  <c r="I20" i="14" l="1"/>
  <c r="E54" i="14"/>
  <c r="E48" i="13"/>
  <c r="AF8" i="7"/>
  <c r="AG8" i="7"/>
  <c r="D9" i="7" s="1"/>
  <c r="J20" i="14"/>
  <c r="F52" i="14"/>
  <c r="F46" i="13"/>
  <c r="F58" i="14"/>
  <c r="F52" i="13"/>
  <c r="F54" i="13"/>
  <c r="F60" i="14"/>
  <c r="F59" i="14"/>
  <c r="F55" i="13"/>
  <c r="F51" i="13"/>
  <c r="F53" i="13"/>
  <c r="F56" i="14"/>
  <c r="F57" i="14"/>
  <c r="F50" i="13"/>
  <c r="K14" i="13"/>
  <c r="G10" i="7"/>
  <c r="F28" i="14" s="1"/>
  <c r="E27" i="14"/>
  <c r="E27" i="13"/>
  <c r="F29" i="14"/>
  <c r="F29" i="13"/>
  <c r="AR8" i="5"/>
  <c r="K20" i="14" l="1"/>
  <c r="F28" i="13"/>
  <c r="E53" i="14"/>
  <c r="E47" i="13"/>
  <c r="D27" i="13"/>
  <c r="D27" i="14"/>
  <c r="A2" i="4"/>
  <c r="AH8" i="7"/>
  <c r="F9" i="7" s="1"/>
  <c r="AR9" i="5"/>
  <c r="G9" i="7" l="1"/>
  <c r="E46" i="13" s="1"/>
  <c r="AR10" i="5"/>
  <c r="E52" i="14" l="1"/>
  <c r="E55" i="13"/>
  <c r="E51" i="13"/>
  <c r="E50" i="13"/>
  <c r="E57" i="14"/>
  <c r="E61" i="14"/>
  <c r="E56" i="14"/>
  <c r="F27" i="14"/>
  <c r="F27" i="13"/>
  <c r="AR11" i="5"/>
  <c r="AR12" i="5" l="1"/>
  <c r="Z9" i="4"/>
  <c r="Y5" i="4"/>
  <c r="Y6" i="4"/>
  <c r="Y7" i="4"/>
  <c r="Z5" i="14" l="1"/>
  <c r="I26" i="14" s="1"/>
  <c r="Z5" i="13"/>
  <c r="I20" i="13" s="1"/>
  <c r="AA8" i="14"/>
  <c r="I14" i="14" s="1"/>
  <c r="K14" i="14" s="1"/>
  <c r="AA8" i="13"/>
  <c r="I11" i="13" s="1"/>
  <c r="K11" i="13" s="1"/>
  <c r="Z4" i="14"/>
  <c r="I25" i="14" s="1"/>
  <c r="Z4" i="13"/>
  <c r="I19" i="13" s="1"/>
  <c r="Z6" i="14"/>
  <c r="I27" i="14" s="1"/>
  <c r="Z6" i="13"/>
  <c r="I21" i="13" s="1"/>
  <c r="AR13" i="5"/>
  <c r="AA9" i="4"/>
  <c r="K26" i="14" l="1"/>
  <c r="E59" i="14"/>
  <c r="K25" i="14"/>
  <c r="E58" i="14"/>
  <c r="K27" i="14"/>
  <c r="E60" i="14"/>
  <c r="K21" i="13"/>
  <c r="E54" i="13"/>
  <c r="K20" i="13"/>
  <c r="E53" i="13"/>
  <c r="K19" i="13"/>
  <c r="E52" i="13"/>
  <c r="AB8" i="14"/>
  <c r="I17" i="14" s="1"/>
  <c r="K17" i="14" s="1"/>
  <c r="AR14" i="5"/>
  <c r="AR15" i="5" l="1"/>
  <c r="AR16" i="5" l="1"/>
  <c r="AR17" i="5" l="1"/>
  <c r="AR18" i="5" l="1"/>
  <c r="AR19" i="5" l="1"/>
  <c r="AR20" i="5" l="1"/>
  <c r="AR21" i="5" l="1"/>
  <c r="AR22" i="5" l="1"/>
  <c r="AR23" i="5" l="1"/>
  <c r="AR24" i="5" l="1"/>
  <c r="AR25" i="5" l="1"/>
  <c r="AR26" i="5" l="1"/>
  <c r="AR27" i="5" l="1"/>
</calcChain>
</file>

<file path=xl/sharedStrings.xml><?xml version="1.0" encoding="utf-8"?>
<sst xmlns="http://schemas.openxmlformats.org/spreadsheetml/2006/main" count="804" uniqueCount="296">
  <si>
    <t>Crash ID</t>
  </si>
  <si>
    <t>Date</t>
  </si>
  <si>
    <t>T</t>
  </si>
  <si>
    <t>C</t>
  </si>
  <si>
    <t>F</t>
  </si>
  <si>
    <t>L</t>
  </si>
  <si>
    <t>S</t>
  </si>
  <si>
    <t>O</t>
  </si>
  <si>
    <t>B</t>
  </si>
  <si>
    <t>K</t>
  </si>
  <si>
    <t>A</t>
  </si>
  <si>
    <t>Crash #</t>
  </si>
  <si>
    <t>Severity Index</t>
  </si>
  <si>
    <t>Total</t>
  </si>
  <si>
    <t>SI</t>
  </si>
  <si>
    <t>Treatment Information</t>
  </si>
  <si>
    <t>Before</t>
  </si>
  <si>
    <t>After</t>
  </si>
  <si>
    <t>Percent Reduction (-) 
Percent Increase (+)</t>
  </si>
  <si>
    <t>Total Crashes</t>
  </si>
  <si>
    <t>Severity</t>
  </si>
  <si>
    <t>Total Severity Index</t>
  </si>
  <si>
    <t>Target Crashes</t>
  </si>
  <si>
    <t>Target Crash Severity Index</t>
  </si>
  <si>
    <t>Injury Crash Summary</t>
  </si>
  <si>
    <t>Percent Reduction (-)
Percent Increase (+)</t>
  </si>
  <si>
    <t>Class C Injury Crashes</t>
  </si>
  <si>
    <t>Property Damage Only</t>
  </si>
  <si>
    <t>Additional Information</t>
  </si>
  <si>
    <t>Percent Reduction (-) Percent Increase (+)</t>
  </si>
  <si>
    <t>Target Crashes:</t>
  </si>
  <si>
    <t>Crash Year</t>
  </si>
  <si>
    <t>Year</t>
  </si>
  <si>
    <t>Major Road - Leg #1</t>
  </si>
  <si>
    <t>Major Road - Leg #2</t>
  </si>
  <si>
    <t>Major Road - Average AADT</t>
  </si>
  <si>
    <t>Minor Road - Average AADT</t>
  </si>
  <si>
    <t>Minor Rd - Leg #3</t>
  </si>
  <si>
    <t>Minor Rd - Leg #4</t>
  </si>
  <si>
    <t>User Input Required</t>
  </si>
  <si>
    <t>Automatically Calculated</t>
  </si>
  <si>
    <t>Rear Ends</t>
  </si>
  <si>
    <t>Steps</t>
  </si>
  <si>
    <t>Intersection AADT</t>
  </si>
  <si>
    <t>Color Key</t>
  </si>
  <si>
    <t>cells needed for calcs:</t>
  </si>
  <si>
    <t>Total # of months in between</t>
  </si>
  <si>
    <t>●</t>
  </si>
  <si>
    <t>Most recent TEAAS date</t>
  </si>
  <si>
    <t>Target-1</t>
  </si>
  <si>
    <t>Target -2</t>
  </si>
  <si>
    <t>Target-2</t>
  </si>
  <si>
    <t>Target-1 Severity Index</t>
  </si>
  <si>
    <t>Target-1 KABCO</t>
  </si>
  <si>
    <t>Target-2 Severity Index</t>
  </si>
  <si>
    <t>Target-2 KABCO</t>
  </si>
  <si>
    <t>Date Range Calculator</t>
  </si>
  <si>
    <t>AADT Calculator</t>
  </si>
  <si>
    <t>Notes</t>
  </si>
  <si>
    <t>Target-1?</t>
  </si>
  <si>
    <t>Target-2?</t>
  </si>
  <si>
    <t xml:space="preserve">Leave these columns blank if not a Target Crash. </t>
  </si>
  <si>
    <t>All Targets</t>
  </si>
  <si>
    <t>Y</t>
  </si>
  <si>
    <t>Target Crash?</t>
  </si>
  <si>
    <t>All Target Crashes</t>
  </si>
  <si>
    <t>All - Targets</t>
  </si>
  <si>
    <t>All Target Crash Severity Index</t>
  </si>
  <si>
    <t>Target-1 Crashes</t>
  </si>
  <si>
    <t>Target-1 Crash Severity Index</t>
  </si>
  <si>
    <t>Target Injury Crash Summary</t>
  </si>
  <si>
    <t>Frontal Impacts</t>
  </si>
  <si>
    <t>Major AADT</t>
  </si>
  <si>
    <t>Minor AADT</t>
  </si>
  <si>
    <t>Target-1 Crash</t>
  </si>
  <si>
    <t>Target-2 Crash</t>
  </si>
  <si>
    <t>Advance Activated Warning Sign (a.k.a. Be Prepared to Stop Signs)</t>
  </si>
  <si>
    <t>Frontal Impact Crashes where Vehicle on Treated Approach Ran Red Light</t>
  </si>
  <si>
    <t>Rear End Crashes Approaching Intersection on Treated Approaches</t>
  </si>
  <si>
    <t>Treated Approaches are likely both Mainline Approaches</t>
  </si>
  <si>
    <t>All Way Stop</t>
  </si>
  <si>
    <t>Frontal Impact Crashes in Intersection</t>
  </si>
  <si>
    <t>Frontal Impact Crashes involving vehicle making a movement that is restricted in the after period</t>
  </si>
  <si>
    <t>Grade Separation</t>
  </si>
  <si>
    <t>Intersection Realignment</t>
  </si>
  <si>
    <t>Varies by Treatment - Other Targets may be necessary depending on the situation (i.e. Rear End Crashes or Lane Departure Crashes)</t>
  </si>
  <si>
    <t>Y-Lines may need to be extended.  Analyze Entire Area impacted by realignment</t>
  </si>
  <si>
    <t>Left Turn Lane - New Installation</t>
  </si>
  <si>
    <t>Left Turn Same Roadway Crashes on Treated Approaches</t>
  </si>
  <si>
    <t>If a multilane facility, rear ends may need to be specific to the inner lanes</t>
  </si>
  <si>
    <t>Left Turn Lane - Offset Existing Lane</t>
  </si>
  <si>
    <t>Median Channelization on an Intersection Approach (i.e. Assess Management for Driveways)</t>
  </si>
  <si>
    <t>Varies by Treatment - Other Targets may be necessary depending on the situation (i.e. rear end crashes alleviated due to a movement restriction)</t>
  </si>
  <si>
    <t>New Traffic Signal</t>
  </si>
  <si>
    <t>Pedestrian/Bicycle Treatments</t>
  </si>
  <si>
    <t>Pedestrian and Bicycle Crashes</t>
  </si>
  <si>
    <t>For a Pedestrian signal, rear end crashes may also need to be analyzed</t>
  </si>
  <si>
    <t>Remove Access/Intersection</t>
  </si>
  <si>
    <t>Frontal Impact Crashes in Intersection*</t>
  </si>
  <si>
    <t>Varies by Treatment - Other Targets may be necessary depending on the situation (i.e. Rear End Crashes)</t>
  </si>
  <si>
    <t>*Target crashes can vary depending on the specifics of what was removed</t>
  </si>
  <si>
    <t>Right Turn Lane at Intersection</t>
  </si>
  <si>
    <t>Sideswipe Crashes Approaching Intersection on Treated Approaches</t>
  </si>
  <si>
    <t>If a multilane facility, rear ends and sideswipes may need to be specific to the outer lanes</t>
  </si>
  <si>
    <t>Roundabout</t>
  </si>
  <si>
    <t>Sight Distance Improvements at Intersection</t>
  </si>
  <si>
    <t>May need to only include Frontal Impact Crashes involving vehicles making maneuvers directly affected by sight distance improvements (i.e. if one quadrant was cleared)</t>
  </si>
  <si>
    <t>Traffic Signal Revisions - Flashing Yellow Arrow</t>
  </si>
  <si>
    <t>Traffic Signal Revisions - Left Turn Phasing Revisions</t>
  </si>
  <si>
    <t>Vehicle Entering When Flashing</t>
  </si>
  <si>
    <t>Target-2 Crashes</t>
  </si>
  <si>
    <t>Target-2 Crash Severity Index</t>
  </si>
  <si>
    <t xml:space="preserve"> Comments/Instruction on Date Range Calculator:</t>
  </si>
  <si>
    <t>Target Crash Type Guidance - Intersection Treatments</t>
  </si>
  <si>
    <t>Countermeasure</t>
  </si>
  <si>
    <t xml:space="preserve"> Comments/Instructions for Typical Target Crashes:</t>
  </si>
  <si>
    <r>
      <rPr>
        <b/>
        <sz val="11"/>
        <color theme="1"/>
        <rFont val="Calibri"/>
        <family val="2"/>
        <scheme val="minor"/>
      </rPr>
      <t>Frontal impacts crash types</t>
    </r>
    <r>
      <rPr>
        <sz val="11"/>
        <color theme="1"/>
        <rFont val="Calibri"/>
        <family val="2"/>
        <scheme val="minor"/>
      </rPr>
      <t>: left-turn same roadway, left-turn different roadway, right-turn same roadway, right-turn different roadway, head-on, and angle crashes</t>
    </r>
  </si>
  <si>
    <t>The work should now be done for this Tab.  Move on to the "After" Tab where you will repeat these steps for your After period crash data.</t>
  </si>
  <si>
    <t>Project Development</t>
  </si>
  <si>
    <t>Before Period</t>
  </si>
  <si>
    <t>After Period</t>
  </si>
  <si>
    <t>Fatal Injury Crashes</t>
  </si>
  <si>
    <t>Class A Injury Crashes</t>
  </si>
  <si>
    <t>Class B Injury Crashes</t>
  </si>
  <si>
    <t>Increase Conspicuity of Stop Condition (i.e. Double Indicated Stop Sign, Transverse Rumble Strips, Double Arrow Sign)</t>
  </si>
  <si>
    <t>Increase Conspicuity of Traffic Signal (i.e. Double Indicated Red, Backplates)</t>
  </si>
  <si>
    <t>Frontal Impact Crashes where Vehicle on Treated Approach Ran the Stop Sign</t>
  </si>
  <si>
    <t xml:space="preserve">Include Ran Off Road - Straight Crashes for T Intersections </t>
  </si>
  <si>
    <t>Flashing Traffic Signal (i.e. Overhead Non-Actuated Flasher)</t>
  </si>
  <si>
    <t>Frontal Impact Crashes involving Vehicles from Treated Approaches</t>
  </si>
  <si>
    <t>Instructions for AADT Calculator:</t>
  </si>
  <si>
    <t>AADTs for every year within the study period</t>
  </si>
  <si>
    <t>Input AADTs for every year that appears in the study range (Before and After Period).  You do not need to input volumes for the years outside of the study time periods</t>
  </si>
  <si>
    <r>
      <t xml:space="preserve">When inputting volume data into this tool, use </t>
    </r>
    <r>
      <rPr>
        <b/>
        <sz val="11"/>
        <color theme="1"/>
        <rFont val="Calibri"/>
        <family val="2"/>
        <scheme val="minor"/>
      </rPr>
      <t>Black</t>
    </r>
    <r>
      <rPr>
        <sz val="11"/>
        <color theme="1"/>
        <rFont val="Calibri"/>
        <family val="2"/>
        <scheme val="minor"/>
      </rPr>
      <t xml:space="preserve"> font color for values taken directly from the available volume data</t>
    </r>
  </si>
  <si>
    <r>
      <t>When inputting volume data into this tool, use</t>
    </r>
    <r>
      <rPr>
        <b/>
        <sz val="11"/>
        <color theme="1"/>
        <rFont val="Calibri"/>
        <family val="2"/>
        <scheme val="minor"/>
      </rPr>
      <t xml:space="preserve"> </t>
    </r>
    <r>
      <rPr>
        <b/>
        <sz val="11"/>
        <color rgb="FFFF0000"/>
        <rFont val="Calibri"/>
        <family val="2"/>
        <scheme val="minor"/>
      </rPr>
      <t>Red</t>
    </r>
    <r>
      <rPr>
        <sz val="11"/>
        <color theme="1"/>
        <rFont val="Calibri"/>
        <family val="2"/>
        <scheme val="minor"/>
      </rPr>
      <t xml:space="preserve"> font color for values that need to be calculated, interpolated, or assumed</t>
    </r>
  </si>
  <si>
    <t xml:space="preserve">Volumes should be entered in for each leg of the intersection, even if no count data is available.  Legs without available volume counts will need to have their volumes estimated. </t>
  </si>
  <si>
    <t>Manually Edit These Columns (A -&gt; M)</t>
  </si>
  <si>
    <t>Don't Edit These Columns (N -&gt; ).  Calculations are Automatic.</t>
  </si>
  <si>
    <t xml:space="preserve">It is ESSENTIAL that the data you are pasting into these columns corresponds to their above headers.  </t>
  </si>
  <si>
    <t>The determination of the crashes in the study should be finalized/set-in-stone before pasting into this tab.  Deleting and adjusting cells in the tab may break the formulas used in the calculations.</t>
  </si>
  <si>
    <t>Analyst's Notes Column 1</t>
  </si>
  <si>
    <t>Analyst's Notes Column 2</t>
  </si>
  <si>
    <t>Analyst's Notes Column 3</t>
  </si>
  <si>
    <t>Analyst's Notes Column 4</t>
  </si>
  <si>
    <r>
      <t xml:space="preserve">Different analysts like using different columns for their notes when filtering the Fiche and labeling crashes.  Columns </t>
    </r>
    <r>
      <rPr>
        <b/>
        <sz val="11"/>
        <color theme="1"/>
        <rFont val="Calibri"/>
        <family val="2"/>
        <scheme val="minor"/>
      </rPr>
      <t>H -&gt; K</t>
    </r>
    <r>
      <rPr>
        <sz val="11"/>
        <color theme="1"/>
        <rFont val="Calibri"/>
        <family val="2"/>
        <scheme val="minor"/>
      </rPr>
      <t xml:space="preserve"> are your prerogative, feel free to copy in whatever notes you used in the analysis.</t>
    </r>
  </si>
  <si>
    <r>
      <t>Columns L</t>
    </r>
    <r>
      <rPr>
        <b/>
        <sz val="11"/>
        <color theme="1"/>
        <rFont val="Calibri"/>
        <family val="2"/>
        <scheme val="minor"/>
      </rPr>
      <t xml:space="preserve"> </t>
    </r>
    <r>
      <rPr>
        <sz val="11"/>
        <color theme="1"/>
        <rFont val="Calibri"/>
        <family val="2"/>
        <scheme val="minor"/>
      </rPr>
      <t>and M require manual input to identify Target Crashes</t>
    </r>
  </si>
  <si>
    <t xml:space="preserve">Make sure that rows are not skipped when pasting the fiche's in-study crash data.  Skipping rows will break some of the background formulas  </t>
  </si>
  <si>
    <t xml:space="preserve">It is recommended that the user of this workbook enters in the crash data in the same order of the TEAAS study’s crash #s.  This allows for consistency between this workbook’s crash #s with the TEAAS study’s crash #s and the collision diagram’s crash #s.  Reviewers would find this consistency helpful.  </t>
  </si>
  <si>
    <t>For the crashes you have determined to be within your study area and in the BEFORE period, copy and paste the Crash ID, Date, T, C, F, L, and S columns from your filtered fiche into this tab's Columns A -&gt; G.</t>
  </si>
  <si>
    <r>
      <t xml:space="preserve">Type </t>
    </r>
    <r>
      <rPr>
        <b/>
        <sz val="11"/>
        <color rgb="FFFF0000"/>
        <rFont val="Calibri"/>
        <family val="2"/>
        <scheme val="minor"/>
      </rPr>
      <t>Y</t>
    </r>
    <r>
      <rPr>
        <sz val="11"/>
        <color theme="1"/>
        <rFont val="Calibri"/>
        <family val="2"/>
        <scheme val="minor"/>
      </rPr>
      <t xml:space="preserve"> in Column L if </t>
    </r>
    <r>
      <rPr>
        <b/>
        <sz val="11"/>
        <color rgb="FFFF0000"/>
        <rFont val="Calibri"/>
        <family val="2"/>
        <scheme val="minor"/>
      </rPr>
      <t>Target-1</t>
    </r>
    <r>
      <rPr>
        <sz val="11"/>
        <color theme="1"/>
        <rFont val="Calibri"/>
        <family val="2"/>
        <scheme val="minor"/>
      </rPr>
      <t xml:space="preserve"> Crash.  </t>
    </r>
  </si>
  <si>
    <r>
      <t xml:space="preserve">Type </t>
    </r>
    <r>
      <rPr>
        <b/>
        <sz val="11"/>
        <color theme="4"/>
        <rFont val="Calibri"/>
        <family val="2"/>
        <scheme val="minor"/>
      </rPr>
      <t>Y</t>
    </r>
    <r>
      <rPr>
        <sz val="11"/>
        <color theme="1"/>
        <rFont val="Calibri"/>
        <family val="2"/>
        <scheme val="minor"/>
      </rPr>
      <t xml:space="preserve"> in Column M if </t>
    </r>
    <r>
      <rPr>
        <b/>
        <sz val="11"/>
        <color theme="4"/>
        <rFont val="Calibri"/>
        <family val="2"/>
        <scheme val="minor"/>
      </rPr>
      <t>Target-2</t>
    </r>
    <r>
      <rPr>
        <sz val="11"/>
        <color theme="1"/>
        <rFont val="Calibri"/>
        <family val="2"/>
        <scheme val="minor"/>
      </rPr>
      <t xml:space="preserve"> Crash.  </t>
    </r>
  </si>
  <si>
    <t xml:space="preserve">Include Rear End crashes from the treated approaches within the Additional Information Table.  </t>
  </si>
  <si>
    <t>Order ID:</t>
  </si>
  <si>
    <t>Project ID:</t>
  </si>
  <si>
    <t>County:</t>
  </si>
  <si>
    <t>City:</t>
  </si>
  <si>
    <t>Division:</t>
  </si>
  <si>
    <t>Location:</t>
  </si>
  <si>
    <t>Countermeasure(s):</t>
  </si>
  <si>
    <t>Start Date</t>
  </si>
  <si>
    <t>End Date</t>
  </si>
  <si>
    <t>Length</t>
  </si>
  <si>
    <t>Construction Period</t>
  </si>
  <si>
    <t>Map and Satellite Views</t>
  </si>
  <si>
    <t>Data Prepared For:</t>
  </si>
  <si>
    <t>North Carolina Department of Transportation</t>
  </si>
  <si>
    <t>Data Prepared By:</t>
  </si>
  <si>
    <t>Work Group/Consultant:</t>
  </si>
  <si>
    <t>Date:</t>
  </si>
  <si>
    <t>Principal Investigator:</t>
  </si>
  <si>
    <t>n/a</t>
  </si>
  <si>
    <t>Analysis Criteria:</t>
  </si>
  <si>
    <t>Cells that are shaded TAN are not automatic and need to be filled in prior to printing</t>
  </si>
  <si>
    <t>There are 4 rows under the Additional information table that the user should feel free to use (or not use) as they see fit.  If rows are left unused, leave "n/a" in the left most column</t>
  </si>
  <si>
    <t>Instructions for printing 1-Pager Results Tab</t>
  </si>
  <si>
    <r>
      <t xml:space="preserve">Highlight the cells within but not including the </t>
    </r>
    <r>
      <rPr>
        <b/>
        <sz val="11"/>
        <color rgb="FF00B050"/>
        <rFont val="Times New Roman"/>
        <family val="1"/>
      </rPr>
      <t>GREEN</t>
    </r>
    <r>
      <rPr>
        <sz val="11"/>
        <color theme="1"/>
        <rFont val="Times New Roman"/>
        <family val="1"/>
      </rPr>
      <t xml:space="preserve"> border</t>
    </r>
  </si>
  <si>
    <t>Select Print or hit Control + P</t>
  </si>
  <si>
    <t>Select the printer you wish to use (Microsoft Print to PDF is recommended with 8.5”x11” paper size)</t>
  </si>
  <si>
    <t>In the first box under Settings select “Print Selection”.  This will ensure only the cells you have highlighted are printed out, rather than the whole sheet.</t>
  </si>
  <si>
    <t>In the final dropdown box, select “Fit Sheet on One Page”</t>
  </si>
  <si>
    <t>Hit Print!</t>
  </si>
  <si>
    <t>Target-1 Crashes:</t>
  </si>
  <si>
    <t>Target-2 Crashes:</t>
  </si>
  <si>
    <t>Crashes Per Year by Project Time Period</t>
  </si>
  <si>
    <t>Before
Period</t>
  </si>
  <si>
    <t>After
Period</t>
  </si>
  <si>
    <t>Years</t>
  </si>
  <si>
    <t>Fatal Injury</t>
  </si>
  <si>
    <t>Class A Injury</t>
  </si>
  <si>
    <t>Class B Injury</t>
  </si>
  <si>
    <t>Class C Injury</t>
  </si>
  <si>
    <t>Project Development Comparison</t>
  </si>
  <si>
    <t>Items for Discussion</t>
  </si>
  <si>
    <t>Map/Satellite Views</t>
  </si>
  <si>
    <t>NOTE:</t>
  </si>
  <si>
    <t xml:space="preserve"> Comments for the user:</t>
  </si>
  <si>
    <t>If a calculated percent increase is significantly above 100% and you feel this change would be best represented by reporting "100% +" then you should manually change these values.</t>
  </si>
  <si>
    <t xml:space="preserve">If you feel that any of the above print settings should be changed to allow for a better print out of this report, contact TSU staff first.  For the vast majority of evaluations, these settings should be best.  </t>
  </si>
  <si>
    <t>Cell Shading Key</t>
  </si>
  <si>
    <r>
      <t xml:space="preserve">Write any necessary discussion on the evaluation results in the large merged cell at the bottom of the page. If no discussion is necessary, simply write "n/a" in discussion field
</t>
    </r>
    <r>
      <rPr>
        <i/>
        <sz val="11"/>
        <color theme="1"/>
        <rFont val="Times New Roman"/>
        <family val="1"/>
      </rPr>
      <t>TIP</t>
    </r>
    <r>
      <rPr>
        <sz val="11"/>
        <color theme="1"/>
        <rFont val="Times New Roman"/>
        <family val="1"/>
      </rPr>
      <t>: to drop lines within a single cell, press ALT+ENTER</t>
    </r>
  </si>
  <si>
    <t>All Target Injury Crash Summary</t>
  </si>
  <si>
    <t>Signal ID:</t>
  </si>
  <si>
    <r>
      <t xml:space="preserve">Select “Custom Margins” in the second to last dropdown box.  Match the margin settings in the pop up box to that of the below image.  The Left/Right margins should be </t>
    </r>
    <r>
      <rPr>
        <b/>
        <u/>
        <sz val="11"/>
        <color theme="1"/>
        <rFont val="Times New Roman"/>
        <family val="1"/>
      </rPr>
      <t>0.1</t>
    </r>
    <r>
      <rPr>
        <b/>
        <sz val="11"/>
        <color theme="1"/>
        <rFont val="Times New Roman"/>
        <family val="1"/>
      </rPr>
      <t>"</t>
    </r>
    <r>
      <rPr>
        <sz val="11"/>
        <color theme="1"/>
        <rFont val="Times New Roman"/>
        <family val="1"/>
      </rPr>
      <t xml:space="preserve"> and the Top/Bottom margins should be </t>
    </r>
    <r>
      <rPr>
        <b/>
        <u/>
        <sz val="11"/>
        <color theme="1"/>
        <rFont val="Times New Roman"/>
        <family val="1"/>
      </rPr>
      <t>0.3</t>
    </r>
    <r>
      <rPr>
        <b/>
        <sz val="11"/>
        <color theme="1"/>
        <rFont val="Times New Roman"/>
        <family val="1"/>
      </rPr>
      <t>"</t>
    </r>
    <r>
      <rPr>
        <sz val="11"/>
        <color theme="1"/>
        <rFont val="Times New Roman"/>
        <family val="1"/>
      </rPr>
      <t>.  Also make sure that the “Horizontally” and “Vertically” boxes are checked under the "Center on page" section.  This will ensure the print area is centered within the page layout.</t>
    </r>
  </si>
  <si>
    <r>
      <t xml:space="preserve">Select “Custom Margins” in the second to last dropdown box.  Match the margin settings in the pop up box to that of the below image.  The Left/Right margins should be </t>
    </r>
    <r>
      <rPr>
        <b/>
        <u/>
        <sz val="11"/>
        <color theme="1"/>
        <rFont val="Times New Roman"/>
        <family val="1"/>
      </rPr>
      <t>0.25</t>
    </r>
    <r>
      <rPr>
        <b/>
        <sz val="11"/>
        <color theme="1"/>
        <rFont val="Times New Roman"/>
        <family val="1"/>
      </rPr>
      <t>"</t>
    </r>
    <r>
      <rPr>
        <sz val="11"/>
        <color theme="1"/>
        <rFont val="Times New Roman"/>
        <family val="1"/>
      </rPr>
      <t xml:space="preserve"> and the Top/Bottom margins should be </t>
    </r>
    <r>
      <rPr>
        <b/>
        <u/>
        <sz val="11"/>
        <color theme="1"/>
        <rFont val="Times New Roman"/>
        <family val="1"/>
      </rPr>
      <t>0.5</t>
    </r>
    <r>
      <rPr>
        <b/>
        <sz val="11"/>
        <color theme="1"/>
        <rFont val="Times New Roman"/>
        <family val="1"/>
      </rPr>
      <t>"</t>
    </r>
    <r>
      <rPr>
        <sz val="11"/>
        <color theme="1"/>
        <rFont val="Times New Roman"/>
        <family val="1"/>
      </rPr>
      <t>.  Also make sure that the “Horizontally” and “Vertically” boxes are checked under the "Center on page" section.  This will ensure the print area is centered within the page layout.</t>
    </r>
  </si>
  <si>
    <t>Estimated Project Cost:</t>
  </si>
  <si>
    <t>GPS Coordinates:</t>
  </si>
  <si>
    <t>Completion Date:</t>
  </si>
  <si>
    <t>Safety Project Evaluation</t>
  </si>
  <si>
    <r>
      <t xml:space="preserve">The Traffic Safety Unit </t>
    </r>
    <r>
      <rPr>
        <i/>
        <sz val="11"/>
        <color theme="1"/>
        <rFont val="Times New Roman"/>
        <family val="1"/>
      </rPr>
      <t>of the</t>
    </r>
  </si>
  <si>
    <r>
      <t xml:space="preserve">Transportation Mobility and Safety Division </t>
    </r>
    <r>
      <rPr>
        <i/>
        <sz val="11"/>
        <color theme="1"/>
        <rFont val="Times New Roman"/>
        <family val="1"/>
      </rPr>
      <t>of the</t>
    </r>
  </si>
  <si>
    <r>
      <t xml:space="preserve">Division of Highways </t>
    </r>
    <r>
      <rPr>
        <i/>
        <sz val="11"/>
        <color theme="1"/>
        <rFont val="Times New Roman"/>
        <family val="1"/>
      </rPr>
      <t>of the</t>
    </r>
  </si>
  <si>
    <t>Representative Years Selection:</t>
  </si>
  <si>
    <t>Select Before Period Year:</t>
  </si>
  <si>
    <t>Select After Period Year:</t>
  </si>
  <si>
    <r>
      <t>Construction Period Length
(</t>
    </r>
    <r>
      <rPr>
        <i/>
        <sz val="11"/>
        <color theme="1"/>
        <rFont val="Calibri"/>
        <family val="2"/>
        <scheme val="minor"/>
      </rPr>
      <t>Give Value in Months</t>
    </r>
    <r>
      <rPr>
        <sz val="11"/>
        <color theme="1"/>
        <rFont val="Calibri"/>
        <family val="2"/>
        <scheme val="minor"/>
      </rPr>
      <t>)</t>
    </r>
  </si>
  <si>
    <t>Time Period</t>
  </si>
  <si>
    <t>Cells that need to be edited</t>
  </si>
  <si>
    <t>Auto-calculated cells</t>
  </si>
  <si>
    <t># of Years</t>
  </si>
  <si>
    <t># of Months</t>
  </si>
  <si>
    <r>
      <t xml:space="preserve">This tool only works in </t>
    </r>
    <r>
      <rPr>
        <b/>
        <i/>
        <u/>
        <sz val="11"/>
        <color theme="1"/>
        <rFont val="Calibri"/>
        <family val="2"/>
        <scheme val="minor"/>
      </rPr>
      <t>WHOLE MONTHS</t>
    </r>
    <r>
      <rPr>
        <sz val="11"/>
        <color theme="1"/>
        <rFont val="Calibri"/>
        <family val="2"/>
        <scheme val="minor"/>
      </rPr>
      <t>.  Construction start dates should be rounded up to the first of the month and construction end dates should be rounded down to the end the month.</t>
    </r>
  </si>
  <si>
    <t>Use a typical 3-month Construction Period unless you have specific information to the contrary (ex. construction dates were provided, info from satellite views, etc.).</t>
  </si>
  <si>
    <r>
      <t xml:space="preserve">You </t>
    </r>
    <r>
      <rPr>
        <i/>
        <sz val="11"/>
        <color theme="1"/>
        <rFont val="Calibri"/>
        <family val="2"/>
        <scheme val="minor"/>
      </rPr>
      <t xml:space="preserve">CAN </t>
    </r>
    <r>
      <rPr>
        <sz val="11"/>
        <color theme="1"/>
        <rFont val="Calibri"/>
        <family val="2"/>
        <scheme val="minor"/>
      </rPr>
      <t>input the construction start date directly into cell D10 or simply just enter in the construction period length into cells D5/D6.</t>
    </r>
  </si>
  <si>
    <t>Representative Volumes:</t>
  </si>
  <si>
    <t>Before Period Volume:</t>
  </si>
  <si>
    <t>After Period Volume:</t>
  </si>
  <si>
    <t>Reduced Conflict Intersection (RCI)</t>
  </si>
  <si>
    <t>Look at the sign and loop placement to determine what are the treated approaches.  If the signs are only on one approach, then only include crashes involving vehicles from that approach.  Crashes involving vehicles from the same roadway (Left Turn Same Roadway, Right Turn Same Roadway and Head On Crashes) are typically excluded because the flashers are not displayed to vehicles traveling on the same roadway.</t>
  </si>
  <si>
    <r>
      <t xml:space="preserve">In cells </t>
    </r>
    <r>
      <rPr>
        <b/>
        <sz val="11"/>
        <color theme="1"/>
        <rFont val="Calibri"/>
        <family val="2"/>
        <scheme val="minor"/>
      </rPr>
      <t>N5</t>
    </r>
    <r>
      <rPr>
        <sz val="11"/>
        <color theme="1"/>
        <rFont val="Calibri"/>
        <family val="2"/>
        <scheme val="minor"/>
      </rPr>
      <t xml:space="preserve"> and </t>
    </r>
    <r>
      <rPr>
        <b/>
        <sz val="11"/>
        <color theme="1"/>
        <rFont val="Calibri"/>
        <family val="2"/>
        <scheme val="minor"/>
      </rPr>
      <t>N6</t>
    </r>
    <r>
      <rPr>
        <sz val="11"/>
        <color theme="1"/>
        <rFont val="Calibri"/>
        <family val="2"/>
        <scheme val="minor"/>
      </rPr>
      <t>, select the last year within each period that has available volume data (i.e. actual collected volume data, not estimated/interpolated data)</t>
    </r>
  </si>
  <si>
    <r>
      <t xml:space="preserve">In the case of a T-intersection, leave leg #4 blank (Column </t>
    </r>
    <r>
      <rPr>
        <b/>
        <sz val="11"/>
        <color theme="1"/>
        <rFont val="Calibri"/>
        <family val="2"/>
        <scheme val="minor"/>
      </rPr>
      <t>Q</t>
    </r>
    <r>
      <rPr>
        <sz val="11"/>
        <color theme="1"/>
        <rFont val="Calibri"/>
        <family val="2"/>
        <scheme val="minor"/>
      </rPr>
      <t>)</t>
    </r>
  </si>
  <si>
    <r>
      <t xml:space="preserve">Intersections with 5 or more legs should just have the yearly volumes for the WHOLE intersection calcuated manually and entered into column </t>
    </r>
    <r>
      <rPr>
        <b/>
        <sz val="11"/>
        <color theme="1"/>
        <rFont val="Calibri"/>
        <family val="2"/>
        <scheme val="minor"/>
      </rPr>
      <t>R</t>
    </r>
    <r>
      <rPr>
        <sz val="11"/>
        <color theme="1"/>
        <rFont val="Calibri"/>
        <family val="2"/>
        <scheme val="minor"/>
      </rPr>
      <t>.</t>
    </r>
  </si>
  <si>
    <r>
      <t xml:space="preserve">Please note that this tool will not correctly calculate the AADT of an intersection that involves a one-way road.  Should the major or minor road involve one-way traffic, the total entering volume into the intersection by that road should be directly entered into Column </t>
    </r>
    <r>
      <rPr>
        <b/>
        <sz val="11"/>
        <color theme="1"/>
        <rFont val="Calibri"/>
        <family val="2"/>
        <scheme val="minor"/>
      </rPr>
      <t>O</t>
    </r>
    <r>
      <rPr>
        <sz val="11"/>
        <color theme="1"/>
        <rFont val="Calibri"/>
        <family val="2"/>
        <scheme val="minor"/>
      </rPr>
      <t xml:space="preserve"> (if the major road is one-way) or column </t>
    </r>
    <r>
      <rPr>
        <b/>
        <sz val="11"/>
        <color theme="1"/>
        <rFont val="Calibri"/>
        <family val="2"/>
        <scheme val="minor"/>
      </rPr>
      <t>R</t>
    </r>
    <r>
      <rPr>
        <sz val="11"/>
        <color theme="1"/>
        <rFont val="Calibri"/>
        <family val="2"/>
        <scheme val="minor"/>
      </rPr>
      <t xml:space="preserve"> (if the minor road is one-way)</t>
    </r>
  </si>
  <si>
    <t>Do not select 2020 as a representative year for a particular time period, due to the effects of the COVID-19 pandemic, even if it is the last year with available AADT data within said time period.</t>
  </si>
  <si>
    <t>NOTE: If a crash could potentially fall in more than one target group, discuss with SEG Staff on how to prioritize the target placement.  Each target crash should only fall in one target group.  There should not be overlap.</t>
  </si>
  <si>
    <t>The work should now be done for this Tab.  Move on to the Results Tab.</t>
  </si>
  <si>
    <t xml:space="preserve">The before, construction, and after period dates table is automated and based off of the Date Range Calculator within the "Evaluation Set-up" tab.  Make sure this tab is finalized before printing. </t>
  </si>
  <si>
    <t xml:space="preserve">If the treatment included the construction of U-turn bulbouts, the entire constructed section may need to be included in the treatment analysis.  If the treatment was ONLY the RCI, analyze downstream U-turn crashes in a separate table. </t>
  </si>
  <si>
    <t>Analyze a Potential Area of Influence / Downstream U-Turn Crashes in the additional information table and/or the discussion</t>
  </si>
  <si>
    <t>Particularly for rural roundabouts, note whether there is lighting present within the discussion and detail any patterns regarding nighttime crashes or nighttime lane departures within the additional information table and/or discussion</t>
  </si>
  <si>
    <t>Project ID</t>
  </si>
  <si>
    <t>Intersection</t>
  </si>
  <si>
    <t>County</t>
  </si>
  <si>
    <t>GPS</t>
  </si>
  <si>
    <t>Project Cost</t>
  </si>
  <si>
    <t>Countermeasure Description</t>
  </si>
  <si>
    <t>Countermeasure Grouping</t>
  </si>
  <si>
    <t>Major Speed Limit</t>
  </si>
  <si>
    <t>Minor Speed Limit</t>
  </si>
  <si>
    <t>Install
Year</t>
  </si>
  <si>
    <t>Before, Yr 1</t>
  </si>
  <si>
    <t>Before, Yr 2</t>
  </si>
  <si>
    <t>Before, Yr 3</t>
  </si>
  <si>
    <t>After, Yr 1</t>
  </si>
  <si>
    <t>After, Yr 2</t>
  </si>
  <si>
    <t>After, Yr 3</t>
  </si>
  <si>
    <t>Intersection Type</t>
  </si>
  <si>
    <t>B - Yr 1</t>
  </si>
  <si>
    <t>B - Yr 2</t>
  </si>
  <si>
    <t>B - Yr 3</t>
  </si>
  <si>
    <t>A - Yr 1</t>
  </si>
  <si>
    <t>A - Yr 2</t>
  </si>
  <si>
    <t>A - Yr 3</t>
  </si>
  <si>
    <t>Treatment Grouping</t>
  </si>
  <si>
    <t>Intersection Signing/Marking Enhancement</t>
  </si>
  <si>
    <t>Left Turn Lane (Unsignalized)</t>
  </si>
  <si>
    <t>Median Channelization</t>
  </si>
  <si>
    <t>Offset Left Turn Lane</t>
  </si>
  <si>
    <t>Sight Distance Improvements</t>
  </si>
  <si>
    <t>VEWF</t>
  </si>
  <si>
    <t>Advance Activated Warning Sign</t>
  </si>
  <si>
    <t>Traffic Signal Revisions - Left Turn FYA</t>
  </si>
  <si>
    <t>Traffic Signal Revisions - Non-FYA Related</t>
  </si>
  <si>
    <t>Traffic Signal Revisions - Turn Lanes</t>
  </si>
  <si>
    <t>Miscellaneous</t>
  </si>
  <si>
    <t>R2-3ST</t>
  </si>
  <si>
    <t>R2-4ST</t>
  </si>
  <si>
    <t>R2-4SG</t>
  </si>
  <si>
    <t>R4-3ST</t>
  </si>
  <si>
    <t>R4-4ST</t>
  </si>
  <si>
    <t>R4-4SG</t>
  </si>
  <si>
    <t>U-3ST</t>
  </si>
  <si>
    <t>U-3SG</t>
  </si>
  <si>
    <t>U-4ST</t>
  </si>
  <si>
    <t>U-4SG</t>
  </si>
  <si>
    <t>Month</t>
  </si>
  <si>
    <t>KABC</t>
  </si>
  <si>
    <t>Months in Before</t>
  </si>
  <si>
    <t>Months in After</t>
  </si>
  <si>
    <t>Before Period Table</t>
  </si>
  <si>
    <t>After Period Table</t>
  </si>
  <si>
    <r>
      <t xml:space="preserve">Tables used for Multi-treatment EB analysis and CMF tracking - Please </t>
    </r>
    <r>
      <rPr>
        <b/>
        <u/>
        <sz val="16"/>
        <color rgb="FFFF0000"/>
        <rFont val="Calibri"/>
        <family val="2"/>
        <scheme val="minor"/>
      </rPr>
      <t>DO NOT</t>
    </r>
    <r>
      <rPr>
        <sz val="16"/>
        <color theme="1"/>
        <rFont val="Calibri"/>
        <family val="2"/>
        <scheme val="minor"/>
      </rPr>
      <t xml:space="preserve"> edit or change any cells in this section</t>
    </r>
  </si>
  <si>
    <t>Intx Types</t>
  </si>
  <si>
    <t>Countermeasure Groupings</t>
  </si>
  <si>
    <t>* --&gt;</t>
  </si>
  <si>
    <t>*Note for NCDOT Staff: Should only need to copy this row into internal SS/HE project tracking workbook.  Recommended that "values only" paste is used when copying and pasting into tracking workbook.</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</si>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</sst>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m/d/yyyy;@"/>
    <numFmt numFmtId="165" formatCode="&quot;$&quot;#,##0"/>
  </numFmts>
  <fonts count="4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b/>
      <sz val="11"/>
      <color rgb="FFFF0000"/>
      <name val="Calibri"/>
      <family val="2"/>
      <scheme val="minor"/>
    </font>
    <font>
      <sz val="12"/>
      <color theme="1"/>
      <name val="Times New Roman"/>
      <family val="1"/>
    </font>
    <font>
      <i/>
      <sz val="11"/>
      <color theme="1"/>
      <name val="Calibri"/>
      <family val="2"/>
      <scheme val="minor"/>
    </font>
    <font>
      <b/>
      <i/>
      <u/>
      <sz val="11"/>
      <color theme="1"/>
      <name val="Calibri"/>
      <family val="2"/>
      <scheme val="minor"/>
    </font>
    <font>
      <sz val="8"/>
      <color theme="1"/>
      <name val="Calibri"/>
      <family val="2"/>
    </font>
    <font>
      <b/>
      <sz val="11"/>
      <name val="Calibri"/>
      <family val="2"/>
      <scheme val="minor"/>
    </font>
    <font>
      <sz val="24"/>
      <color theme="1"/>
      <name val="Calibri"/>
      <family val="2"/>
      <scheme val="minor"/>
    </font>
    <font>
      <b/>
      <sz val="11"/>
      <color rgb="FF0070C0"/>
      <name val="Calibri"/>
      <family val="2"/>
      <scheme val="minor"/>
    </font>
    <font>
      <b/>
      <sz val="11"/>
      <color theme="4"/>
      <name val="Calibri"/>
      <family val="2"/>
      <scheme val="minor"/>
    </font>
    <font>
      <b/>
      <sz val="14"/>
      <color theme="1"/>
      <name val="Calibri"/>
      <family val="2"/>
      <scheme val="minor"/>
    </font>
    <font>
      <sz val="18"/>
      <color theme="1"/>
      <name val="Calibri"/>
      <family val="2"/>
      <scheme val="minor"/>
    </font>
    <font>
      <b/>
      <sz val="20"/>
      <color theme="1"/>
      <name val="Calibri"/>
      <family val="2"/>
      <scheme val="minor"/>
    </font>
    <font>
      <b/>
      <sz val="12"/>
      <color theme="1"/>
      <name val="Calibri"/>
      <family val="2"/>
      <scheme val="minor"/>
    </font>
    <font>
      <b/>
      <sz val="12"/>
      <color theme="1"/>
      <name val="Times New Roman"/>
      <family val="1"/>
    </font>
    <font>
      <sz val="11"/>
      <color theme="1"/>
      <name val="Times New Roman"/>
      <family val="1"/>
    </font>
    <font>
      <sz val="26"/>
      <color theme="1"/>
      <name val="Times New Roman"/>
      <family val="1"/>
    </font>
    <font>
      <b/>
      <sz val="11"/>
      <color theme="1"/>
      <name val="Times New Roman"/>
      <family val="1"/>
    </font>
    <font>
      <b/>
      <sz val="11"/>
      <color rgb="FFFF0000"/>
      <name val="Times New Roman"/>
      <family val="1"/>
    </font>
    <font>
      <b/>
      <sz val="11"/>
      <color rgb="FF00B050"/>
      <name val="Times New Roman"/>
      <family val="1"/>
    </font>
    <font>
      <b/>
      <u/>
      <sz val="11"/>
      <color theme="1"/>
      <name val="Times New Roman"/>
      <family val="1"/>
    </font>
    <font>
      <sz val="11"/>
      <color rgb="FF000000"/>
      <name val="Times New Roman"/>
      <family val="1"/>
    </font>
    <font>
      <i/>
      <sz val="11"/>
      <color theme="1"/>
      <name val="Times New Roman"/>
      <family val="1"/>
    </font>
    <font>
      <sz val="11"/>
      <name val="Times New Roman"/>
      <family val="1"/>
    </font>
    <font>
      <b/>
      <u/>
      <sz val="11"/>
      <color rgb="FF000000"/>
      <name val="Times New Roman"/>
      <family val="1"/>
    </font>
    <font>
      <b/>
      <sz val="11"/>
      <color rgb="FF000000"/>
      <name val="Times New Roman"/>
      <family val="1"/>
    </font>
    <font>
      <sz val="14"/>
      <color theme="1"/>
      <name val="Calibri"/>
      <family val="2"/>
      <scheme val="minor"/>
    </font>
    <font>
      <b/>
      <sz val="14"/>
      <color rgb="FFFF0000"/>
      <name val="Calibri"/>
      <family val="2"/>
      <scheme val="minor"/>
    </font>
    <font>
      <b/>
      <sz val="14"/>
      <color rgb="FF0070C0"/>
      <name val="Calibri"/>
      <family val="2"/>
      <scheme val="minor"/>
    </font>
    <font>
      <sz val="16"/>
      <color theme="1"/>
      <name val="Calibri"/>
      <family val="2"/>
      <scheme val="minor"/>
    </font>
    <font>
      <b/>
      <u/>
      <sz val="16"/>
      <color rgb="FFFF0000"/>
      <name val="Calibri"/>
      <family val="2"/>
      <scheme val="minor"/>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
      <patternFill patternType="solid">
        <fgColor theme="1"/>
        <bgColor indexed="64"/>
      </patternFill>
    </fill>
    <fill>
      <patternFill patternType="lightGray">
        <bgColor rgb="FFCCCCCC"/>
      </patternFill>
    </fill>
    <fill>
      <patternFill patternType="solid">
        <fgColor theme="0"/>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rgb="FFFF0000"/>
        <bgColor indexed="64"/>
      </patternFill>
    </fill>
    <fill>
      <patternFill patternType="lightGray">
        <bgColor theme="0" tint="-0.249977111117893"/>
      </patternFill>
    </fill>
    <fill>
      <patternFill patternType="solid">
        <fgColor theme="8" tint="0.59999389629810485"/>
        <bgColor indexed="64"/>
      </patternFill>
    </fill>
    <fill>
      <patternFill patternType="solid">
        <fgColor theme="0" tint="-0.34998626667073579"/>
        <bgColor indexed="64"/>
      </patternFill>
    </fill>
  </fills>
  <borders count="8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style="double">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top style="medium">
        <color indexed="64"/>
      </top>
      <bottom style="double">
        <color indexed="64"/>
      </bottom>
      <diagonal/>
    </border>
    <border>
      <left/>
      <right style="thin">
        <color indexed="64"/>
      </right>
      <top style="medium">
        <color indexed="64"/>
      </top>
      <bottom style="double">
        <color indexed="64"/>
      </bottom>
      <diagonal/>
    </border>
    <border>
      <left style="medium">
        <color indexed="64"/>
      </left>
      <right/>
      <top style="double">
        <color indexed="64"/>
      </top>
      <bottom style="medium">
        <color indexed="64"/>
      </bottom>
      <diagonal/>
    </border>
    <border>
      <left/>
      <right style="thin">
        <color indexed="64"/>
      </right>
      <top style="double">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style="medium">
        <color indexed="64"/>
      </right>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556">
    <xf numFmtId="0" fontId="0" fillId="0" borderId="0" xfId="0"/>
    <xf numFmtId="0" fontId="0" fillId="0" borderId="0" xfId="0" applyAlignment="1">
      <alignment wrapText="1"/>
    </xf>
    <xf numFmtId="0" fontId="0" fillId="0" borderId="0" xfId="0" applyAlignment="1">
      <alignment horizontal="center"/>
    </xf>
    <xf numFmtId="0" fontId="0" fillId="0" borderId="10" xfId="0" applyBorder="1"/>
    <xf numFmtId="0" fontId="0" fillId="0" borderId="18" xfId="0" applyBorder="1"/>
    <xf numFmtId="14" fontId="0" fillId="0" borderId="0" xfId="0" applyNumberFormat="1"/>
    <xf numFmtId="0" fontId="0" fillId="0" borderId="20" xfId="0" applyBorder="1"/>
    <xf numFmtId="14" fontId="0" fillId="0" borderId="21" xfId="0" applyNumberFormat="1" applyBorder="1"/>
    <xf numFmtId="0" fontId="0" fillId="34" borderId="0" xfId="0" applyFill="1"/>
    <xf numFmtId="0" fontId="0" fillId="34" borderId="0" xfId="0" applyFill="1" applyAlignment="1">
      <alignment wrapText="1"/>
    </xf>
    <xf numFmtId="0" fontId="16" fillId="0" borderId="10" xfId="0" applyFont="1" applyBorder="1"/>
    <xf numFmtId="0" fontId="16" fillId="0" borderId="10" xfId="0" applyFont="1" applyBorder="1" applyAlignment="1">
      <alignment horizontal="center"/>
    </xf>
    <xf numFmtId="0" fontId="0" fillId="0" borderId="19" xfId="0" applyBorder="1"/>
    <xf numFmtId="0" fontId="0" fillId="0" borderId="15" xfId="0" applyBorder="1" applyAlignment="1">
      <alignment horizontal="center" wrapText="1"/>
    </xf>
    <xf numFmtId="0" fontId="0" fillId="0" borderId="16" xfId="0" applyBorder="1" applyAlignment="1">
      <alignment horizontal="center" wrapText="1"/>
    </xf>
    <xf numFmtId="0" fontId="0" fillId="0" borderId="17" xfId="0" applyBorder="1" applyAlignment="1">
      <alignment horizontal="center" wrapText="1"/>
    </xf>
    <xf numFmtId="0" fontId="0" fillId="36" borderId="0" xfId="0" applyFill="1"/>
    <xf numFmtId="0" fontId="0" fillId="36" borderId="15" xfId="0" applyFill="1" applyBorder="1"/>
    <xf numFmtId="0" fontId="0" fillId="36" borderId="16" xfId="0" applyFill="1" applyBorder="1"/>
    <xf numFmtId="0" fontId="0" fillId="36" borderId="17" xfId="0" applyFill="1" applyBorder="1"/>
    <xf numFmtId="0" fontId="0" fillId="36" borderId="18" xfId="0" applyFill="1" applyBorder="1"/>
    <xf numFmtId="0" fontId="0" fillId="36" borderId="19" xfId="0" applyFill="1" applyBorder="1"/>
    <xf numFmtId="0" fontId="0" fillId="36" borderId="18" xfId="0" applyFill="1" applyBorder="1" applyAlignment="1">
      <alignment wrapText="1"/>
    </xf>
    <xf numFmtId="0" fontId="0" fillId="36" borderId="19" xfId="0" applyFill="1" applyBorder="1" applyAlignment="1">
      <alignment wrapText="1"/>
    </xf>
    <xf numFmtId="0" fontId="16" fillId="0" borderId="0" xfId="0" applyFont="1"/>
    <xf numFmtId="0" fontId="0" fillId="36" borderId="36" xfId="0" applyFill="1" applyBorder="1"/>
    <xf numFmtId="0" fontId="0" fillId="36" borderId="32" xfId="0" applyFill="1" applyBorder="1"/>
    <xf numFmtId="0" fontId="0" fillId="36" borderId="34" xfId="0" applyFill="1" applyBorder="1"/>
    <xf numFmtId="0" fontId="23" fillId="36" borderId="18" xfId="0" applyFont="1" applyFill="1" applyBorder="1" applyAlignment="1">
      <alignment horizontal="right" vertical="center"/>
    </xf>
    <xf numFmtId="0" fontId="0" fillId="36" borderId="20" xfId="0" applyFill="1" applyBorder="1"/>
    <xf numFmtId="0" fontId="0" fillId="36" borderId="21" xfId="0" applyFill="1" applyBorder="1"/>
    <xf numFmtId="0" fontId="0" fillId="36" borderId="22" xfId="0" applyFill="1" applyBorder="1"/>
    <xf numFmtId="0" fontId="0" fillId="0" borderId="18" xfId="0" applyBorder="1" applyAlignment="1">
      <alignment wrapText="1"/>
    </xf>
    <xf numFmtId="0" fontId="0" fillId="0" borderId="19" xfId="0" applyBorder="1" applyAlignment="1">
      <alignment wrapText="1"/>
    </xf>
    <xf numFmtId="0" fontId="0" fillId="37" borderId="19" xfId="0" applyFill="1" applyBorder="1"/>
    <xf numFmtId="0" fontId="0" fillId="37" borderId="22" xfId="0" applyFill="1" applyBorder="1"/>
    <xf numFmtId="0" fontId="19" fillId="0" borderId="10" xfId="0" applyFont="1" applyBorder="1" applyAlignment="1">
      <alignment horizontal="center"/>
    </xf>
    <xf numFmtId="0" fontId="0" fillId="0" borderId="32" xfId="0" applyBorder="1" applyAlignment="1">
      <alignment horizontal="left" vertical="center"/>
    </xf>
    <xf numFmtId="0" fontId="0" fillId="0" borderId="34" xfId="0" applyBorder="1" applyAlignment="1">
      <alignment horizontal="left" vertical="center"/>
    </xf>
    <xf numFmtId="3" fontId="14" fillId="33" borderId="10" xfId="0" applyNumberFormat="1" applyFont="1" applyFill="1" applyBorder="1" applyAlignment="1">
      <alignment horizontal="center" vertical="center"/>
    </xf>
    <xf numFmtId="3" fontId="14" fillId="33" borderId="39" xfId="0" applyNumberFormat="1" applyFont="1" applyFill="1" applyBorder="1" applyAlignment="1">
      <alignment horizontal="center" vertical="center"/>
    </xf>
    <xf numFmtId="0" fontId="27" fillId="0" borderId="10" xfId="0" applyFont="1" applyBorder="1" applyAlignment="1">
      <alignment horizontal="center"/>
    </xf>
    <xf numFmtId="0" fontId="0" fillId="36" borderId="12" xfId="0" applyFill="1" applyBorder="1" applyAlignment="1">
      <alignment horizontal="center" wrapText="1"/>
    </xf>
    <xf numFmtId="0" fontId="0" fillId="36" borderId="14" xfId="0" applyFill="1" applyBorder="1" applyAlignment="1">
      <alignment horizontal="center" wrapText="1"/>
    </xf>
    <xf numFmtId="0" fontId="0" fillId="0" borderId="21" xfId="0" applyBorder="1" applyAlignment="1">
      <alignment horizontal="center"/>
    </xf>
    <xf numFmtId="0" fontId="28" fillId="36" borderId="18" xfId="0" applyFont="1" applyFill="1" applyBorder="1"/>
    <xf numFmtId="0" fontId="19" fillId="0" borderId="0" xfId="0" applyFont="1" applyAlignment="1">
      <alignment horizontal="center"/>
    </xf>
    <xf numFmtId="0" fontId="0" fillId="36" borderId="0" xfId="0" applyFill="1" applyAlignment="1">
      <alignment horizontal="left" vertical="center" wrapText="1"/>
    </xf>
    <xf numFmtId="0" fontId="0" fillId="0" borderId="37" xfId="0" applyBorder="1" applyAlignment="1">
      <alignment horizontal="left" vertical="center" wrapText="1"/>
    </xf>
    <xf numFmtId="0" fontId="0" fillId="0" borderId="28" xfId="0" applyBorder="1" applyAlignment="1">
      <alignment horizontal="left" vertical="center" wrapText="1"/>
    </xf>
    <xf numFmtId="0" fontId="0" fillId="0" borderId="36" xfId="0" applyBorder="1" applyAlignment="1">
      <alignment horizontal="left" vertical="center" wrapText="1"/>
    </xf>
    <xf numFmtId="0" fontId="0" fillId="0" borderId="39" xfId="0" applyBorder="1" applyAlignment="1">
      <alignment horizontal="left" vertical="center" wrapText="1"/>
    </xf>
    <xf numFmtId="0" fontId="0" fillId="0" borderId="40" xfId="0" applyBorder="1" applyAlignment="1">
      <alignment horizontal="left" vertical="center" wrapText="1"/>
    </xf>
    <xf numFmtId="0" fontId="0" fillId="0" borderId="32" xfId="0" applyBorder="1" applyAlignment="1">
      <alignment horizontal="left" vertical="center" wrapText="1"/>
    </xf>
    <xf numFmtId="0" fontId="0" fillId="0" borderId="26" xfId="0" applyBorder="1" applyAlignment="1">
      <alignment horizontal="left" vertical="center" wrapText="1"/>
    </xf>
    <xf numFmtId="0" fontId="0" fillId="0" borderId="41" xfId="0" applyBorder="1" applyAlignment="1">
      <alignment horizontal="left" vertical="center" wrapText="1"/>
    </xf>
    <xf numFmtId="0" fontId="0" fillId="0" borderId="42" xfId="0" applyBorder="1" applyAlignment="1">
      <alignment horizontal="left" vertical="center" wrapText="1"/>
    </xf>
    <xf numFmtId="0" fontId="0" fillId="0" borderId="34" xfId="0" applyBorder="1" applyAlignment="1">
      <alignment horizontal="left" vertical="center" wrapText="1"/>
    </xf>
    <xf numFmtId="0" fontId="16" fillId="0" borderId="46" xfId="0" applyFont="1" applyBorder="1" applyAlignment="1">
      <alignment horizontal="center" vertical="center" wrapText="1"/>
    </xf>
    <xf numFmtId="0" fontId="16" fillId="0" borderId="63" xfId="0" applyFont="1" applyBorder="1" applyAlignment="1">
      <alignment horizontal="center" vertical="center" wrapText="1"/>
    </xf>
    <xf numFmtId="0" fontId="16" fillId="0" borderId="61" xfId="0" applyFont="1" applyBorder="1" applyAlignment="1">
      <alignment horizontal="center" vertical="center" wrapText="1"/>
    </xf>
    <xf numFmtId="0" fontId="16" fillId="0" borderId="37" xfId="0" applyFont="1" applyBorder="1" applyAlignment="1">
      <alignment horizontal="center" vertical="center" wrapText="1"/>
    </xf>
    <xf numFmtId="0" fontId="16" fillId="0" borderId="39" xfId="0" applyFont="1" applyBorder="1" applyAlignment="1">
      <alignment horizontal="center" vertical="center" wrapText="1"/>
    </xf>
    <xf numFmtId="0" fontId="16" fillId="0" borderId="41" xfId="0" applyFont="1" applyBorder="1" applyAlignment="1">
      <alignment horizontal="center" vertical="center" wrapText="1"/>
    </xf>
    <xf numFmtId="0" fontId="28" fillId="36" borderId="0" xfId="0" applyFont="1" applyFill="1" applyAlignment="1">
      <alignment horizontal="left" vertical="center" wrapText="1"/>
    </xf>
    <xf numFmtId="0" fontId="16" fillId="36" borderId="0" xfId="0" applyFont="1" applyFill="1" applyAlignment="1">
      <alignment horizontal="left" vertical="center" wrapText="1"/>
    </xf>
    <xf numFmtId="0" fontId="16" fillId="36" borderId="0" xfId="0" applyFont="1" applyFill="1" applyAlignment="1">
      <alignment horizontal="center" vertical="center" wrapText="1"/>
    </xf>
    <xf numFmtId="0" fontId="0" fillId="36" borderId="0" xfId="0" applyFill="1" applyAlignment="1">
      <alignment horizontal="left" vertical="center"/>
    </xf>
    <xf numFmtId="3" fontId="0" fillId="33" borderId="39" xfId="0" applyNumberFormat="1" applyFill="1" applyBorder="1" applyAlignment="1">
      <alignment horizontal="center" vertical="center"/>
    </xf>
    <xf numFmtId="3" fontId="0" fillId="33" borderId="10" xfId="0" applyNumberFormat="1" applyFill="1" applyBorder="1" applyAlignment="1">
      <alignment horizontal="center" vertical="center"/>
    </xf>
    <xf numFmtId="0" fontId="0" fillId="36" borderId="21" xfId="0" applyFill="1" applyBorder="1" applyAlignment="1">
      <alignment horizontal="left" vertical="center"/>
    </xf>
    <xf numFmtId="0" fontId="0" fillId="36" borderId="0" xfId="0" applyFill="1" applyAlignment="1">
      <alignment wrapText="1"/>
    </xf>
    <xf numFmtId="0" fontId="23" fillId="36" borderId="0" xfId="0" applyFont="1" applyFill="1" applyAlignment="1">
      <alignment horizontal="right" vertical="center"/>
    </xf>
    <xf numFmtId="0" fontId="28" fillId="36" borderId="0" xfId="0" applyFont="1" applyFill="1"/>
    <xf numFmtId="3" fontId="0" fillId="33" borderId="41" xfId="0" applyNumberFormat="1" applyFill="1" applyBorder="1" applyAlignment="1">
      <alignment horizontal="center" vertical="center"/>
    </xf>
    <xf numFmtId="3" fontId="0" fillId="33" borderId="43" xfId="0" applyNumberFormat="1" applyFill="1" applyBorder="1" applyAlignment="1">
      <alignment horizontal="center" vertical="center"/>
    </xf>
    <xf numFmtId="0" fontId="0" fillId="0" borderId="0" xfId="0" applyAlignment="1">
      <alignment horizontal="left"/>
    </xf>
    <xf numFmtId="0" fontId="0" fillId="36" borderId="19" xfId="0" applyFill="1" applyBorder="1" applyAlignment="1">
      <alignment horizontal="left"/>
    </xf>
    <xf numFmtId="0" fontId="27" fillId="0" borderId="0" xfId="0" applyFont="1" applyAlignment="1">
      <alignment horizontal="center"/>
    </xf>
    <xf numFmtId="0" fontId="26" fillId="0" borderId="0" xfId="0" applyFont="1" applyAlignment="1">
      <alignment horizontal="center"/>
    </xf>
    <xf numFmtId="0" fontId="0" fillId="0" borderId="0" xfId="0" quotePrefix="1"/>
    <xf numFmtId="0" fontId="0" fillId="0" borderId="24" xfId="0" applyBorder="1" applyAlignment="1" applyProtection="1">
      <alignment wrapText="1"/>
      <protection locked="0"/>
    </xf>
    <xf numFmtId="0" fontId="0" fillId="40" borderId="0" xfId="0" applyFill="1"/>
    <xf numFmtId="0" fontId="0" fillId="40" borderId="0" xfId="0" applyFill="1" applyAlignment="1">
      <alignment horizontal="center"/>
    </xf>
    <xf numFmtId="0" fontId="19" fillId="40" borderId="0" xfId="0" applyFont="1" applyFill="1" applyAlignment="1">
      <alignment horizontal="center"/>
    </xf>
    <xf numFmtId="0" fontId="26" fillId="40" borderId="0" xfId="0" applyFont="1" applyFill="1" applyAlignment="1">
      <alignment horizontal="center"/>
    </xf>
    <xf numFmtId="0" fontId="33" fillId="0" borderId="0" xfId="0" applyFont="1" applyAlignment="1">
      <alignment vertical="center"/>
    </xf>
    <xf numFmtId="0" fontId="35" fillId="0" borderId="0" xfId="0" applyFont="1" applyAlignment="1">
      <alignment vertical="center"/>
    </xf>
    <xf numFmtId="0" fontId="35" fillId="0" borderId="10" xfId="0" applyFont="1" applyBorder="1" applyAlignment="1">
      <alignment horizontal="center" vertical="center"/>
    </xf>
    <xf numFmtId="0" fontId="36" fillId="0" borderId="10" xfId="0" applyFont="1" applyBorder="1" applyAlignment="1">
      <alignment horizontal="center" vertical="center"/>
    </xf>
    <xf numFmtId="0" fontId="33" fillId="0" borderId="10" xfId="0" applyFont="1" applyBorder="1" applyAlignment="1">
      <alignment horizontal="center" vertical="center"/>
    </xf>
    <xf numFmtId="2" fontId="33" fillId="0" borderId="10" xfId="0" applyNumberFormat="1" applyFont="1" applyBorder="1" applyAlignment="1">
      <alignment horizontal="center" vertical="center"/>
    </xf>
    <xf numFmtId="0" fontId="33" fillId="0" borderId="0" xfId="0" applyFont="1" applyAlignment="1">
      <alignment vertical="top"/>
    </xf>
    <xf numFmtId="0" fontId="26" fillId="0" borderId="10" xfId="0" applyFont="1" applyBorder="1" applyAlignment="1">
      <alignment horizontal="center"/>
    </xf>
    <xf numFmtId="0" fontId="0" fillId="0" borderId="10" xfId="0" applyBorder="1" applyAlignment="1">
      <alignment horizontal="center"/>
    </xf>
    <xf numFmtId="2" fontId="0" fillId="0" borderId="10" xfId="0" applyNumberFormat="1" applyBorder="1" applyAlignment="1">
      <alignment horizontal="center"/>
    </xf>
    <xf numFmtId="0" fontId="33" fillId="37" borderId="0" xfId="0" applyFont="1" applyFill="1" applyAlignment="1">
      <alignment vertical="center"/>
    </xf>
    <xf numFmtId="0" fontId="33" fillId="37" borderId="0" xfId="0" applyFont="1" applyFill="1" applyAlignment="1">
      <alignment horizontal="center" vertical="center"/>
    </xf>
    <xf numFmtId="0" fontId="33" fillId="36" borderId="0" xfId="0" applyFont="1" applyFill="1" applyAlignment="1">
      <alignment vertical="center"/>
    </xf>
    <xf numFmtId="0" fontId="33" fillId="36" borderId="15" xfId="0" applyFont="1" applyFill="1" applyBorder="1" applyAlignment="1">
      <alignment vertical="center"/>
    </xf>
    <xf numFmtId="0" fontId="33" fillId="36" borderId="16" xfId="0" applyFont="1" applyFill="1" applyBorder="1" applyAlignment="1">
      <alignment vertical="center"/>
    </xf>
    <xf numFmtId="0" fontId="33" fillId="36" borderId="16" xfId="0" applyFont="1" applyFill="1" applyBorder="1" applyAlignment="1">
      <alignment horizontal="center" vertical="center"/>
    </xf>
    <xf numFmtId="0" fontId="33" fillId="36" borderId="17" xfId="0" applyFont="1" applyFill="1" applyBorder="1" applyAlignment="1">
      <alignment vertical="center"/>
    </xf>
    <xf numFmtId="0" fontId="33" fillId="36" borderId="18" xfId="0" applyFont="1" applyFill="1" applyBorder="1" applyAlignment="1">
      <alignment vertical="center"/>
    </xf>
    <xf numFmtId="0" fontId="33" fillId="36" borderId="19" xfId="0" applyFont="1" applyFill="1" applyBorder="1" applyAlignment="1">
      <alignment vertical="center"/>
    </xf>
    <xf numFmtId="0" fontId="33" fillId="36" borderId="0" xfId="0" applyFont="1" applyFill="1" applyAlignment="1">
      <alignment horizontal="center" vertical="center"/>
    </xf>
    <xf numFmtId="0" fontId="33" fillId="36" borderId="10" xfId="0" applyFont="1" applyFill="1" applyBorder="1" applyAlignment="1">
      <alignment vertical="center"/>
    </xf>
    <xf numFmtId="0" fontId="33" fillId="36" borderId="76" xfId="0" applyFont="1" applyFill="1" applyBorder="1" applyAlignment="1">
      <alignment vertical="center"/>
    </xf>
    <xf numFmtId="0" fontId="23" fillId="36" borderId="77" xfId="0" applyFont="1" applyFill="1" applyBorder="1" applyAlignment="1">
      <alignment horizontal="right" vertical="center"/>
    </xf>
    <xf numFmtId="0" fontId="23" fillId="36" borderId="78" xfId="0" applyFont="1" applyFill="1" applyBorder="1" applyAlignment="1">
      <alignment horizontal="right" vertical="center"/>
    </xf>
    <xf numFmtId="0" fontId="23" fillId="36" borderId="20" xfId="0" applyFont="1" applyFill="1" applyBorder="1" applyAlignment="1">
      <alignment horizontal="right" vertical="center"/>
    </xf>
    <xf numFmtId="0" fontId="33" fillId="36" borderId="0" xfId="0" applyFont="1" applyFill="1" applyAlignment="1">
      <alignment vertical="center" wrapText="1"/>
    </xf>
    <xf numFmtId="0" fontId="35" fillId="36" borderId="0" xfId="0" applyFont="1" applyFill="1"/>
    <xf numFmtId="0" fontId="33" fillId="36" borderId="10" xfId="0" applyFont="1" applyFill="1" applyBorder="1" applyAlignment="1">
      <alignment horizontal="center" vertical="center"/>
    </xf>
    <xf numFmtId="0" fontId="33" fillId="36" borderId="10" xfId="0" quotePrefix="1" applyFont="1" applyFill="1" applyBorder="1" applyAlignment="1">
      <alignment horizontal="center" vertical="center"/>
    </xf>
    <xf numFmtId="0" fontId="33" fillId="37" borderId="0" xfId="0" applyFont="1" applyFill="1" applyAlignment="1">
      <alignment vertical="top"/>
    </xf>
    <xf numFmtId="0" fontId="33" fillId="36" borderId="18" xfId="0" applyFont="1" applyFill="1" applyBorder="1" applyAlignment="1">
      <alignment vertical="top"/>
    </xf>
    <xf numFmtId="0" fontId="33" fillId="36" borderId="0" xfId="0" applyFont="1" applyFill="1" applyAlignment="1">
      <alignment vertical="top"/>
    </xf>
    <xf numFmtId="0" fontId="33" fillId="36" borderId="19" xfId="0" applyFont="1" applyFill="1" applyBorder="1" applyAlignment="1">
      <alignment vertical="top"/>
    </xf>
    <xf numFmtId="0" fontId="39" fillId="35" borderId="10" xfId="0" applyFont="1" applyFill="1" applyBorder="1" applyAlignment="1">
      <alignment horizontal="center" vertical="center"/>
    </xf>
    <xf numFmtId="2" fontId="39" fillId="35" borderId="10" xfId="0" applyNumberFormat="1" applyFont="1" applyFill="1" applyBorder="1" applyAlignment="1">
      <alignment horizontal="center" vertical="center"/>
    </xf>
    <xf numFmtId="2" fontId="33" fillId="0" borderId="10" xfId="0" applyNumberFormat="1" applyFont="1" applyBorder="1" applyAlignment="1">
      <alignment horizontal="center"/>
    </xf>
    <xf numFmtId="0" fontId="20" fillId="36" borderId="0" xfId="0" applyFont="1" applyFill="1" applyAlignment="1">
      <alignment vertical="center"/>
    </xf>
    <xf numFmtId="0" fontId="20" fillId="36" borderId="0" xfId="0" applyFont="1" applyFill="1" applyAlignment="1">
      <alignment horizontal="left" vertical="center"/>
    </xf>
    <xf numFmtId="0" fontId="33" fillId="36" borderId="20" xfId="0" applyFont="1" applyFill="1" applyBorder="1" applyAlignment="1">
      <alignment vertical="center"/>
    </xf>
    <xf numFmtId="0" fontId="33" fillId="36" borderId="21" xfId="0" applyFont="1" applyFill="1" applyBorder="1" applyAlignment="1">
      <alignment vertical="center"/>
    </xf>
    <xf numFmtId="0" fontId="33" fillId="36" borderId="21" xfId="0" applyFont="1" applyFill="1" applyBorder="1" applyAlignment="1">
      <alignment horizontal="center" vertical="center"/>
    </xf>
    <xf numFmtId="0" fontId="33" fillId="36" borderId="22" xfId="0" applyFont="1" applyFill="1" applyBorder="1" applyAlignment="1">
      <alignment vertical="center"/>
    </xf>
    <xf numFmtId="9" fontId="20" fillId="37" borderId="0" xfId="42" applyFont="1" applyFill="1" applyBorder="1" applyAlignment="1" applyProtection="1">
      <alignment horizontal="left" vertical="center"/>
    </xf>
    <xf numFmtId="0" fontId="33" fillId="37" borderId="0" xfId="0" applyFont="1" applyFill="1" applyAlignment="1">
      <alignment horizontal="left" vertical="center"/>
    </xf>
    <xf numFmtId="9" fontId="20" fillId="36" borderId="0" xfId="0" applyNumberFormat="1" applyFont="1" applyFill="1" applyAlignment="1">
      <alignment horizontal="left" vertical="center"/>
    </xf>
    <xf numFmtId="0" fontId="33" fillId="0" borderId="0" xfId="0" applyFont="1" applyAlignment="1">
      <alignment horizontal="center" vertical="center"/>
    </xf>
    <xf numFmtId="0" fontId="33" fillId="36" borderId="0" xfId="0" applyFont="1" applyFill="1" applyAlignment="1">
      <alignment horizontal="left" vertical="center"/>
    </xf>
    <xf numFmtId="0" fontId="41" fillId="36" borderId="0" xfId="0" applyFont="1" applyFill="1" applyAlignment="1">
      <alignment vertical="center"/>
    </xf>
    <xf numFmtId="0" fontId="33" fillId="36" borderId="0" xfId="0" applyFont="1" applyFill="1" applyAlignment="1">
      <alignment horizontal="center" vertical="center" wrapText="1"/>
    </xf>
    <xf numFmtId="0" fontId="33" fillId="36" borderId="10" xfId="0" applyFont="1" applyFill="1" applyBorder="1" applyAlignment="1">
      <alignment horizontal="left" vertical="center"/>
    </xf>
    <xf numFmtId="0" fontId="33" fillId="36" borderId="10" xfId="0" applyFont="1" applyFill="1" applyBorder="1" applyAlignment="1">
      <alignment horizontal="left" vertical="center" wrapText="1"/>
    </xf>
    <xf numFmtId="14" fontId="33" fillId="36" borderId="10" xfId="0" applyNumberFormat="1" applyFont="1" applyFill="1" applyBorder="1" applyAlignment="1">
      <alignment horizontal="center" vertical="center"/>
    </xf>
    <xf numFmtId="0" fontId="39" fillId="36" borderId="10" xfId="0" applyFont="1" applyFill="1" applyBorder="1" applyAlignment="1">
      <alignment vertical="center"/>
    </xf>
    <xf numFmtId="1" fontId="39" fillId="36" borderId="10" xfId="0" applyNumberFormat="1" applyFont="1" applyFill="1" applyBorder="1" applyAlignment="1">
      <alignment horizontal="center" vertical="center"/>
    </xf>
    <xf numFmtId="0" fontId="39" fillId="36" borderId="10" xfId="0" applyFont="1" applyFill="1" applyBorder="1" applyAlignment="1">
      <alignment horizontal="center" vertical="center"/>
    </xf>
    <xf numFmtId="10" fontId="39" fillId="36" borderId="10" xfId="0" applyNumberFormat="1" applyFont="1" applyFill="1" applyBorder="1" applyAlignment="1">
      <alignment horizontal="center" vertical="center"/>
    </xf>
    <xf numFmtId="2" fontId="39" fillId="36" borderId="10" xfId="0" applyNumberFormat="1" applyFont="1" applyFill="1" applyBorder="1" applyAlignment="1">
      <alignment horizontal="center" vertical="center"/>
    </xf>
    <xf numFmtId="0" fontId="39" fillId="41" borderId="10" xfId="0" applyFont="1" applyFill="1" applyBorder="1" applyAlignment="1">
      <alignment vertical="center"/>
    </xf>
    <xf numFmtId="0" fontId="39" fillId="41" borderId="10" xfId="0" applyFont="1" applyFill="1" applyBorder="1" applyAlignment="1">
      <alignment horizontal="center" vertical="center"/>
    </xf>
    <xf numFmtId="1" fontId="41" fillId="36" borderId="10" xfId="0" applyNumberFormat="1" applyFont="1" applyFill="1" applyBorder="1" applyAlignment="1">
      <alignment horizontal="center" vertical="center"/>
    </xf>
    <xf numFmtId="3" fontId="39" fillId="36" borderId="10" xfId="0" applyNumberFormat="1" applyFont="1" applyFill="1" applyBorder="1" applyAlignment="1">
      <alignment horizontal="center" vertical="center"/>
    </xf>
    <xf numFmtId="0" fontId="39" fillId="36" borderId="0" xfId="0" applyFont="1" applyFill="1" applyAlignment="1">
      <alignment vertical="center"/>
    </xf>
    <xf numFmtId="3" fontId="39" fillId="36" borderId="0" xfId="0" applyNumberFormat="1" applyFont="1" applyFill="1" applyAlignment="1">
      <alignment horizontal="center" vertical="center"/>
    </xf>
    <xf numFmtId="10" fontId="39" fillId="36" borderId="0" xfId="0" applyNumberFormat="1" applyFont="1" applyFill="1" applyAlignment="1">
      <alignment horizontal="center" vertical="center"/>
    </xf>
    <xf numFmtId="0" fontId="39" fillId="36" borderId="10" xfId="0" applyFont="1" applyFill="1" applyBorder="1" applyAlignment="1">
      <alignment horizontal="left" vertical="center"/>
    </xf>
    <xf numFmtId="0" fontId="39" fillId="36" borderId="0" xfId="0" applyFont="1" applyFill="1" applyAlignment="1">
      <alignment horizontal="left" vertical="center" wrapText="1"/>
    </xf>
    <xf numFmtId="0" fontId="38" fillId="36" borderId="0" xfId="0" applyFont="1" applyFill="1" applyAlignment="1">
      <alignment horizontal="left" vertical="top"/>
    </xf>
    <xf numFmtId="0" fontId="39" fillId="35" borderId="10" xfId="0" applyFont="1" applyFill="1" applyBorder="1" applyAlignment="1">
      <alignment vertical="center"/>
    </xf>
    <xf numFmtId="0" fontId="33" fillId="0" borderId="10" xfId="0" applyFont="1" applyBorder="1"/>
    <xf numFmtId="0" fontId="38" fillId="36" borderId="0" xfId="0" applyFont="1" applyFill="1" applyAlignment="1">
      <alignment vertical="center"/>
    </xf>
    <xf numFmtId="9" fontId="33" fillId="36" borderId="0" xfId="42" applyFont="1" applyFill="1" applyBorder="1" applyAlignment="1" applyProtection="1">
      <alignment horizontal="left" vertical="center"/>
    </xf>
    <xf numFmtId="0" fontId="38" fillId="36" borderId="0" xfId="0" applyFont="1" applyFill="1" applyAlignment="1">
      <alignment vertical="top"/>
    </xf>
    <xf numFmtId="9" fontId="33" fillId="36" borderId="21" xfId="42" applyFont="1" applyFill="1" applyBorder="1" applyAlignment="1" applyProtection="1">
      <alignment horizontal="left" vertical="center"/>
    </xf>
    <xf numFmtId="0" fontId="33" fillId="36" borderId="21" xfId="0" applyFont="1" applyFill="1" applyBorder="1" applyAlignment="1">
      <alignment horizontal="left" vertical="center"/>
    </xf>
    <xf numFmtId="0" fontId="39" fillId="36" borderId="66" xfId="0" applyFont="1" applyFill="1" applyBorder="1" applyAlignment="1">
      <alignment vertical="center"/>
    </xf>
    <xf numFmtId="2" fontId="39" fillId="36" borderId="66" xfId="0" applyNumberFormat="1" applyFont="1" applyFill="1" applyBorder="1" applyAlignment="1">
      <alignment horizontal="center" vertical="center"/>
    </xf>
    <xf numFmtId="10" fontId="39" fillId="36" borderId="66" xfId="0" applyNumberFormat="1" applyFont="1" applyFill="1" applyBorder="1" applyAlignment="1">
      <alignment horizontal="center" vertical="center"/>
    </xf>
    <xf numFmtId="0" fontId="39" fillId="35" borderId="26" xfId="0" applyFont="1" applyFill="1" applyBorder="1" applyAlignment="1">
      <alignment vertical="center"/>
    </xf>
    <xf numFmtId="0" fontId="39" fillId="41" borderId="63" xfId="0" applyFont="1" applyFill="1" applyBorder="1" applyAlignment="1">
      <alignment horizontal="center" vertical="center"/>
    </xf>
    <xf numFmtId="0" fontId="39" fillId="41" borderId="62" xfId="0" applyFont="1" applyFill="1" applyBorder="1" applyAlignment="1">
      <alignment horizontal="center" vertical="center"/>
    </xf>
    <xf numFmtId="0" fontId="39" fillId="36" borderId="27" xfId="0" applyFont="1" applyFill="1" applyBorder="1" applyAlignment="1">
      <alignment vertical="center"/>
    </xf>
    <xf numFmtId="1" fontId="41" fillId="36" borderId="27" xfId="0" applyNumberFormat="1" applyFont="1" applyFill="1" applyBorder="1" applyAlignment="1">
      <alignment horizontal="center" vertical="center"/>
    </xf>
    <xf numFmtId="0" fontId="39" fillId="36" borderId="27" xfId="0" applyFont="1" applyFill="1" applyBorder="1" applyAlignment="1">
      <alignment horizontal="center" vertical="center"/>
    </xf>
    <xf numFmtId="10" fontId="39" fillId="36" borderId="27" xfId="0" applyNumberFormat="1" applyFont="1" applyFill="1" applyBorder="1" applyAlignment="1">
      <alignment horizontal="center" vertical="center"/>
    </xf>
    <xf numFmtId="0" fontId="39" fillId="35" borderId="63" xfId="0" applyFont="1" applyFill="1" applyBorder="1" applyAlignment="1">
      <alignment vertical="center"/>
    </xf>
    <xf numFmtId="0" fontId="39" fillId="35" borderId="62" xfId="0" applyFont="1" applyFill="1" applyBorder="1" applyAlignment="1">
      <alignment vertical="center"/>
    </xf>
    <xf numFmtId="3" fontId="39" fillId="36" borderId="27" xfId="0" applyNumberFormat="1" applyFont="1" applyFill="1" applyBorder="1" applyAlignment="1">
      <alignment horizontal="center" vertical="center"/>
    </xf>
    <xf numFmtId="0" fontId="29" fillId="34" borderId="24" xfId="0" applyFont="1" applyFill="1" applyBorder="1" applyAlignment="1">
      <alignment horizontal="center" vertical="center"/>
    </xf>
    <xf numFmtId="0" fontId="26" fillId="34" borderId="16" xfId="0" applyFont="1" applyFill="1" applyBorder="1" applyAlignment="1">
      <alignment horizontal="center" vertical="center" wrapText="1"/>
    </xf>
    <xf numFmtId="0" fontId="26" fillId="34" borderId="21" xfId="0" applyFont="1" applyFill="1" applyBorder="1" applyAlignment="1">
      <alignment horizontal="center" vertical="center" wrapText="1"/>
    </xf>
    <xf numFmtId="0" fontId="26" fillId="34" borderId="0" xfId="0" applyFont="1" applyFill="1" applyAlignment="1">
      <alignment horizontal="center"/>
    </xf>
    <xf numFmtId="0" fontId="27" fillId="34" borderId="16" xfId="0" applyFont="1" applyFill="1" applyBorder="1" applyAlignment="1">
      <alignment horizontal="center" vertical="center" wrapText="1"/>
    </xf>
    <xf numFmtId="0" fontId="27" fillId="34" borderId="21" xfId="0" applyFont="1" applyFill="1" applyBorder="1" applyAlignment="1">
      <alignment horizontal="center" vertical="center" wrapText="1"/>
    </xf>
    <xf numFmtId="0" fontId="27" fillId="34" borderId="0" xfId="0" applyFont="1" applyFill="1" applyAlignment="1">
      <alignment horizontal="center"/>
    </xf>
    <xf numFmtId="3" fontId="18" fillId="33" borderId="39" xfId="0" applyNumberFormat="1" applyFont="1" applyFill="1" applyBorder="1" applyAlignment="1">
      <alignment horizontal="center" vertical="center"/>
    </xf>
    <xf numFmtId="3" fontId="18" fillId="33" borderId="10" xfId="0" applyNumberFormat="1" applyFont="1" applyFill="1" applyBorder="1" applyAlignment="1">
      <alignment horizontal="center" vertical="center"/>
    </xf>
    <xf numFmtId="0" fontId="0" fillId="0" borderId="12" xfId="0" applyBorder="1" applyAlignment="1">
      <alignment horizontal="center" wrapText="1"/>
    </xf>
    <xf numFmtId="0" fontId="0" fillId="0" borderId="13" xfId="0" applyBorder="1" applyAlignment="1">
      <alignment horizontal="center" wrapText="1"/>
    </xf>
    <xf numFmtId="0" fontId="0" fillId="36" borderId="16" xfId="0" applyFill="1" applyBorder="1" applyAlignment="1">
      <alignment horizontal="center"/>
    </xf>
    <xf numFmtId="14" fontId="0" fillId="33" borderId="17" xfId="0" applyNumberFormat="1" applyFill="1" applyBorder="1" applyAlignment="1">
      <alignment horizontal="center"/>
    </xf>
    <xf numFmtId="0" fontId="0" fillId="36" borderId="0" xfId="0" applyFill="1" applyAlignment="1">
      <alignment horizontal="center"/>
    </xf>
    <xf numFmtId="164" fontId="0" fillId="33" borderId="40" xfId="0" applyNumberFormat="1" applyFill="1" applyBorder="1" applyAlignment="1">
      <alignment horizontal="center"/>
    </xf>
    <xf numFmtId="164" fontId="0" fillId="36" borderId="0" xfId="0" applyNumberFormat="1" applyFill="1" applyAlignment="1">
      <alignment horizontal="center"/>
    </xf>
    <xf numFmtId="0" fontId="0" fillId="36" borderId="21" xfId="0" applyFill="1" applyBorder="1" applyAlignment="1">
      <alignment horizontal="center"/>
    </xf>
    <xf numFmtId="0" fontId="0" fillId="36" borderId="72" xfId="0" applyFill="1" applyBorder="1"/>
    <xf numFmtId="0" fontId="0" fillId="36" borderId="73" xfId="0" applyFill="1" applyBorder="1"/>
    <xf numFmtId="0" fontId="0" fillId="36" borderId="70" xfId="0" applyFill="1" applyBorder="1"/>
    <xf numFmtId="0" fontId="0" fillId="36" borderId="71" xfId="0" applyFill="1" applyBorder="1"/>
    <xf numFmtId="0" fontId="0" fillId="36" borderId="37" xfId="0" applyFill="1" applyBorder="1" applyAlignment="1">
      <alignment horizontal="center" vertical="center"/>
    </xf>
    <xf numFmtId="0" fontId="0" fillId="36" borderId="29" xfId="0" applyFill="1" applyBorder="1" applyAlignment="1">
      <alignment wrapText="1"/>
    </xf>
    <xf numFmtId="164" fontId="0" fillId="42" borderId="37" xfId="0" applyNumberFormat="1" applyFill="1" applyBorder="1" applyAlignment="1">
      <alignment horizontal="center"/>
    </xf>
    <xf numFmtId="164" fontId="0" fillId="42" borderId="28" xfId="0" applyNumberFormat="1" applyFill="1" applyBorder="1" applyAlignment="1">
      <alignment horizontal="center"/>
    </xf>
    <xf numFmtId="0" fontId="0" fillId="42" borderId="37" xfId="0" applyFill="1" applyBorder="1" applyAlignment="1">
      <alignment horizontal="center"/>
    </xf>
    <xf numFmtId="0" fontId="0" fillId="42" borderId="28" xfId="0" applyFill="1" applyBorder="1" applyAlignment="1">
      <alignment horizontal="center"/>
    </xf>
    <xf numFmtId="0" fontId="0" fillId="42" borderId="39" xfId="0" applyFill="1" applyBorder="1" applyAlignment="1">
      <alignment horizontal="center"/>
    </xf>
    <xf numFmtId="0" fontId="0" fillId="42" borderId="40" xfId="0" applyFill="1" applyBorder="1" applyAlignment="1">
      <alignment horizontal="center"/>
    </xf>
    <xf numFmtId="0" fontId="0" fillId="42" borderId="41" xfId="0" applyFill="1" applyBorder="1" applyAlignment="1">
      <alignment horizontal="center"/>
    </xf>
    <xf numFmtId="0" fontId="0" fillId="42" borderId="42" xfId="0" applyFill="1" applyBorder="1" applyAlignment="1">
      <alignment horizontal="center"/>
    </xf>
    <xf numFmtId="164" fontId="0" fillId="42" borderId="39" xfId="0" applyNumberFormat="1" applyFill="1" applyBorder="1" applyAlignment="1">
      <alignment horizontal="center"/>
    </xf>
    <xf numFmtId="164" fontId="0" fillId="42" borderId="41" xfId="0" applyNumberFormat="1" applyFill="1" applyBorder="1" applyAlignment="1">
      <alignment horizontal="center"/>
    </xf>
    <xf numFmtId="164" fontId="0" fillId="42" borderId="42" xfId="0" applyNumberFormat="1" applyFill="1" applyBorder="1" applyAlignment="1">
      <alignment horizontal="center"/>
    </xf>
    <xf numFmtId="3" fontId="18" fillId="42" borderId="40" xfId="0" applyNumberFormat="1" applyFont="1" applyFill="1" applyBorder="1" applyAlignment="1">
      <alignment horizontal="center" vertical="center"/>
    </xf>
    <xf numFmtId="3" fontId="18" fillId="42" borderId="42" xfId="0" applyNumberFormat="1" applyFont="1" applyFill="1" applyBorder="1" applyAlignment="1">
      <alignment horizontal="center" vertical="center"/>
    </xf>
    <xf numFmtId="3" fontId="18" fillId="42" borderId="32" xfId="0" applyNumberFormat="1" applyFont="1" applyFill="1" applyBorder="1" applyAlignment="1">
      <alignment horizontal="center" vertical="center"/>
    </xf>
    <xf numFmtId="3" fontId="18" fillId="42" borderId="34" xfId="0" applyNumberFormat="1" applyFont="1" applyFill="1" applyBorder="1" applyAlignment="1">
      <alignment horizontal="center" vertical="center"/>
    </xf>
    <xf numFmtId="3" fontId="0" fillId="42" borderId="50" xfId="43" applyNumberFormat="1" applyFont="1" applyFill="1" applyBorder="1" applyAlignment="1">
      <alignment horizontal="center"/>
    </xf>
    <xf numFmtId="3" fontId="0" fillId="42" borderId="49" xfId="43" applyNumberFormat="1" applyFont="1" applyFill="1" applyBorder="1" applyAlignment="1">
      <alignment horizontal="center"/>
    </xf>
    <xf numFmtId="0" fontId="0" fillId="33" borderId="10" xfId="0" applyFill="1" applyBorder="1"/>
    <xf numFmtId="0" fontId="0" fillId="33" borderId="10" xfId="0" applyFill="1" applyBorder="1" applyAlignment="1">
      <alignment horizontal="center"/>
    </xf>
    <xf numFmtId="0" fontId="0" fillId="33" borderId="26" xfId="0" applyFill="1" applyBorder="1"/>
    <xf numFmtId="0" fontId="19" fillId="33" borderId="39" xfId="0" applyFont="1" applyFill="1" applyBorder="1" applyAlignment="1">
      <alignment horizontal="center"/>
    </xf>
    <xf numFmtId="0" fontId="26" fillId="33" borderId="40" xfId="0" applyFont="1" applyFill="1" applyBorder="1" applyAlignment="1">
      <alignment horizontal="center"/>
    </xf>
    <xf numFmtId="0" fontId="19" fillId="33" borderId="41" xfId="0" applyFont="1" applyFill="1" applyBorder="1" applyAlignment="1">
      <alignment horizontal="center"/>
    </xf>
    <xf numFmtId="0" fontId="26" fillId="33" borderId="42" xfId="0" applyFont="1" applyFill="1" applyBorder="1" applyAlignment="1">
      <alignment horizontal="center"/>
    </xf>
    <xf numFmtId="0" fontId="0" fillId="0" borderId="25" xfId="0" applyBorder="1" applyAlignment="1">
      <alignment horizontal="center" wrapText="1"/>
    </xf>
    <xf numFmtId="0" fontId="0" fillId="33" borderId="62" xfId="0" applyFill="1" applyBorder="1"/>
    <xf numFmtId="0" fontId="0" fillId="33" borderId="40" xfId="0" applyFill="1" applyBorder="1" applyAlignment="1">
      <alignment horizontal="center"/>
    </xf>
    <xf numFmtId="0" fontId="0" fillId="33" borderId="43" xfId="0" applyFill="1" applyBorder="1" applyAlignment="1">
      <alignment horizontal="center"/>
    </xf>
    <xf numFmtId="0" fontId="0" fillId="33" borderId="42" xfId="0" applyFill="1" applyBorder="1" applyAlignment="1">
      <alignment horizontal="center"/>
    </xf>
    <xf numFmtId="0" fontId="0" fillId="33" borderId="27" xfId="0" applyFill="1" applyBorder="1"/>
    <xf numFmtId="0" fontId="0" fillId="33" borderId="65" xfId="0" applyFill="1" applyBorder="1"/>
    <xf numFmtId="0" fontId="0" fillId="33" borderId="55" xfId="0" applyFill="1" applyBorder="1"/>
    <xf numFmtId="0" fontId="0" fillId="33" borderId="44" xfId="0" applyFill="1" applyBorder="1" applyAlignment="1">
      <alignment horizontal="center"/>
    </xf>
    <xf numFmtId="0" fontId="0" fillId="33" borderId="27" xfId="0" applyFill="1" applyBorder="1" applyAlignment="1">
      <alignment horizontal="center"/>
    </xf>
    <xf numFmtId="0" fontId="0" fillId="33" borderId="79" xfId="0" applyFill="1" applyBorder="1" applyAlignment="1">
      <alignment horizontal="center"/>
    </xf>
    <xf numFmtId="0" fontId="0" fillId="33" borderId="39" xfId="0" applyFill="1" applyBorder="1" applyAlignment="1">
      <alignment horizontal="center"/>
    </xf>
    <xf numFmtId="0" fontId="0" fillId="33" borderId="41" xfId="0" applyFill="1" applyBorder="1" applyAlignment="1">
      <alignment horizontal="center"/>
    </xf>
    <xf numFmtId="0" fontId="0" fillId="0" borderId="13" xfId="0" applyBorder="1" applyAlignment="1">
      <alignment horizontal="right" wrapText="1"/>
    </xf>
    <xf numFmtId="14" fontId="0" fillId="33" borderId="27" xfId="0" applyNumberFormat="1" applyFill="1" applyBorder="1" applyAlignment="1">
      <alignment horizontal="right"/>
    </xf>
    <xf numFmtId="14" fontId="0" fillId="33" borderId="10" xfId="0" applyNumberFormat="1" applyFill="1" applyBorder="1" applyAlignment="1">
      <alignment horizontal="right"/>
    </xf>
    <xf numFmtId="14" fontId="0" fillId="33" borderId="43" xfId="0" applyNumberFormat="1" applyFill="1" applyBorder="1" applyAlignment="1">
      <alignment horizontal="right"/>
    </xf>
    <xf numFmtId="14" fontId="0" fillId="40" borderId="0" xfId="0" applyNumberFormat="1" applyFill="1" applyAlignment="1">
      <alignment horizontal="right"/>
    </xf>
    <xf numFmtId="14" fontId="0" fillId="0" borderId="0" xfId="0" applyNumberFormat="1" applyAlignment="1">
      <alignment horizontal="right"/>
    </xf>
    <xf numFmtId="0" fontId="19" fillId="33" borderId="44" xfId="0" applyFont="1" applyFill="1" applyBorder="1" applyAlignment="1">
      <alignment horizontal="center"/>
    </xf>
    <xf numFmtId="0" fontId="26" fillId="33" borderId="79" xfId="0" applyFont="1" applyFill="1" applyBorder="1" applyAlignment="1">
      <alignment horizontal="center"/>
    </xf>
    <xf numFmtId="0" fontId="0" fillId="42" borderId="0" xfId="0" applyFill="1" applyAlignment="1">
      <alignment horizontal="center"/>
    </xf>
    <xf numFmtId="0" fontId="0" fillId="42" borderId="30" xfId="0" applyFill="1" applyBorder="1" applyAlignment="1">
      <alignment horizontal="center"/>
    </xf>
    <xf numFmtId="0" fontId="19" fillId="42" borderId="0" xfId="0" applyFont="1" applyFill="1" applyAlignment="1">
      <alignment horizontal="center"/>
    </xf>
    <xf numFmtId="0" fontId="19" fillId="42" borderId="30" xfId="0" applyFont="1" applyFill="1" applyBorder="1" applyAlignment="1">
      <alignment horizontal="center"/>
    </xf>
    <xf numFmtId="0" fontId="27" fillId="42" borderId="0" xfId="0" applyFont="1" applyFill="1" applyAlignment="1">
      <alignment horizontal="center"/>
    </xf>
    <xf numFmtId="0" fontId="27" fillId="42" borderId="19" xfId="0" applyFont="1" applyFill="1" applyBorder="1" applyAlignment="1">
      <alignment horizontal="center"/>
    </xf>
    <xf numFmtId="0" fontId="16" fillId="42" borderId="10" xfId="0" applyFont="1" applyFill="1" applyBorder="1" applyAlignment="1">
      <alignment horizontal="center"/>
    </xf>
    <xf numFmtId="0" fontId="19" fillId="42" borderId="10" xfId="0" applyFont="1" applyFill="1" applyBorder="1" applyAlignment="1">
      <alignment horizontal="center"/>
    </xf>
    <xf numFmtId="0" fontId="27" fillId="42" borderId="10" xfId="0" applyFont="1" applyFill="1" applyBorder="1" applyAlignment="1">
      <alignment horizontal="center"/>
    </xf>
    <xf numFmtId="0" fontId="24" fillId="42" borderId="10" xfId="0" applyFont="1" applyFill="1" applyBorder="1" applyAlignment="1">
      <alignment horizontal="center"/>
    </xf>
    <xf numFmtId="2" fontId="16" fillId="42" borderId="10" xfId="0" applyNumberFormat="1" applyFont="1" applyFill="1" applyBorder="1" applyAlignment="1">
      <alignment horizontal="center"/>
    </xf>
    <xf numFmtId="2" fontId="19" fillId="42" borderId="10" xfId="0" applyNumberFormat="1" applyFont="1" applyFill="1" applyBorder="1" applyAlignment="1">
      <alignment horizontal="center"/>
    </xf>
    <xf numFmtId="2" fontId="27" fillId="42" borderId="10" xfId="0" applyNumberFormat="1" applyFont="1" applyFill="1" applyBorder="1" applyAlignment="1">
      <alignment horizontal="center"/>
    </xf>
    <xf numFmtId="2" fontId="24" fillId="42" borderId="10" xfId="0" applyNumberFormat="1" applyFont="1" applyFill="1" applyBorder="1" applyAlignment="1">
      <alignment horizontal="center"/>
    </xf>
    <xf numFmtId="0" fontId="0" fillId="0" borderId="74" xfId="0" applyBorder="1" applyAlignment="1" applyProtection="1">
      <alignment wrapText="1"/>
      <protection locked="0"/>
    </xf>
    <xf numFmtId="0" fontId="19" fillId="36" borderId="12" xfId="0" applyFont="1" applyFill="1" applyBorder="1" applyAlignment="1">
      <alignment vertical="center" wrapText="1"/>
    </xf>
    <xf numFmtId="0" fontId="26" fillId="36" borderId="25" xfId="0" applyFont="1" applyFill="1" applyBorder="1" applyAlignment="1">
      <alignment vertical="center" wrapText="1"/>
    </xf>
    <xf numFmtId="1" fontId="0" fillId="33" borderId="50" xfId="43" applyNumberFormat="1" applyFont="1" applyFill="1" applyBorder="1" applyAlignment="1">
      <alignment horizontal="center"/>
    </xf>
    <xf numFmtId="1" fontId="0" fillId="33" borderId="49" xfId="43" applyNumberFormat="1" applyFont="1" applyFill="1" applyBorder="1" applyAlignment="1">
      <alignment horizontal="center"/>
    </xf>
    <xf numFmtId="0" fontId="23" fillId="36" borderId="0" xfId="0" applyFont="1" applyFill="1" applyAlignment="1">
      <alignment horizontal="right" vertical="top"/>
    </xf>
    <xf numFmtId="0" fontId="0" fillId="36" borderId="0" xfId="0" applyFill="1" applyAlignment="1">
      <alignment vertical="top" wrapText="1"/>
    </xf>
    <xf numFmtId="0" fontId="0" fillId="36" borderId="0" xfId="0" applyFill="1" applyAlignment="1">
      <alignment vertical="top"/>
    </xf>
    <xf numFmtId="0" fontId="23" fillId="36" borderId="78" xfId="0" applyFont="1" applyFill="1" applyBorder="1" applyAlignment="1">
      <alignment horizontal="right" vertical="top"/>
    </xf>
    <xf numFmtId="0" fontId="16" fillId="38" borderId="36" xfId="0" applyFont="1" applyFill="1" applyBorder="1" applyAlignment="1">
      <alignment horizontal="left" vertical="center" wrapText="1"/>
    </xf>
    <xf numFmtId="0" fontId="16" fillId="38" borderId="32" xfId="0" applyFont="1" applyFill="1" applyBorder="1" applyAlignment="1">
      <alignment horizontal="left" vertical="center" wrapText="1"/>
    </xf>
    <xf numFmtId="0" fontId="16" fillId="38" borderId="34" xfId="0" applyFont="1" applyFill="1" applyBorder="1" applyAlignment="1">
      <alignment horizontal="left" vertical="center" wrapText="1"/>
    </xf>
    <xf numFmtId="0" fontId="28" fillId="38" borderId="31" xfId="0" applyFont="1" applyFill="1" applyBorder="1" applyAlignment="1">
      <alignment horizontal="left" vertical="center"/>
    </xf>
    <xf numFmtId="0" fontId="44" fillId="38" borderId="11" xfId="0" applyFont="1" applyFill="1" applyBorder="1" applyAlignment="1">
      <alignment horizontal="center" vertical="center"/>
    </xf>
    <xf numFmtId="0" fontId="44" fillId="38" borderId="16" xfId="0" applyFont="1" applyFill="1" applyBorder="1" applyAlignment="1">
      <alignment horizontal="center" vertical="center"/>
    </xf>
    <xf numFmtId="0" fontId="45" fillId="38" borderId="37" xfId="0" applyFont="1" applyFill="1" applyBorder="1" applyAlignment="1">
      <alignment horizontal="left" vertical="center"/>
    </xf>
    <xf numFmtId="0" fontId="46" fillId="38" borderId="28" xfId="0" applyFont="1" applyFill="1" applyBorder="1" applyAlignment="1">
      <alignment horizontal="left" vertical="center"/>
    </xf>
    <xf numFmtId="0" fontId="23" fillId="36" borderId="54" xfId="0" applyFont="1" applyFill="1" applyBorder="1" applyAlignment="1">
      <alignment horizontal="right" vertical="center"/>
    </xf>
    <xf numFmtId="0" fontId="0" fillId="36" borderId="54" xfId="0" applyFill="1" applyBorder="1"/>
    <xf numFmtId="0" fontId="0" fillId="36" borderId="55" xfId="0" applyFill="1" applyBorder="1"/>
    <xf numFmtId="0" fontId="23" fillId="36" borderId="77" xfId="0" applyFont="1" applyFill="1" applyBorder="1" applyAlignment="1">
      <alignment horizontal="right" vertical="top"/>
    </xf>
    <xf numFmtId="0" fontId="33" fillId="36" borderId="76" xfId="0" applyFont="1" applyFill="1" applyBorder="1" applyAlignment="1">
      <alignment vertical="top"/>
    </xf>
    <xf numFmtId="0" fontId="0" fillId="0" borderId="20" xfId="0" applyBorder="1" applyAlignment="1">
      <alignment horizontal="center" vertical="center" wrapText="1"/>
    </xf>
    <xf numFmtId="0" fontId="0" fillId="0" borderId="22" xfId="0" applyBorder="1" applyAlignment="1">
      <alignment horizontal="center" vertical="center" wrapText="1"/>
    </xf>
    <xf numFmtId="3" fontId="0" fillId="33" borderId="57" xfId="0" applyNumberFormat="1" applyFill="1" applyBorder="1" applyAlignment="1">
      <alignment horizontal="center" vertical="center"/>
    </xf>
    <xf numFmtId="3" fontId="0" fillId="33" borderId="66" xfId="0" applyNumberFormat="1" applyFill="1" applyBorder="1" applyAlignment="1">
      <alignment horizontal="center" vertical="center"/>
    </xf>
    <xf numFmtId="0" fontId="0" fillId="0" borderId="36" xfId="0" applyBorder="1" applyAlignment="1">
      <alignment horizontal="left" vertical="center"/>
    </xf>
    <xf numFmtId="3" fontId="18" fillId="33" borderId="37" xfId="0" applyNumberFormat="1" applyFont="1" applyFill="1" applyBorder="1" applyAlignment="1">
      <alignment horizontal="center" vertical="center"/>
    </xf>
    <xf numFmtId="3" fontId="18" fillId="33" borderId="38" xfId="0" applyNumberFormat="1" applyFont="1" applyFill="1" applyBorder="1" applyAlignment="1">
      <alignment horizontal="center" vertical="center"/>
    </xf>
    <xf numFmtId="3" fontId="18" fillId="42" borderId="28" xfId="0" applyNumberFormat="1" applyFont="1" applyFill="1" applyBorder="1" applyAlignment="1">
      <alignment horizontal="center" vertical="center"/>
    </xf>
    <xf numFmtId="3" fontId="18" fillId="42" borderId="36" xfId="0" applyNumberFormat="1" applyFont="1" applyFill="1" applyBorder="1" applyAlignment="1">
      <alignment horizontal="center" vertical="center"/>
    </xf>
    <xf numFmtId="0" fontId="16" fillId="0" borderId="10" xfId="0" applyFont="1" applyBorder="1" applyAlignment="1">
      <alignment horizontal="center" vertical="center" wrapText="1"/>
    </xf>
    <xf numFmtId="0" fontId="0" fillId="0" borderId="0" xfId="0" applyAlignment="1">
      <alignment horizontal="center" vertical="center"/>
    </xf>
    <xf numFmtId="0" fontId="0" fillId="0" borderId="0" xfId="0" applyAlignment="1">
      <alignment vertical="center"/>
    </xf>
    <xf numFmtId="0" fontId="0" fillId="0" borderId="0" xfId="0" applyAlignment="1">
      <alignment horizontal="center" vertical="center" wrapText="1"/>
    </xf>
    <xf numFmtId="0" fontId="0" fillId="0" borderId="18" xfId="0" applyBorder="1" applyAlignment="1">
      <alignment horizontal="center"/>
    </xf>
    <xf numFmtId="0" fontId="0" fillId="0" borderId="10" xfId="0" applyBorder="1" applyAlignment="1">
      <alignment horizontal="center" vertical="center" wrapText="1"/>
    </xf>
    <xf numFmtId="0" fontId="0" fillId="0" borderId="10" xfId="0" applyBorder="1" applyAlignment="1">
      <alignment horizontal="left"/>
    </xf>
    <xf numFmtId="0" fontId="16" fillId="0" borderId="26" xfId="0" applyFont="1" applyBorder="1" applyAlignment="1">
      <alignment horizontal="center" vertical="center" wrapText="1"/>
    </xf>
    <xf numFmtId="0" fontId="0" fillId="0" borderId="26" xfId="0" applyBorder="1" applyAlignment="1">
      <alignment horizontal="center"/>
    </xf>
    <xf numFmtId="0" fontId="0" fillId="0" borderId="41" xfId="0" applyBorder="1" applyAlignment="1">
      <alignment horizontal="center"/>
    </xf>
    <xf numFmtId="0" fontId="0" fillId="0" borderId="43" xfId="0" applyBorder="1" applyAlignment="1">
      <alignment horizontal="center"/>
    </xf>
    <xf numFmtId="0" fontId="0" fillId="0" borderId="42" xfId="0" applyBorder="1" applyAlignment="1">
      <alignment horizontal="center"/>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34" xfId="0" applyBorder="1" applyAlignment="1">
      <alignment horizontal="center"/>
    </xf>
    <xf numFmtId="1" fontId="0" fillId="0" borderId="20" xfId="0" applyNumberFormat="1" applyBorder="1" applyAlignment="1">
      <alignment horizontal="center" vertical="center"/>
    </xf>
    <xf numFmtId="1" fontId="0" fillId="0" borderId="21" xfId="0" applyNumberFormat="1" applyBorder="1" applyAlignment="1">
      <alignment horizontal="center" vertical="center"/>
    </xf>
    <xf numFmtId="1" fontId="0" fillId="0" borderId="22" xfId="0" applyNumberFormat="1"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xf>
    <xf numFmtId="0" fontId="0" fillId="0" borderId="22" xfId="0" applyBorder="1" applyAlignment="1">
      <alignment horizontal="center" vertical="center"/>
    </xf>
    <xf numFmtId="0" fontId="0" fillId="0" borderId="16" xfId="0" applyBorder="1" applyAlignment="1">
      <alignment horizontal="center"/>
    </xf>
    <xf numFmtId="0" fontId="0" fillId="0" borderId="17" xfId="0" applyBorder="1" applyAlignment="1">
      <alignment horizontal="center"/>
    </xf>
    <xf numFmtId="0" fontId="0" fillId="0" borderId="19" xfId="0" applyBorder="1" applyAlignment="1">
      <alignment horizontal="center"/>
    </xf>
    <xf numFmtId="0" fontId="0" fillId="0" borderId="22" xfId="0" applyBorder="1" applyAlignment="1">
      <alignment horizontal="center"/>
    </xf>
    <xf numFmtId="0" fontId="47" fillId="38" borderId="0" xfId="0" applyFont="1" applyFill="1"/>
    <xf numFmtId="0" fontId="47" fillId="38" borderId="0" xfId="0" applyFont="1" applyFill="1" applyAlignment="1">
      <alignment horizontal="center"/>
    </xf>
    <xf numFmtId="0" fontId="0" fillId="0" borderId="0" xfId="0" applyAlignment="1">
      <alignment vertical="center" wrapText="1"/>
    </xf>
    <xf numFmtId="0" fontId="0" fillId="0" borderId="29" xfId="0" applyBorder="1" applyAlignment="1">
      <alignment horizontal="center" vertical="center"/>
    </xf>
    <xf numFmtId="0" fontId="0" fillId="0" borderId="36" xfId="0" applyBorder="1" applyAlignment="1">
      <alignment horizontal="center"/>
    </xf>
    <xf numFmtId="0" fontId="0" fillId="0" borderId="32" xfId="0" applyBorder="1" applyAlignment="1">
      <alignment horizontal="center"/>
    </xf>
    <xf numFmtId="0" fontId="0" fillId="0" borderId="37" xfId="0" applyBorder="1" applyAlignment="1">
      <alignment horizontal="center"/>
    </xf>
    <xf numFmtId="0" fontId="0" fillId="0" borderId="38" xfId="0" applyBorder="1" applyAlignment="1">
      <alignment horizontal="center"/>
    </xf>
    <xf numFmtId="0" fontId="0" fillId="0" borderId="28" xfId="0" applyBorder="1" applyAlignment="1">
      <alignment horizontal="center"/>
    </xf>
    <xf numFmtId="0" fontId="0" fillId="0" borderId="39" xfId="0" applyBorder="1" applyAlignment="1">
      <alignment horizontal="center"/>
    </xf>
    <xf numFmtId="0" fontId="0" fillId="0" borderId="40" xfId="0" applyBorder="1" applyAlignment="1">
      <alignment horizontal="center"/>
    </xf>
    <xf numFmtId="3" fontId="0" fillId="0" borderId="37" xfId="0" applyNumberFormat="1" applyBorder="1" applyAlignment="1">
      <alignment horizontal="center"/>
    </xf>
    <xf numFmtId="3" fontId="0" fillId="0" borderId="28" xfId="0" applyNumberFormat="1" applyBorder="1" applyAlignment="1">
      <alignment horizontal="center"/>
    </xf>
    <xf numFmtId="3" fontId="0" fillId="0" borderId="39" xfId="0" applyNumberFormat="1" applyBorder="1" applyAlignment="1">
      <alignment horizontal="center"/>
    </xf>
    <xf numFmtId="3" fontId="0" fillId="0" borderId="40" xfId="0" applyNumberFormat="1" applyBorder="1" applyAlignment="1">
      <alignment horizontal="center"/>
    </xf>
    <xf numFmtId="3" fontId="0" fillId="0" borderId="41" xfId="0" applyNumberFormat="1" applyBorder="1" applyAlignment="1">
      <alignment horizontal="center"/>
    </xf>
    <xf numFmtId="3" fontId="0" fillId="0" borderId="42" xfId="0" applyNumberFormat="1" applyBorder="1" applyAlignment="1">
      <alignment horizontal="center"/>
    </xf>
    <xf numFmtId="0" fontId="16" fillId="0" borderId="0" xfId="0" applyFont="1" applyAlignment="1">
      <alignment horizontal="center" vertical="center" wrapText="1"/>
    </xf>
    <xf numFmtId="0" fontId="16" fillId="0" borderId="0" xfId="0" applyFont="1" applyAlignment="1">
      <alignment vertical="center"/>
    </xf>
    <xf numFmtId="0" fontId="30" fillId="43" borderId="23" xfId="0" applyFont="1" applyFill="1" applyBorder="1" applyAlignment="1">
      <alignment horizontal="center" vertical="center" wrapText="1"/>
    </xf>
    <xf numFmtId="0" fontId="30" fillId="43" borderId="24" xfId="0" applyFont="1" applyFill="1" applyBorder="1" applyAlignment="1">
      <alignment horizontal="center" vertical="center" wrapText="1"/>
    </xf>
    <xf numFmtId="0" fontId="30" fillId="43" borderId="25" xfId="0" applyFont="1" applyFill="1" applyBorder="1" applyAlignment="1">
      <alignment horizontal="center" vertical="center" wrapText="1"/>
    </xf>
    <xf numFmtId="0" fontId="16" fillId="38" borderId="12" xfId="0" applyFont="1" applyFill="1" applyBorder="1" applyAlignment="1">
      <alignment horizontal="center"/>
    </xf>
    <xf numFmtId="0" fontId="16" fillId="38" borderId="14" xfId="0" applyFont="1" applyFill="1" applyBorder="1" applyAlignment="1">
      <alignment horizontal="center"/>
    </xf>
    <xf numFmtId="0" fontId="0" fillId="36" borderId="57" xfId="0" applyFill="1" applyBorder="1" applyAlignment="1">
      <alignment horizontal="center" wrapText="1"/>
    </xf>
    <xf numFmtId="0" fontId="0" fillId="36" borderId="48" xfId="0" applyFill="1" applyBorder="1" applyAlignment="1">
      <alignment horizontal="center" wrapText="1"/>
    </xf>
    <xf numFmtId="0" fontId="0" fillId="36" borderId="0" xfId="0" applyFill="1" applyAlignment="1">
      <alignment horizontal="left" vertical="top" wrapText="1"/>
    </xf>
    <xf numFmtId="0" fontId="0" fillId="0" borderId="12" xfId="0" applyBorder="1" applyAlignment="1">
      <alignment horizontal="center" wrapText="1"/>
    </xf>
    <xf numFmtId="0" fontId="0" fillId="0" borderId="13" xfId="0" applyBorder="1" applyAlignment="1">
      <alignment horizontal="center" wrapText="1"/>
    </xf>
    <xf numFmtId="0" fontId="0" fillId="0" borderId="14" xfId="0" applyBorder="1" applyAlignment="1">
      <alignment horizontal="center" wrapText="1"/>
    </xf>
    <xf numFmtId="0" fontId="0" fillId="0" borderId="28" xfId="0" applyBorder="1" applyAlignment="1">
      <alignment horizontal="center" wrapText="1"/>
    </xf>
    <xf numFmtId="0" fontId="0" fillId="0" borderId="42" xfId="0" applyBorder="1" applyAlignment="1">
      <alignment horizontal="center" wrapText="1"/>
    </xf>
    <xf numFmtId="0" fontId="0" fillId="0" borderId="36" xfId="0" applyBorder="1" applyAlignment="1">
      <alignment horizontal="center" wrapText="1"/>
    </xf>
    <xf numFmtId="0" fontId="0" fillId="0" borderId="34" xfId="0" applyBorder="1" applyAlignment="1">
      <alignment horizontal="center" wrapText="1"/>
    </xf>
    <xf numFmtId="0" fontId="0" fillId="36" borderId="0" xfId="0" applyFill="1" applyAlignment="1">
      <alignment horizontal="left" wrapText="1"/>
    </xf>
    <xf numFmtId="0" fontId="0" fillId="42" borderId="41" xfId="0" applyFill="1" applyBorder="1" applyAlignment="1">
      <alignment horizontal="center"/>
    </xf>
    <xf numFmtId="0" fontId="0" fillId="42" borderId="42" xfId="0" applyFill="1" applyBorder="1" applyAlignment="1">
      <alignment horizontal="center"/>
    </xf>
    <xf numFmtId="0" fontId="0" fillId="33" borderId="37" xfId="0" applyFill="1" applyBorder="1" applyAlignment="1">
      <alignment horizontal="center"/>
    </xf>
    <xf numFmtId="0" fontId="0" fillId="33" borderId="28" xfId="0" applyFill="1" applyBorder="1" applyAlignment="1">
      <alignment horizontal="center"/>
    </xf>
    <xf numFmtId="0" fontId="16" fillId="38" borderId="23" xfId="0" applyFont="1" applyFill="1" applyBorder="1" applyAlignment="1">
      <alignment horizontal="center" vertical="center"/>
    </xf>
    <xf numFmtId="0" fontId="16" fillId="38" borderId="24" xfId="0" applyFont="1" applyFill="1" applyBorder="1" applyAlignment="1">
      <alignment horizontal="center" vertical="center"/>
    </xf>
    <xf numFmtId="0" fontId="16" fillId="38" borderId="25" xfId="0" applyFont="1" applyFill="1" applyBorder="1" applyAlignment="1">
      <alignment horizontal="center" vertical="center"/>
    </xf>
    <xf numFmtId="0" fontId="25" fillId="38" borderId="23" xfId="0" applyFont="1" applyFill="1" applyBorder="1" applyAlignment="1">
      <alignment horizontal="center"/>
    </xf>
    <xf numFmtId="0" fontId="25" fillId="38" borderId="24" xfId="0" applyFont="1" applyFill="1" applyBorder="1" applyAlignment="1">
      <alignment horizontal="center"/>
    </xf>
    <xf numFmtId="0" fontId="25" fillId="38" borderId="25" xfId="0" applyFont="1" applyFill="1" applyBorder="1" applyAlignment="1">
      <alignment horizontal="center"/>
    </xf>
    <xf numFmtId="0" fontId="16" fillId="38" borderId="23" xfId="0" applyFont="1" applyFill="1" applyBorder="1" applyAlignment="1">
      <alignment horizontal="center"/>
    </xf>
    <xf numFmtId="0" fontId="16" fillId="38" borderId="24" xfId="0" applyFont="1" applyFill="1" applyBorder="1" applyAlignment="1">
      <alignment horizontal="center"/>
    </xf>
    <xf numFmtId="0" fontId="16" fillId="38" borderId="25" xfId="0" applyFont="1" applyFill="1" applyBorder="1" applyAlignment="1">
      <alignment horizontal="center"/>
    </xf>
    <xf numFmtId="0" fontId="0" fillId="0" borderId="36" xfId="0" applyBorder="1" applyAlignment="1">
      <alignment horizontal="center" vertical="center"/>
    </xf>
    <xf numFmtId="0" fontId="0" fillId="0" borderId="34" xfId="0" applyBorder="1" applyAlignment="1">
      <alignment horizontal="center" vertical="center"/>
    </xf>
    <xf numFmtId="0" fontId="0" fillId="0" borderId="37" xfId="0" applyBorder="1" applyAlignment="1">
      <alignment horizontal="center" wrapText="1"/>
    </xf>
    <xf numFmtId="0" fontId="0" fillId="0" borderId="41" xfId="0" applyBorder="1" applyAlignment="1">
      <alignment horizontal="center" wrapText="1"/>
    </xf>
    <xf numFmtId="0" fontId="0" fillId="0" borderId="38" xfId="0" applyBorder="1" applyAlignment="1">
      <alignment horizontal="center" wrapText="1"/>
    </xf>
    <xf numFmtId="0" fontId="0" fillId="0" borderId="43" xfId="0" applyBorder="1" applyAlignment="1">
      <alignment horizontal="center" wrapText="1"/>
    </xf>
    <xf numFmtId="0" fontId="0" fillId="33" borderId="33" xfId="0" applyFill="1" applyBorder="1" applyAlignment="1">
      <alignment horizontal="center" vertical="center"/>
    </xf>
    <xf numFmtId="0" fontId="0" fillId="33" borderId="35" xfId="0" applyFill="1" applyBorder="1" applyAlignment="1">
      <alignment horizontal="center" vertical="center"/>
    </xf>
    <xf numFmtId="0" fontId="0" fillId="36" borderId="70" xfId="0" applyFill="1" applyBorder="1" applyAlignment="1">
      <alignment horizontal="left"/>
    </xf>
    <xf numFmtId="0" fontId="0" fillId="36" borderId="71" xfId="0" applyFill="1" applyBorder="1" applyAlignment="1">
      <alignment horizontal="left"/>
    </xf>
    <xf numFmtId="0" fontId="0" fillId="36" borderId="72" xfId="0" applyFill="1" applyBorder="1" applyAlignment="1">
      <alignment horizontal="left"/>
    </xf>
    <xf numFmtId="0" fontId="0" fillId="36" borderId="73" xfId="0" applyFill="1" applyBorder="1" applyAlignment="1">
      <alignment horizontal="left"/>
    </xf>
    <xf numFmtId="0" fontId="16" fillId="38" borderId="12" xfId="0" applyFont="1" applyFill="1" applyBorder="1" applyAlignment="1">
      <alignment horizontal="center" vertical="center"/>
    </xf>
    <xf numFmtId="0" fontId="16" fillId="38" borderId="13" xfId="0" applyFont="1" applyFill="1" applyBorder="1" applyAlignment="1">
      <alignment horizontal="center" vertical="center"/>
    </xf>
    <xf numFmtId="0" fontId="16" fillId="38" borderId="14" xfId="0" applyFont="1" applyFill="1" applyBorder="1" applyAlignment="1">
      <alignment horizontal="center" vertical="center"/>
    </xf>
    <xf numFmtId="0" fontId="16" fillId="0" borderId="23" xfId="0" applyFont="1" applyBorder="1" applyAlignment="1">
      <alignment horizontal="center" vertical="center" wrapText="1"/>
    </xf>
    <xf numFmtId="0" fontId="16" fillId="0" borderId="24" xfId="0" applyFont="1" applyBorder="1" applyAlignment="1">
      <alignment horizontal="center" vertical="center" wrapText="1"/>
    </xf>
    <xf numFmtId="0" fontId="29" fillId="39" borderId="23" xfId="0" applyFont="1" applyFill="1" applyBorder="1" applyAlignment="1">
      <alignment horizontal="center" vertical="center"/>
    </xf>
    <xf numFmtId="0" fontId="29" fillId="39" borderId="24" xfId="0" applyFont="1" applyFill="1" applyBorder="1" applyAlignment="1">
      <alignment horizontal="center" vertical="center"/>
    </xf>
    <xf numFmtId="0" fontId="29" fillId="39" borderId="25" xfId="0" applyFont="1" applyFill="1" applyBorder="1" applyAlignment="1">
      <alignment horizontal="center" vertical="center"/>
    </xf>
    <xf numFmtId="0" fontId="0" fillId="36" borderId="19" xfId="0" applyFill="1" applyBorder="1" applyAlignment="1">
      <alignment horizontal="left" vertical="top" wrapText="1"/>
    </xf>
    <xf numFmtId="0" fontId="0" fillId="36" borderId="52" xfId="0" applyFill="1" applyBorder="1" applyAlignment="1">
      <alignment horizontal="left" vertical="top" wrapText="1"/>
    </xf>
    <xf numFmtId="0" fontId="0" fillId="36" borderId="56" xfId="0" applyFill="1" applyBorder="1" applyAlignment="1">
      <alignment horizontal="left" vertical="top" wrapText="1"/>
    </xf>
    <xf numFmtId="0" fontId="0" fillId="36" borderId="11" xfId="0" applyFill="1" applyBorder="1" applyAlignment="1">
      <alignment horizontal="center" vertical="center"/>
    </xf>
    <xf numFmtId="0" fontId="0" fillId="36" borderId="59" xfId="0" applyFill="1" applyBorder="1" applyAlignment="1">
      <alignment horizontal="center" vertical="center"/>
    </xf>
    <xf numFmtId="0" fontId="0" fillId="36" borderId="44" xfId="0" applyFill="1" applyBorder="1" applyAlignment="1">
      <alignment horizontal="center" vertical="center"/>
    </xf>
    <xf numFmtId="0" fontId="0" fillId="36" borderId="75" xfId="0" applyFill="1" applyBorder="1" applyAlignment="1">
      <alignment horizontal="left" vertical="top" wrapText="1"/>
    </xf>
    <xf numFmtId="0" fontId="0" fillId="36" borderId="16" xfId="0" applyFill="1" applyBorder="1" applyAlignment="1">
      <alignment horizontal="left" vertical="top" wrapText="1"/>
    </xf>
    <xf numFmtId="0" fontId="0" fillId="36" borderId="17" xfId="0" applyFill="1" applyBorder="1" applyAlignment="1">
      <alignment horizontal="left" vertical="top" wrapText="1"/>
    </xf>
    <xf numFmtId="0" fontId="0" fillId="36" borderId="54" xfId="0" applyFill="1" applyBorder="1" applyAlignment="1">
      <alignment horizontal="left" vertical="top" wrapText="1"/>
    </xf>
    <xf numFmtId="0" fontId="29" fillId="38" borderId="23" xfId="0" applyFont="1" applyFill="1" applyBorder="1" applyAlignment="1">
      <alignment horizontal="left" vertical="center"/>
    </xf>
    <xf numFmtId="0" fontId="29" fillId="38" borderId="24" xfId="0" applyFont="1" applyFill="1" applyBorder="1" applyAlignment="1">
      <alignment horizontal="left" vertical="center"/>
    </xf>
    <xf numFmtId="0" fontId="29" fillId="38" borderId="25" xfId="0" applyFont="1" applyFill="1" applyBorder="1" applyAlignment="1">
      <alignment horizontal="left" vertical="center"/>
    </xf>
    <xf numFmtId="0" fontId="0" fillId="38" borderId="12" xfId="0" applyFill="1" applyBorder="1" applyAlignment="1">
      <alignment horizontal="left"/>
    </xf>
    <xf numFmtId="0" fontId="0" fillId="38" borderId="13" xfId="0" applyFill="1" applyBorder="1" applyAlignment="1">
      <alignment horizontal="left"/>
    </xf>
    <xf numFmtId="0" fontId="0" fillId="38" borderId="14" xfId="0" applyFill="1" applyBorder="1" applyAlignment="1">
      <alignment horizontal="left"/>
    </xf>
    <xf numFmtId="0" fontId="0" fillId="0" borderId="15" xfId="0" applyBorder="1" applyAlignment="1">
      <alignment horizontal="center" vertical="center" wrapText="1"/>
    </xf>
    <xf numFmtId="0" fontId="0" fillId="0" borderId="20" xfId="0" applyBorder="1" applyAlignment="1">
      <alignment horizontal="center" vertical="center" wrapText="1"/>
    </xf>
    <xf numFmtId="0" fontId="0" fillId="0" borderId="16" xfId="0" applyBorder="1" applyAlignment="1">
      <alignment horizontal="center" vertical="center" wrapText="1"/>
    </xf>
    <xf numFmtId="0" fontId="0" fillId="0" borderId="21" xfId="0" applyBorder="1" applyAlignment="1">
      <alignment horizontal="center" vertical="center" wrapText="1"/>
    </xf>
    <xf numFmtId="0" fontId="0" fillId="0" borderId="68" xfId="0" applyBorder="1" applyAlignment="1">
      <alignment horizontal="center" vertical="center" wrapText="1"/>
    </xf>
    <xf numFmtId="0" fontId="0" fillId="0" borderId="69" xfId="0" applyBorder="1" applyAlignment="1">
      <alignment horizontal="center" vertical="center" wrapText="1"/>
    </xf>
    <xf numFmtId="0" fontId="0" fillId="36" borderId="53" xfId="0" applyFill="1" applyBorder="1"/>
    <xf numFmtId="0" fontId="0" fillId="36" borderId="51" xfId="0" applyFill="1" applyBorder="1"/>
    <xf numFmtId="0" fontId="0" fillId="36" borderId="58" xfId="0" applyFill="1" applyBorder="1"/>
    <xf numFmtId="0" fontId="0" fillId="0" borderId="57" xfId="0" applyBorder="1" applyAlignment="1">
      <alignment horizontal="center" vertical="center"/>
    </xf>
    <xf numFmtId="0" fontId="0" fillId="0" borderId="48" xfId="0" applyBorder="1" applyAlignment="1">
      <alignment horizontal="center" vertical="center"/>
    </xf>
    <xf numFmtId="0" fontId="0" fillId="0" borderId="51" xfId="0" applyBorder="1" applyAlignment="1">
      <alignment horizontal="left" vertical="center" wrapText="1"/>
    </xf>
    <xf numFmtId="0" fontId="0" fillId="0" borderId="58" xfId="0" applyBorder="1" applyAlignment="1">
      <alignment horizontal="left" vertical="center" wrapText="1"/>
    </xf>
    <xf numFmtId="0" fontId="0" fillId="0" borderId="21" xfId="0" applyBorder="1" applyAlignment="1">
      <alignment horizontal="left" vertical="center" wrapText="1"/>
    </xf>
    <xf numFmtId="0" fontId="0" fillId="0" borderId="22" xfId="0" applyBorder="1" applyAlignment="1">
      <alignment horizontal="left" vertical="center" wrapText="1"/>
    </xf>
    <xf numFmtId="0" fontId="0" fillId="0" borderId="17" xfId="0" applyBorder="1" applyAlignment="1">
      <alignment horizontal="center" vertical="center" wrapText="1"/>
    </xf>
    <xf numFmtId="0" fontId="0" fillId="0" borderId="22" xfId="0" applyBorder="1" applyAlignment="1">
      <alignment horizontal="center" vertical="center" wrapText="1"/>
    </xf>
    <xf numFmtId="0" fontId="0" fillId="0" borderId="59" xfId="0" applyBorder="1" applyAlignment="1">
      <alignment horizontal="center" vertical="center"/>
    </xf>
    <xf numFmtId="0" fontId="0" fillId="0" borderId="44" xfId="0" applyBorder="1" applyAlignment="1">
      <alignment horizontal="center" vertical="center"/>
    </xf>
    <xf numFmtId="0" fontId="0" fillId="0" borderId="51" xfId="0" applyBorder="1" applyAlignment="1">
      <alignment horizontal="left" wrapText="1"/>
    </xf>
    <xf numFmtId="0" fontId="0" fillId="0" borderId="58" xfId="0" applyBorder="1" applyAlignment="1">
      <alignment horizontal="left" wrapText="1"/>
    </xf>
    <xf numFmtId="0" fontId="0" fillId="0" borderId="0" xfId="0" applyAlignment="1">
      <alignment horizontal="left" wrapText="1"/>
    </xf>
    <xf numFmtId="0" fontId="0" fillId="0" borderId="19" xfId="0" applyBorder="1" applyAlignment="1">
      <alignment horizontal="left" wrapText="1"/>
    </xf>
    <xf numFmtId="0" fontId="0" fillId="0" borderId="52" xfId="0" applyBorder="1" applyAlignment="1">
      <alignment horizontal="left" wrapText="1"/>
    </xf>
    <xf numFmtId="0" fontId="0" fillId="0" borderId="56" xfId="0" applyBorder="1" applyAlignment="1">
      <alignment horizontal="left" wrapText="1"/>
    </xf>
    <xf numFmtId="0" fontId="0" fillId="36" borderId="0" xfId="0" quotePrefix="1" applyFill="1" applyAlignment="1">
      <alignment horizontal="left" wrapText="1"/>
    </xf>
    <xf numFmtId="0" fontId="0" fillId="36" borderId="19" xfId="0" quotePrefix="1" applyFill="1" applyBorder="1" applyAlignment="1">
      <alignment horizontal="left" wrapText="1"/>
    </xf>
    <xf numFmtId="0" fontId="0" fillId="36" borderId="52" xfId="0" quotePrefix="1" applyFill="1" applyBorder="1" applyAlignment="1">
      <alignment horizontal="left" wrapText="1"/>
    </xf>
    <xf numFmtId="0" fontId="0" fillId="36" borderId="56" xfId="0" quotePrefix="1" applyFill="1" applyBorder="1" applyAlignment="1">
      <alignment horizontal="left" wrapText="1"/>
    </xf>
    <xf numFmtId="0" fontId="16" fillId="0" borderId="20" xfId="0" applyFont="1" applyBorder="1" applyAlignment="1">
      <alignment horizontal="center" vertical="center" wrapText="1"/>
    </xf>
    <xf numFmtId="0" fontId="16" fillId="0" borderId="21" xfId="0" applyFont="1" applyBorder="1" applyAlignment="1">
      <alignment horizontal="center" vertical="center" wrapText="1"/>
    </xf>
    <xf numFmtId="0" fontId="16" fillId="0" borderId="22" xfId="0" applyFont="1" applyBorder="1" applyAlignment="1">
      <alignment horizontal="center" vertical="center" wrapText="1"/>
    </xf>
    <xf numFmtId="0" fontId="35" fillId="0" borderId="10" xfId="0" applyFont="1" applyBorder="1" applyAlignment="1">
      <alignment horizontal="center" vertical="center"/>
    </xf>
    <xf numFmtId="0" fontId="42" fillId="36" borderId="66" xfId="0" applyFont="1" applyFill="1" applyBorder="1" applyAlignment="1">
      <alignment horizontal="center" vertical="center"/>
    </xf>
    <xf numFmtId="0" fontId="42" fillId="36" borderId="27" xfId="0" applyFont="1" applyFill="1" applyBorder="1" applyAlignment="1">
      <alignment horizontal="center" vertical="center"/>
    </xf>
    <xf numFmtId="0" fontId="43" fillId="36" borderId="66" xfId="0" applyFont="1" applyFill="1" applyBorder="1" applyAlignment="1">
      <alignment horizontal="center" vertical="center"/>
    </xf>
    <xf numFmtId="0" fontId="43" fillId="36" borderId="27" xfId="0" applyFont="1" applyFill="1" applyBorder="1" applyAlignment="1">
      <alignment horizontal="center" vertical="center"/>
    </xf>
    <xf numFmtId="0" fontId="43" fillId="36" borderId="66" xfId="0" applyFont="1" applyFill="1" applyBorder="1" applyAlignment="1">
      <alignment horizontal="center" vertical="center" wrapText="1"/>
    </xf>
    <xf numFmtId="0" fontId="43" fillId="36" borderId="27" xfId="0" applyFont="1" applyFill="1" applyBorder="1" applyAlignment="1">
      <alignment horizontal="center" vertical="center" wrapText="1"/>
    </xf>
    <xf numFmtId="0" fontId="31" fillId="38" borderId="23" xfId="0" applyFont="1" applyFill="1" applyBorder="1" applyAlignment="1">
      <alignment horizontal="center" vertical="center"/>
    </xf>
    <xf numFmtId="0" fontId="31" fillId="38" borderId="24" xfId="0" applyFont="1" applyFill="1" applyBorder="1" applyAlignment="1">
      <alignment horizontal="center" vertical="center"/>
    </xf>
    <xf numFmtId="0" fontId="31" fillId="38" borderId="25" xfId="0" applyFont="1" applyFill="1" applyBorder="1" applyAlignment="1">
      <alignment horizontal="center" vertical="center"/>
    </xf>
    <xf numFmtId="0" fontId="29" fillId="33" borderId="45" xfId="0" applyFont="1" applyFill="1" applyBorder="1" applyAlignment="1">
      <alignment horizontal="center" vertical="center"/>
    </xf>
    <xf numFmtId="0" fontId="29" fillId="33" borderId="46" xfId="0" applyFont="1" applyFill="1" applyBorder="1" applyAlignment="1">
      <alignment horizontal="center" vertical="center"/>
    </xf>
    <xf numFmtId="0" fontId="29" fillId="33" borderId="47" xfId="0" applyFont="1" applyFill="1" applyBorder="1" applyAlignment="1">
      <alignment horizontal="center" vertical="center"/>
    </xf>
    <xf numFmtId="0" fontId="29" fillId="36" borderId="60" xfId="0" applyFont="1" applyFill="1" applyBorder="1" applyAlignment="1">
      <alignment horizontal="center" vertical="center"/>
    </xf>
    <xf numFmtId="0" fontId="29" fillId="36" borderId="61" xfId="0" applyFont="1" applyFill="1" applyBorder="1" applyAlignment="1">
      <alignment horizontal="center" vertical="center"/>
    </xf>
    <xf numFmtId="0" fontId="29" fillId="36" borderId="35" xfId="0" applyFont="1" applyFill="1" applyBorder="1" applyAlignment="1">
      <alignment horizontal="center" vertical="center"/>
    </xf>
    <xf numFmtId="0" fontId="34" fillId="36" borderId="15" xfId="0" applyFont="1" applyFill="1" applyBorder="1" applyAlignment="1">
      <alignment horizontal="center" vertical="center"/>
    </xf>
    <xf numFmtId="0" fontId="34" fillId="36" borderId="16" xfId="0" applyFont="1" applyFill="1" applyBorder="1" applyAlignment="1">
      <alignment horizontal="center" vertical="center"/>
    </xf>
    <xf numFmtId="0" fontId="34" fillId="36" borderId="17" xfId="0" applyFont="1" applyFill="1" applyBorder="1" applyAlignment="1">
      <alignment horizontal="center" vertical="center"/>
    </xf>
    <xf numFmtId="0" fontId="34" fillId="36" borderId="20" xfId="0" applyFont="1" applyFill="1" applyBorder="1" applyAlignment="1">
      <alignment horizontal="center" vertical="center"/>
    </xf>
    <xf numFmtId="0" fontId="34" fillId="36" borderId="21" xfId="0" applyFont="1" applyFill="1" applyBorder="1" applyAlignment="1">
      <alignment horizontal="center" vertical="center"/>
    </xf>
    <xf numFmtId="0" fontId="34" fillId="36" borderId="22" xfId="0" applyFont="1" applyFill="1" applyBorder="1" applyAlignment="1">
      <alignment horizontal="center" vertical="center"/>
    </xf>
    <xf numFmtId="0" fontId="33" fillId="36" borderId="26" xfId="0" applyFont="1" applyFill="1" applyBorder="1" applyAlignment="1">
      <alignment horizontal="center" vertical="center"/>
    </xf>
    <xf numFmtId="0" fontId="33" fillId="36" borderId="63" xfId="0" applyFont="1" applyFill="1" applyBorder="1" applyAlignment="1">
      <alignment horizontal="center" vertical="center"/>
    </xf>
    <xf numFmtId="0" fontId="33" fillId="36" borderId="62" xfId="0" applyFont="1" applyFill="1" applyBorder="1" applyAlignment="1">
      <alignment horizontal="center" vertical="center"/>
    </xf>
    <xf numFmtId="0" fontId="32" fillId="38" borderId="23" xfId="0" applyFont="1" applyFill="1" applyBorder="1" applyAlignment="1">
      <alignment horizontal="left"/>
    </xf>
    <xf numFmtId="0" fontId="32" fillId="38" borderId="24" xfId="0" applyFont="1" applyFill="1" applyBorder="1" applyAlignment="1">
      <alignment horizontal="left"/>
    </xf>
    <xf numFmtId="0" fontId="32" fillId="38" borderId="25" xfId="0" applyFont="1" applyFill="1" applyBorder="1" applyAlignment="1">
      <alignment horizontal="left"/>
    </xf>
    <xf numFmtId="14" fontId="33" fillId="36" borderId="10" xfId="0" applyNumberFormat="1" applyFont="1" applyFill="1" applyBorder="1" applyAlignment="1">
      <alignment horizontal="center" vertical="center"/>
    </xf>
    <xf numFmtId="0" fontId="33" fillId="36" borderId="10" xfId="0" applyFont="1" applyFill="1" applyBorder="1" applyAlignment="1">
      <alignment horizontal="center" vertical="center"/>
    </xf>
    <xf numFmtId="0" fontId="38" fillId="36" borderId="0" xfId="0" applyFont="1" applyFill="1" applyAlignment="1">
      <alignment horizontal="left" vertical="top"/>
    </xf>
    <xf numFmtId="0" fontId="42" fillId="36" borderId="66" xfId="0" applyFont="1" applyFill="1" applyBorder="1" applyAlignment="1">
      <alignment horizontal="center" vertical="center" wrapText="1"/>
    </xf>
    <xf numFmtId="0" fontId="42" fillId="36" borderId="27" xfId="0" applyFont="1" applyFill="1" applyBorder="1" applyAlignment="1">
      <alignment horizontal="center" vertical="center" wrapText="1"/>
    </xf>
    <xf numFmtId="0" fontId="33" fillId="36" borderId="53" xfId="0" applyFont="1" applyFill="1" applyBorder="1" applyAlignment="1">
      <alignment horizontal="left" vertical="top" wrapText="1"/>
    </xf>
    <xf numFmtId="0" fontId="33" fillId="36" borderId="51" xfId="0" applyFont="1" applyFill="1" applyBorder="1" applyAlignment="1">
      <alignment horizontal="left" vertical="top" wrapText="1"/>
    </xf>
    <xf numFmtId="0" fontId="33" fillId="36" borderId="64" xfId="0" applyFont="1" applyFill="1" applyBorder="1" applyAlignment="1">
      <alignment horizontal="left" vertical="top" wrapText="1"/>
    </xf>
    <xf numFmtId="0" fontId="33" fillId="36" borderId="54" xfId="0" applyFont="1" applyFill="1" applyBorder="1" applyAlignment="1">
      <alignment horizontal="left" vertical="top" wrapText="1"/>
    </xf>
    <xf numFmtId="0" fontId="33" fillId="36" borderId="0" xfId="0" applyFont="1" applyFill="1" applyAlignment="1">
      <alignment horizontal="left" vertical="top" wrapText="1"/>
    </xf>
    <xf numFmtId="0" fontId="33" fillId="36" borderId="30" xfId="0" applyFont="1" applyFill="1" applyBorder="1" applyAlignment="1">
      <alignment horizontal="left" vertical="top" wrapText="1"/>
    </xf>
    <xf numFmtId="0" fontId="33" fillId="36" borderId="55" xfId="0" applyFont="1" applyFill="1" applyBorder="1" applyAlignment="1">
      <alignment horizontal="left" vertical="top" wrapText="1"/>
    </xf>
    <xf numFmtId="0" fontId="33" fillId="36" borderId="52" xfId="0" applyFont="1" applyFill="1" applyBorder="1" applyAlignment="1">
      <alignment horizontal="left" vertical="top" wrapText="1"/>
    </xf>
    <xf numFmtId="0" fontId="33" fillId="36" borderId="65" xfId="0" applyFont="1" applyFill="1" applyBorder="1" applyAlignment="1">
      <alignment horizontal="left" vertical="top" wrapText="1"/>
    </xf>
    <xf numFmtId="0" fontId="38" fillId="36" borderId="66" xfId="0" applyFont="1" applyFill="1" applyBorder="1" applyAlignment="1">
      <alignment horizontal="center" vertical="center" wrapText="1"/>
    </xf>
    <xf numFmtId="0" fontId="38" fillId="36" borderId="27" xfId="0" applyFont="1" applyFill="1" applyBorder="1" applyAlignment="1">
      <alignment horizontal="center" vertical="center" wrapText="1"/>
    </xf>
    <xf numFmtId="0" fontId="42" fillId="36" borderId="0" xfId="0" applyFont="1" applyFill="1" applyAlignment="1">
      <alignment horizontal="left" vertical="top" wrapText="1"/>
    </xf>
    <xf numFmtId="0" fontId="33" fillId="36" borderId="66" xfId="0" applyFont="1" applyFill="1" applyBorder="1" applyAlignment="1">
      <alignment horizontal="left" vertical="center"/>
    </xf>
    <xf numFmtId="0" fontId="33" fillId="36" borderId="67" xfId="0" applyFont="1" applyFill="1" applyBorder="1" applyAlignment="1">
      <alignment horizontal="left" vertical="center"/>
    </xf>
    <xf numFmtId="0" fontId="33" fillId="36" borderId="27" xfId="0" applyFont="1" applyFill="1" applyBorder="1" applyAlignment="1">
      <alignment horizontal="left" vertical="center"/>
    </xf>
    <xf numFmtId="0" fontId="33" fillId="0" borderId="66" xfId="0" applyFont="1" applyBorder="1" applyAlignment="1">
      <alignment horizontal="left" vertical="center"/>
    </xf>
    <xf numFmtId="0" fontId="33" fillId="0" borderId="67" xfId="0" applyFont="1" applyBorder="1" applyAlignment="1">
      <alignment horizontal="left" vertical="center"/>
    </xf>
    <xf numFmtId="0" fontId="33" fillId="0" borderId="27" xfId="0" applyFont="1" applyBorder="1" applyAlignment="1">
      <alignment horizontal="left" vertical="center"/>
    </xf>
    <xf numFmtId="0" fontId="33" fillId="0" borderId="53" xfId="0" applyFont="1" applyBorder="1" applyAlignment="1">
      <alignment horizontal="center" vertical="center" wrapText="1"/>
    </xf>
    <xf numFmtId="0" fontId="33" fillId="0" borderId="51" xfId="0" applyFont="1" applyBorder="1" applyAlignment="1">
      <alignment horizontal="center" vertical="center" wrapText="1"/>
    </xf>
    <xf numFmtId="0" fontId="33" fillId="0" borderId="64" xfId="0" applyFont="1" applyBorder="1" applyAlignment="1">
      <alignment horizontal="center" vertical="center" wrapText="1"/>
    </xf>
    <xf numFmtId="0" fontId="33" fillId="0" borderId="54" xfId="0" applyFont="1" applyBorder="1" applyAlignment="1">
      <alignment horizontal="center" vertical="center" wrapText="1"/>
    </xf>
    <xf numFmtId="0" fontId="33" fillId="0" borderId="0" xfId="0" applyFont="1" applyAlignment="1">
      <alignment horizontal="center" vertical="center" wrapText="1"/>
    </xf>
    <xf numFmtId="0" fontId="33" fillId="0" borderId="30" xfId="0" applyFont="1" applyBorder="1" applyAlignment="1">
      <alignment horizontal="center" vertical="center" wrapText="1"/>
    </xf>
    <xf numFmtId="0" fontId="33" fillId="0" borderId="55" xfId="0" applyFont="1" applyBorder="1" applyAlignment="1">
      <alignment horizontal="center" vertical="center" wrapText="1"/>
    </xf>
    <xf numFmtId="0" fontId="33" fillId="0" borderId="52" xfId="0" applyFont="1" applyBorder="1" applyAlignment="1">
      <alignment horizontal="center" vertical="center" wrapText="1"/>
    </xf>
    <xf numFmtId="0" fontId="33" fillId="0" borderId="65" xfId="0" applyFont="1" applyBorder="1" applyAlignment="1">
      <alignment horizontal="center" vertical="center" wrapText="1"/>
    </xf>
    <xf numFmtId="0" fontId="35" fillId="36" borderId="66" xfId="0" applyFont="1" applyFill="1" applyBorder="1" applyAlignment="1">
      <alignment horizontal="center" vertical="center" wrapText="1"/>
    </xf>
    <xf numFmtId="0" fontId="35" fillId="36" borderId="27" xfId="0" applyFont="1" applyFill="1" applyBorder="1" applyAlignment="1">
      <alignment horizontal="center" vertical="center" wrapText="1"/>
    </xf>
    <xf numFmtId="0" fontId="33" fillId="36" borderId="26" xfId="0" applyFont="1" applyFill="1" applyBorder="1" applyAlignment="1">
      <alignment horizontal="center" vertical="center" wrapText="1"/>
    </xf>
    <xf numFmtId="0" fontId="33" fillId="36" borderId="63" xfId="0" applyFont="1" applyFill="1" applyBorder="1" applyAlignment="1">
      <alignment horizontal="center" vertical="center" wrapText="1"/>
    </xf>
    <xf numFmtId="0" fontId="33" fillId="36" borderId="62" xfId="0" applyFont="1" applyFill="1" applyBorder="1" applyAlignment="1">
      <alignment horizontal="center" vertical="center" wrapText="1"/>
    </xf>
    <xf numFmtId="14" fontId="33" fillId="36" borderId="26" xfId="0" applyNumberFormat="1" applyFont="1" applyFill="1" applyBorder="1" applyAlignment="1">
      <alignment horizontal="center" vertical="center"/>
    </xf>
    <xf numFmtId="14" fontId="33" fillId="36" borderId="63" xfId="0" applyNumberFormat="1" applyFont="1" applyFill="1" applyBorder="1" applyAlignment="1">
      <alignment horizontal="center" vertical="center"/>
    </xf>
    <xf numFmtId="14" fontId="33" fillId="36" borderId="62" xfId="0" applyNumberFormat="1" applyFont="1" applyFill="1" applyBorder="1" applyAlignment="1">
      <alignment horizontal="center" vertical="center"/>
    </xf>
    <xf numFmtId="165" fontId="33" fillId="36" borderId="26" xfId="0" applyNumberFormat="1" applyFont="1" applyFill="1" applyBorder="1" applyAlignment="1">
      <alignment horizontal="center" vertical="center"/>
    </xf>
    <xf numFmtId="165" fontId="33" fillId="36" borderId="63" xfId="0" applyNumberFormat="1" applyFont="1" applyFill="1" applyBorder="1" applyAlignment="1">
      <alignment horizontal="center" vertical="center"/>
    </xf>
    <xf numFmtId="165" fontId="33" fillId="36" borderId="62" xfId="0" applyNumberFormat="1" applyFont="1" applyFill="1" applyBorder="1" applyAlignment="1">
      <alignment horizontal="center" vertical="center"/>
    </xf>
    <xf numFmtId="0" fontId="33" fillId="36" borderId="63" xfId="0" applyFont="1" applyFill="1" applyBorder="1" applyAlignment="1">
      <alignment horizontal="left" vertical="center"/>
    </xf>
    <xf numFmtId="0" fontId="33" fillId="36" borderId="33" xfId="0" applyFont="1" applyFill="1" applyBorder="1" applyAlignment="1">
      <alignment horizontal="left" vertical="center"/>
    </xf>
    <xf numFmtId="0" fontId="33" fillId="36" borderId="51" xfId="0" applyFont="1" applyFill="1" applyBorder="1" applyAlignment="1">
      <alignment horizontal="left" vertical="center" wrapText="1"/>
    </xf>
    <xf numFmtId="0" fontId="33" fillId="36" borderId="58" xfId="0" applyFont="1" applyFill="1" applyBorder="1" applyAlignment="1">
      <alignment horizontal="left" vertical="center" wrapText="1"/>
    </xf>
    <xf numFmtId="0" fontId="33" fillId="36" borderId="0" xfId="0" applyFont="1" applyFill="1" applyAlignment="1">
      <alignment horizontal="left" vertical="center" wrapText="1"/>
    </xf>
    <xf numFmtId="0" fontId="33" fillId="36" borderId="19" xfId="0" applyFont="1" applyFill="1" applyBorder="1" applyAlignment="1">
      <alignment horizontal="left" vertical="center" wrapText="1"/>
    </xf>
    <xf numFmtId="0" fontId="33" fillId="36" borderId="52" xfId="0" applyFont="1" applyFill="1" applyBorder="1" applyAlignment="1">
      <alignment horizontal="left" vertical="center" wrapText="1"/>
    </xf>
    <xf numFmtId="0" fontId="33" fillId="36" borderId="56" xfId="0" applyFont="1" applyFill="1" applyBorder="1" applyAlignment="1">
      <alignment horizontal="left" vertical="center" wrapText="1"/>
    </xf>
    <xf numFmtId="0" fontId="33" fillId="36" borderId="10" xfId="0" applyFont="1" applyFill="1" applyBorder="1" applyAlignment="1">
      <alignment horizontal="left" vertical="center"/>
    </xf>
    <xf numFmtId="0" fontId="33" fillId="36" borderId="10" xfId="0" applyFont="1" applyFill="1" applyBorder="1" applyAlignment="1">
      <alignment horizontal="left" vertical="center" wrapText="1"/>
    </xf>
    <xf numFmtId="0" fontId="33" fillId="36" borderId="66" xfId="0" applyFont="1" applyFill="1" applyBorder="1" applyAlignment="1">
      <alignment horizontal="left" vertical="center" wrapText="1"/>
    </xf>
    <xf numFmtId="0" fontId="33" fillId="36" borderId="53" xfId="0" applyFont="1" applyFill="1" applyBorder="1" applyAlignment="1">
      <alignment horizontal="center" vertical="center" wrapText="1"/>
    </xf>
    <xf numFmtId="0" fontId="33" fillId="36" borderId="51" xfId="0" applyFont="1" applyFill="1" applyBorder="1" applyAlignment="1">
      <alignment horizontal="center" vertical="center" wrapText="1"/>
    </xf>
    <xf numFmtId="0" fontId="33" fillId="36" borderId="64" xfId="0" applyFont="1" applyFill="1" applyBorder="1" applyAlignment="1">
      <alignment horizontal="center" vertical="center" wrapText="1"/>
    </xf>
    <xf numFmtId="0" fontId="33" fillId="36" borderId="54" xfId="0" applyFont="1" applyFill="1" applyBorder="1" applyAlignment="1">
      <alignment horizontal="center" vertical="center" wrapText="1"/>
    </xf>
    <xf numFmtId="0" fontId="33" fillId="36" borderId="0" xfId="0" applyFont="1" applyFill="1" applyAlignment="1">
      <alignment horizontal="center" vertical="center" wrapText="1"/>
    </xf>
    <xf numFmtId="0" fontId="33" fillId="36" borderId="30" xfId="0" applyFont="1" applyFill="1" applyBorder="1" applyAlignment="1">
      <alignment horizontal="center" vertical="center" wrapText="1"/>
    </xf>
    <xf numFmtId="0" fontId="33" fillId="36" borderId="55" xfId="0" applyFont="1" applyFill="1" applyBorder="1" applyAlignment="1">
      <alignment horizontal="center" vertical="center" wrapText="1"/>
    </xf>
    <xf numFmtId="0" fontId="33" fillId="36" borderId="52" xfId="0" applyFont="1" applyFill="1" applyBorder="1" applyAlignment="1">
      <alignment horizontal="center" vertical="center" wrapText="1"/>
    </xf>
    <xf numFmtId="0" fontId="33" fillId="36" borderId="65" xfId="0" applyFont="1" applyFill="1" applyBorder="1" applyAlignment="1">
      <alignment horizontal="center" vertical="center" wrapText="1"/>
    </xf>
    <xf numFmtId="0" fontId="23" fillId="36" borderId="78" xfId="0" applyFont="1" applyFill="1" applyBorder="1" applyAlignment="1">
      <alignment horizontal="right" vertical="top"/>
    </xf>
    <xf numFmtId="0" fontId="23" fillId="36" borderId="18" xfId="0" applyFont="1" applyFill="1" applyBorder="1" applyAlignment="1">
      <alignment horizontal="right" vertical="top"/>
    </xf>
    <xf numFmtId="0" fontId="23" fillId="36" borderId="76" xfId="0" applyFont="1" applyFill="1" applyBorder="1" applyAlignment="1">
      <alignment horizontal="right" vertical="top"/>
    </xf>
    <xf numFmtId="0" fontId="33" fillId="36" borderId="51" xfId="0" applyFont="1" applyFill="1" applyBorder="1" applyAlignment="1" applyProtection="1">
      <alignment vertical="center" wrapText="1"/>
      <protection locked="0"/>
    </xf>
    <xf numFmtId="0" fontId="33" fillId="36" borderId="58" xfId="0" applyFont="1" applyFill="1" applyBorder="1" applyAlignment="1" applyProtection="1">
      <alignment vertical="center" wrapText="1"/>
      <protection locked="0"/>
    </xf>
    <xf numFmtId="0" fontId="33" fillId="36" borderId="0" xfId="0" applyFont="1" applyFill="1" applyAlignment="1" applyProtection="1">
      <alignment vertical="center" wrapText="1"/>
      <protection locked="0"/>
    </xf>
    <xf numFmtId="0" fontId="33" fillId="36" borderId="19" xfId="0" applyFont="1" applyFill="1" applyBorder="1" applyAlignment="1" applyProtection="1">
      <alignment vertical="center" wrapText="1"/>
      <protection locked="0"/>
    </xf>
    <xf numFmtId="0" fontId="33" fillId="36" borderId="21" xfId="0" applyFont="1" applyFill="1" applyBorder="1" applyAlignment="1" applyProtection="1">
      <alignment vertical="center" wrapText="1"/>
      <protection locked="0"/>
    </xf>
    <xf numFmtId="0" fontId="33" fillId="36" borderId="22" xfId="0" applyFont="1" applyFill="1" applyBorder="1" applyAlignment="1" applyProtection="1">
      <alignment vertical="center" wrapText="1"/>
      <protection locked="0"/>
    </xf>
    <xf numFmtId="0" fontId="33" fillId="36" borderId="53" xfId="0" applyFont="1" applyFill="1" applyBorder="1" applyAlignment="1">
      <alignment horizontal="left" vertical="center" wrapText="1"/>
    </xf>
    <xf numFmtId="0" fontId="33" fillId="36" borderId="64" xfId="0" applyFont="1" applyFill="1" applyBorder="1" applyAlignment="1">
      <alignment horizontal="left" vertical="center" wrapText="1"/>
    </xf>
    <xf numFmtId="0" fontId="33" fillId="36" borderId="54" xfId="0" applyFont="1" applyFill="1" applyBorder="1" applyAlignment="1">
      <alignment horizontal="left" vertical="center" wrapText="1"/>
    </xf>
    <xf numFmtId="0" fontId="33" fillId="36" borderId="30" xfId="0" applyFont="1" applyFill="1" applyBorder="1" applyAlignment="1">
      <alignment horizontal="left" vertical="center" wrapText="1"/>
    </xf>
    <xf numFmtId="0" fontId="33" fillId="36" borderId="55" xfId="0" applyFont="1" applyFill="1" applyBorder="1" applyAlignment="1">
      <alignment horizontal="left" vertical="center" wrapText="1"/>
    </xf>
    <xf numFmtId="0" fontId="33" fillId="36" borderId="65" xfId="0" applyFont="1" applyFill="1" applyBorder="1" applyAlignment="1">
      <alignment horizontal="left" vertical="center" wrapText="1"/>
    </xf>
    <xf numFmtId="0" fontId="33" fillId="36" borderId="66" xfId="0" applyFont="1" applyFill="1" applyBorder="1" applyAlignment="1">
      <alignment horizontal="center" vertical="center"/>
    </xf>
    <xf numFmtId="0" fontId="33" fillId="36" borderId="67" xfId="0" applyFont="1" applyFill="1" applyBorder="1" applyAlignment="1">
      <alignment horizontal="center" vertical="center"/>
    </xf>
    <xf numFmtId="0" fontId="33" fillId="36" borderId="27" xfId="0" applyFont="1" applyFill="1" applyBorder="1" applyAlignment="1">
      <alignment horizontal="center" vertical="center"/>
    </xf>
    <xf numFmtId="0" fontId="23" fillId="36" borderId="53" xfId="0" applyFont="1" applyFill="1" applyBorder="1" applyAlignment="1">
      <alignment horizontal="right" vertical="top"/>
    </xf>
    <xf numFmtId="0" fontId="23" fillId="36" borderId="54" xfId="0" applyFont="1" applyFill="1" applyBorder="1" applyAlignment="1">
      <alignment horizontal="right" vertical="top"/>
    </xf>
    <xf numFmtId="0" fontId="23" fillId="36" borderId="55" xfId="0" applyFont="1" applyFill="1" applyBorder="1" applyAlignment="1">
      <alignment horizontal="right" vertical="top"/>
    </xf>
    <xf numFmtId="0" fontId="33" fillId="36" borderId="51" xfId="0" applyFont="1" applyFill="1" applyBorder="1" applyAlignment="1">
      <alignment horizontal="center" vertical="center"/>
    </xf>
    <xf numFmtId="0" fontId="33" fillId="36" borderId="64" xfId="0" applyFont="1" applyFill="1" applyBorder="1" applyAlignment="1">
      <alignment horizontal="center" vertical="center"/>
    </xf>
    <xf numFmtId="0" fontId="33" fillId="36" borderId="0" xfId="0" applyFont="1" applyFill="1" applyAlignment="1">
      <alignment horizontal="center" vertical="center"/>
    </xf>
    <xf numFmtId="0" fontId="33" fillId="36" borderId="30" xfId="0" applyFont="1" applyFill="1" applyBorder="1" applyAlignment="1">
      <alignment horizontal="center" vertical="center"/>
    </xf>
    <xf numFmtId="0" fontId="33" fillId="36" borderId="52" xfId="0" applyFont="1" applyFill="1" applyBorder="1" applyAlignment="1">
      <alignment horizontal="center" vertical="center"/>
    </xf>
    <xf numFmtId="0" fontId="33" fillId="36" borderId="65" xfId="0" applyFont="1" applyFill="1" applyBorder="1" applyAlignment="1">
      <alignment horizontal="center" vertical="center"/>
    </xf>
    <xf numFmtId="0" fontId="35" fillId="36" borderId="67" xfId="0" applyFont="1" applyFill="1" applyBorder="1" applyAlignment="1">
      <alignment horizontal="center" vertical="center" wrapText="1"/>
    </xf>
    <xf numFmtId="0" fontId="16" fillId="0" borderId="26" xfId="0" applyFont="1" applyBorder="1" applyAlignment="1">
      <alignment horizontal="center"/>
    </xf>
    <xf numFmtId="0" fontId="16" fillId="0" borderId="63" xfId="0" applyFont="1" applyBorder="1" applyAlignment="1">
      <alignment horizontal="center"/>
    </xf>
    <xf numFmtId="0" fontId="16" fillId="0" borderId="62" xfId="0" applyFont="1" applyBorder="1" applyAlignment="1">
      <alignment horizontal="center"/>
    </xf>
    <xf numFmtId="0" fontId="0" fillId="0" borderId="45" xfId="0" applyBorder="1" applyAlignment="1">
      <alignment horizontal="center" vertical="center" wrapText="1"/>
    </xf>
    <xf numFmtId="0" fontId="0" fillId="0" borderId="46" xfId="0" applyBorder="1" applyAlignment="1">
      <alignment horizontal="center" vertical="center" wrapText="1"/>
    </xf>
    <xf numFmtId="0" fontId="0" fillId="0" borderId="47" xfId="0" applyBorder="1" applyAlignment="1">
      <alignment horizontal="center" vertical="center" wrapText="1"/>
    </xf>
    <xf numFmtId="0" fontId="16" fillId="0" borderId="10" xfId="0" applyFont="1" applyBorder="1" applyAlignment="1">
      <alignment horizont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3"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9">
    <dxf>
      <fill>
        <patternFill>
          <bgColor theme="5" tint="0.39994506668294322"/>
        </patternFill>
      </fill>
    </dxf>
    <dxf>
      <fill>
        <patternFill>
          <bgColor theme="5" tint="0.39994506668294322"/>
        </patternFill>
      </fill>
    </dxf>
    <dxf>
      <font>
        <color auto="1"/>
      </font>
      <fill>
        <patternFill>
          <bgColor theme="5" tint="0.39994506668294322"/>
        </patternFill>
      </fill>
    </dxf>
    <dxf>
      <fill>
        <patternFill>
          <bgColor theme="5" tint="0.39994506668294322"/>
        </patternFill>
      </fill>
    </dxf>
    <dxf>
      <font>
        <color auto="1"/>
      </font>
      <fill>
        <patternFill>
          <bgColor theme="5" tint="0.39994506668294322"/>
        </patternFill>
      </fill>
    </dxf>
    <dxf>
      <fill>
        <patternFill>
          <bgColor theme="5" tint="0.39994506668294322"/>
        </patternFill>
      </fill>
    </dxf>
    <dxf>
      <font>
        <color auto="1"/>
      </font>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ont>
        <color auto="1"/>
      </font>
      <fill>
        <patternFill>
          <bgColor theme="5" tint="0.39994506668294322"/>
        </patternFill>
      </fill>
    </dxf>
    <dxf>
      <fill>
        <patternFill>
          <bgColor theme="5" tint="0.39994506668294322"/>
        </patternFill>
      </fill>
    </dxf>
    <dxf>
      <font>
        <b/>
        <i val="0"/>
      </font>
      <fill>
        <patternFill>
          <bgColor rgb="FFFF3399"/>
        </patternFill>
      </fill>
    </dxf>
    <dxf>
      <font>
        <b/>
        <i val="0"/>
      </font>
      <fill>
        <patternFill>
          <bgColor rgb="FF00B0F0"/>
        </patternFill>
      </fill>
    </dxf>
    <dxf>
      <font>
        <b/>
        <i val="0"/>
      </font>
      <fill>
        <patternFill>
          <bgColor rgb="FF00B0F0"/>
        </patternFill>
      </fill>
    </dxf>
    <dxf>
      <font>
        <b/>
        <i val="0"/>
      </font>
      <fill>
        <patternFill>
          <bgColor rgb="FF00FFFF"/>
        </patternFill>
      </fill>
    </dxf>
    <dxf>
      <font>
        <b/>
        <i val="0"/>
      </font>
      <fill>
        <patternFill>
          <bgColor rgb="FFFF3399"/>
        </patternFill>
      </fill>
    </dxf>
    <dxf>
      <font>
        <b/>
        <i val="0"/>
      </font>
      <fill>
        <patternFill>
          <bgColor rgb="FF00B0F0"/>
        </patternFill>
      </fill>
    </dxf>
    <dxf>
      <font>
        <b/>
        <i val="0"/>
      </font>
      <fill>
        <patternFill>
          <bgColor rgb="FF00FFFF"/>
        </patternFill>
      </fill>
    </dxf>
  </dxfs>
  <tableStyles count="0" defaultTableStyle="TableStyleMedium2" defaultPivotStyle="PivotStyleLight16"/>
  <colors>
    <mruColors>
      <color rgb="FFFF3399"/>
      <color rgb="FF00FF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388952</xdr:colOff>
      <xdr:row>44</xdr:row>
      <xdr:rowOff>103767</xdr:rowOff>
    </xdr:to>
    <xdr:pic>
      <xdr:nvPicPr>
        <xdr:cNvPr id="2" name="Picture 1">
          <a:extLst>
            <a:ext uri="{FF2B5EF4-FFF2-40B4-BE49-F238E27FC236}">
              <a16:creationId xmlns:a16="http://schemas.microsoft.com/office/drawing/2014/main" id="{70E6AAEA-CA4D-8F5F-BC70-4B7F4A0C0212}"/>
            </a:ext>
          </a:extLst>
        </xdr:cNvPr>
        <xdr:cNvPicPr>
          <a:picLocks noChangeAspect="1"/>
        </xdr:cNvPicPr>
      </xdr:nvPicPr>
      <xdr:blipFill>
        <a:blip xmlns:r="http://schemas.openxmlformats.org/officeDocument/2006/relationships" r:embed="rId1"/>
        <a:stretch>
          <a:fillRect/>
        </a:stretch>
      </xdr:blipFill>
      <xdr:spPr>
        <a:xfrm>
          <a:off x="0" y="0"/>
          <a:ext cx="12580952" cy="80666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103094</xdr:colOff>
      <xdr:row>33</xdr:row>
      <xdr:rowOff>72840</xdr:rowOff>
    </xdr:from>
    <xdr:to>
      <xdr:col>22</xdr:col>
      <xdr:colOff>383893</xdr:colOff>
      <xdr:row>50</xdr:row>
      <xdr:rowOff>35861</xdr:rowOff>
    </xdr:to>
    <xdr:pic>
      <xdr:nvPicPr>
        <xdr:cNvPr id="3" name="Picture 2">
          <a:extLst>
            <a:ext uri="{FF2B5EF4-FFF2-40B4-BE49-F238E27FC236}">
              <a16:creationId xmlns:a16="http://schemas.microsoft.com/office/drawing/2014/main" id="{A48A78F2-C78E-4573-8A13-04BAE02A794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96918" y="7222193"/>
          <a:ext cx="3911504" cy="3300132"/>
        </a:xfrm>
        <a:prstGeom prst="rect">
          <a:avLst/>
        </a:prstGeom>
        <a:ln w="38100" cap="sq">
          <a:solidFill>
            <a:srgbClr val="000000"/>
          </a:solidFill>
          <a:prstDash val="solid"/>
          <a:miter lim="800000"/>
        </a:ln>
        <a:effec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16</xdr:col>
      <xdr:colOff>76200</xdr:colOff>
      <xdr:row>33</xdr:row>
      <xdr:rowOff>76200</xdr:rowOff>
    </xdr:from>
    <xdr:to>
      <xdr:col>22</xdr:col>
      <xdr:colOff>396240</xdr:colOff>
      <xdr:row>50</xdr:row>
      <xdr:rowOff>57009</xdr:rowOff>
    </xdr:to>
    <xdr:pic>
      <xdr:nvPicPr>
        <xdr:cNvPr id="3" name="Picture 2">
          <a:extLst>
            <a:ext uri="{FF2B5EF4-FFF2-40B4-BE49-F238E27FC236}">
              <a16:creationId xmlns:a16="http://schemas.microsoft.com/office/drawing/2014/main" id="{62984EDE-1D7E-427C-AE0E-741D6DD47295}"/>
            </a:ext>
          </a:extLst>
        </xdr:cNvPr>
        <xdr:cNvPicPr>
          <a:picLocks noChangeAspect="1"/>
        </xdr:cNvPicPr>
      </xdr:nvPicPr>
      <xdr:blipFill>
        <a:blip xmlns:r="http://schemas.openxmlformats.org/officeDocument/2006/relationships" r:embed="rId1"/>
        <a:stretch>
          <a:fillRect/>
        </a:stretch>
      </xdr:blipFill>
      <xdr:spPr>
        <a:xfrm>
          <a:off x="11934825" y="7096125"/>
          <a:ext cx="3981450" cy="3303129"/>
        </a:xfrm>
        <a:prstGeom prst="rect">
          <a:avLst/>
        </a:prstGeom>
        <a:ln w="38100" cap="sq">
          <a:solidFill>
            <a:srgbClr val="000000"/>
          </a:solidFill>
          <a:prstDash val="solid"/>
          <a:miter lim="800000"/>
        </a:ln>
        <a:effec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7A013-059D-4EA3-AC9F-AE6BE1611C81}">
  <dimension ref="A1"/>
  <sheetViews>
    <sheetView tabSelected="1" zoomScaleNormal="100" workbookViewId="0">
      <selection activeCell="Y12" sqref="Y12"/>
    </sheetView>
  </sheetViews>
  <sheetFormatPr defaultRowHeight="14.4" x14ac:dyDescent="0.3"/>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221E0-529C-4955-B371-D463F188F6A9}">
  <dimension ref="B1:I28"/>
  <sheetViews>
    <sheetView zoomScale="85" zoomScaleNormal="85" workbookViewId="0">
      <selection activeCell="N13" sqref="N13"/>
    </sheetView>
  </sheetViews>
  <sheetFormatPr defaultRowHeight="14.4" x14ac:dyDescent="0.3"/>
  <cols>
    <col min="1" max="2" width="2.88671875" customWidth="1"/>
    <col min="3" max="3" width="39.109375" bestFit="1" customWidth="1"/>
    <col min="4" max="5" width="10.21875" bestFit="1" customWidth="1"/>
    <col min="6" max="6" width="44.5546875" customWidth="1"/>
    <col min="7" max="7" width="58.6640625" customWidth="1"/>
    <col min="8" max="8" width="61" bestFit="1" customWidth="1"/>
    <col min="9" max="10" width="2.88671875" customWidth="1"/>
  </cols>
  <sheetData>
    <row r="1" spans="2:9" ht="15" thickBot="1" x14ac:dyDescent="0.35"/>
    <row r="2" spans="2:9" ht="26.4" thickBot="1" x14ac:dyDescent="0.35">
      <c r="B2" s="333" t="s">
        <v>113</v>
      </c>
      <c r="C2" s="334"/>
      <c r="D2" s="334"/>
      <c r="E2" s="334"/>
      <c r="F2" s="334"/>
      <c r="G2" s="334"/>
      <c r="H2" s="334"/>
      <c r="I2" s="335"/>
    </row>
    <row r="3" spans="2:9" ht="18.600000000000001" thickBot="1" x14ac:dyDescent="0.35">
      <c r="B3" s="20"/>
      <c r="C3" s="64"/>
      <c r="D3" s="65"/>
      <c r="E3" s="65"/>
      <c r="F3" s="47"/>
      <c r="G3" s="47"/>
      <c r="H3" s="47"/>
      <c r="I3" s="21"/>
    </row>
    <row r="4" spans="2:9" ht="18.600000000000001" thickBot="1" x14ac:dyDescent="0.35">
      <c r="B4" s="20"/>
      <c r="C4" s="267" t="s">
        <v>114</v>
      </c>
      <c r="D4" s="268" t="s">
        <v>49</v>
      </c>
      <c r="E4" s="269" t="s">
        <v>51</v>
      </c>
      <c r="F4" s="270" t="s">
        <v>74</v>
      </c>
      <c r="G4" s="271" t="s">
        <v>75</v>
      </c>
      <c r="H4" s="267" t="s">
        <v>58</v>
      </c>
      <c r="I4" s="21"/>
    </row>
    <row r="5" spans="2:9" ht="28.8" x14ac:dyDescent="0.3">
      <c r="B5" s="20"/>
      <c r="C5" s="264" t="s">
        <v>76</v>
      </c>
      <c r="D5" s="61" t="s">
        <v>63</v>
      </c>
      <c r="E5" s="58" t="s">
        <v>63</v>
      </c>
      <c r="F5" s="48" t="s">
        <v>77</v>
      </c>
      <c r="G5" s="49" t="s">
        <v>78</v>
      </c>
      <c r="H5" s="50" t="s">
        <v>79</v>
      </c>
      <c r="I5" s="21"/>
    </row>
    <row r="6" spans="2:9" x14ac:dyDescent="0.3">
      <c r="B6" s="20"/>
      <c r="C6" s="265" t="s">
        <v>80</v>
      </c>
      <c r="D6" s="62" t="s">
        <v>63</v>
      </c>
      <c r="E6" s="59"/>
      <c r="F6" s="51" t="s">
        <v>81</v>
      </c>
      <c r="G6" s="52"/>
      <c r="H6" s="53"/>
      <c r="I6" s="21"/>
    </row>
    <row r="7" spans="2:9" ht="57.6" x14ac:dyDescent="0.3">
      <c r="B7" s="20"/>
      <c r="C7" s="265" t="s">
        <v>226</v>
      </c>
      <c r="D7" s="62" t="s">
        <v>63</v>
      </c>
      <c r="E7" s="59"/>
      <c r="F7" s="51" t="s">
        <v>82</v>
      </c>
      <c r="G7" s="52"/>
      <c r="H7" s="53" t="s">
        <v>236</v>
      </c>
      <c r="I7" s="21"/>
    </row>
    <row r="8" spans="2:9" ht="28.8" x14ac:dyDescent="0.3">
      <c r="B8" s="20"/>
      <c r="C8" s="265" t="s">
        <v>128</v>
      </c>
      <c r="D8" s="62" t="s">
        <v>63</v>
      </c>
      <c r="E8" s="59"/>
      <c r="F8" s="51" t="s">
        <v>81</v>
      </c>
      <c r="G8" s="52"/>
      <c r="H8" s="53"/>
      <c r="I8" s="21"/>
    </row>
    <row r="9" spans="2:9" x14ac:dyDescent="0.3">
      <c r="B9" s="20"/>
      <c r="C9" s="265" t="s">
        <v>83</v>
      </c>
      <c r="D9" s="62" t="s">
        <v>63</v>
      </c>
      <c r="E9" s="59"/>
      <c r="F9" s="51" t="s">
        <v>81</v>
      </c>
      <c r="G9" s="52"/>
      <c r="H9" s="53"/>
      <c r="I9" s="21"/>
    </row>
    <row r="10" spans="2:9" ht="43.2" x14ac:dyDescent="0.3">
      <c r="B10" s="20"/>
      <c r="C10" s="265" t="s">
        <v>124</v>
      </c>
      <c r="D10" s="62" t="s">
        <v>63</v>
      </c>
      <c r="E10" s="59"/>
      <c r="F10" s="51" t="s">
        <v>126</v>
      </c>
      <c r="G10" s="52"/>
      <c r="H10" s="53" t="s">
        <v>127</v>
      </c>
      <c r="I10" s="21"/>
    </row>
    <row r="11" spans="2:9" ht="28.8" x14ac:dyDescent="0.3">
      <c r="B11" s="20"/>
      <c r="C11" s="265" t="s">
        <v>125</v>
      </c>
      <c r="D11" s="62" t="s">
        <v>63</v>
      </c>
      <c r="E11" s="59"/>
      <c r="F11" s="51" t="s">
        <v>77</v>
      </c>
      <c r="G11" s="52"/>
      <c r="H11" s="53" t="s">
        <v>151</v>
      </c>
      <c r="I11" s="21"/>
    </row>
    <row r="12" spans="2:9" ht="28.8" x14ac:dyDescent="0.3">
      <c r="B12" s="20"/>
      <c r="C12" s="265" t="s">
        <v>84</v>
      </c>
      <c r="D12" s="62" t="s">
        <v>63</v>
      </c>
      <c r="E12" s="59" t="s">
        <v>63</v>
      </c>
      <c r="F12" s="51" t="s">
        <v>81</v>
      </c>
      <c r="G12" s="52" t="s">
        <v>85</v>
      </c>
      <c r="H12" s="53" t="s">
        <v>86</v>
      </c>
      <c r="I12" s="21"/>
    </row>
    <row r="13" spans="2:9" ht="28.8" x14ac:dyDescent="0.3">
      <c r="B13" s="20"/>
      <c r="C13" s="265" t="s">
        <v>87</v>
      </c>
      <c r="D13" s="62" t="s">
        <v>63</v>
      </c>
      <c r="E13" s="59" t="s">
        <v>63</v>
      </c>
      <c r="F13" s="51" t="s">
        <v>78</v>
      </c>
      <c r="G13" s="52" t="s">
        <v>88</v>
      </c>
      <c r="H13" s="53" t="s">
        <v>89</v>
      </c>
      <c r="I13" s="21"/>
    </row>
    <row r="14" spans="2:9" ht="28.8" x14ac:dyDescent="0.3">
      <c r="B14" s="20"/>
      <c r="C14" s="265" t="s">
        <v>90</v>
      </c>
      <c r="D14" s="62" t="s">
        <v>63</v>
      </c>
      <c r="E14" s="59"/>
      <c r="F14" s="51" t="s">
        <v>88</v>
      </c>
      <c r="G14" s="52"/>
      <c r="H14" s="53"/>
      <c r="I14" s="21"/>
    </row>
    <row r="15" spans="2:9" ht="43.2" x14ac:dyDescent="0.3">
      <c r="B15" s="20"/>
      <c r="C15" s="265" t="s">
        <v>91</v>
      </c>
      <c r="D15" s="62" t="s">
        <v>63</v>
      </c>
      <c r="E15" s="59" t="s">
        <v>63</v>
      </c>
      <c r="F15" s="51" t="s">
        <v>82</v>
      </c>
      <c r="G15" s="52" t="s">
        <v>92</v>
      </c>
      <c r="H15" s="53" t="s">
        <v>237</v>
      </c>
      <c r="I15" s="21"/>
    </row>
    <row r="16" spans="2:9" x14ac:dyDescent="0.3">
      <c r="B16" s="20"/>
      <c r="C16" s="265" t="s">
        <v>93</v>
      </c>
      <c r="D16" s="62" t="s">
        <v>63</v>
      </c>
      <c r="E16" s="59"/>
      <c r="F16" s="51" t="s">
        <v>81</v>
      </c>
      <c r="G16" s="52"/>
      <c r="H16" s="53"/>
      <c r="I16" s="21"/>
    </row>
    <row r="17" spans="2:9" x14ac:dyDescent="0.3">
      <c r="B17" s="20"/>
      <c r="C17" s="265" t="s">
        <v>94</v>
      </c>
      <c r="D17" s="62" t="s">
        <v>63</v>
      </c>
      <c r="E17" s="59"/>
      <c r="F17" s="51" t="s">
        <v>95</v>
      </c>
      <c r="G17" s="52"/>
      <c r="H17" s="53" t="s">
        <v>96</v>
      </c>
      <c r="I17" s="21"/>
    </row>
    <row r="18" spans="2:9" ht="28.8" x14ac:dyDescent="0.3">
      <c r="B18" s="20"/>
      <c r="C18" s="265" t="s">
        <v>97</v>
      </c>
      <c r="D18" s="62" t="s">
        <v>63</v>
      </c>
      <c r="E18" s="59" t="s">
        <v>63</v>
      </c>
      <c r="F18" s="51" t="s">
        <v>98</v>
      </c>
      <c r="G18" s="52" t="s">
        <v>99</v>
      </c>
      <c r="H18" s="53" t="s">
        <v>100</v>
      </c>
      <c r="I18" s="21"/>
    </row>
    <row r="19" spans="2:9" ht="28.8" x14ac:dyDescent="0.3">
      <c r="B19" s="20"/>
      <c r="C19" s="265" t="s">
        <v>101</v>
      </c>
      <c r="D19" s="62" t="s">
        <v>63</v>
      </c>
      <c r="E19" s="59" t="s">
        <v>63</v>
      </c>
      <c r="F19" s="51" t="s">
        <v>78</v>
      </c>
      <c r="G19" s="52" t="s">
        <v>102</v>
      </c>
      <c r="H19" s="53" t="s">
        <v>103</v>
      </c>
      <c r="I19" s="21"/>
    </row>
    <row r="20" spans="2:9" ht="57.6" x14ac:dyDescent="0.3">
      <c r="B20" s="20"/>
      <c r="C20" s="265" t="s">
        <v>104</v>
      </c>
      <c r="D20" s="62" t="s">
        <v>63</v>
      </c>
      <c r="E20" s="59"/>
      <c r="F20" s="51" t="s">
        <v>81</v>
      </c>
      <c r="G20" s="52"/>
      <c r="H20" s="53" t="s">
        <v>238</v>
      </c>
      <c r="I20" s="21"/>
    </row>
    <row r="21" spans="2:9" ht="43.2" x14ac:dyDescent="0.3">
      <c r="B21" s="20"/>
      <c r="C21" s="265" t="s">
        <v>105</v>
      </c>
      <c r="D21" s="62" t="s">
        <v>63</v>
      </c>
      <c r="E21" s="59"/>
      <c r="F21" s="51" t="s">
        <v>81</v>
      </c>
      <c r="G21" s="54"/>
      <c r="H21" s="53" t="s">
        <v>106</v>
      </c>
      <c r="I21" s="21"/>
    </row>
    <row r="22" spans="2:9" ht="28.8" x14ac:dyDescent="0.3">
      <c r="B22" s="20"/>
      <c r="C22" s="265" t="s">
        <v>107</v>
      </c>
      <c r="D22" s="62" t="s">
        <v>63</v>
      </c>
      <c r="E22" s="59"/>
      <c r="F22" s="51" t="s">
        <v>88</v>
      </c>
      <c r="G22" s="54"/>
      <c r="H22" s="53"/>
      <c r="I22" s="21"/>
    </row>
    <row r="23" spans="2:9" ht="28.8" x14ac:dyDescent="0.3">
      <c r="B23" s="20"/>
      <c r="C23" s="265" t="s">
        <v>108</v>
      </c>
      <c r="D23" s="62" t="s">
        <v>63</v>
      </c>
      <c r="E23" s="59"/>
      <c r="F23" s="51" t="s">
        <v>88</v>
      </c>
      <c r="G23" s="52"/>
      <c r="H23" s="53"/>
      <c r="I23" s="21"/>
    </row>
    <row r="24" spans="2:9" ht="101.4" thickBot="1" x14ac:dyDescent="0.35">
      <c r="B24" s="20"/>
      <c r="C24" s="266" t="s">
        <v>109</v>
      </c>
      <c r="D24" s="63" t="s">
        <v>63</v>
      </c>
      <c r="E24" s="60"/>
      <c r="F24" s="55" t="s">
        <v>129</v>
      </c>
      <c r="G24" s="56"/>
      <c r="H24" s="57" t="s">
        <v>227</v>
      </c>
      <c r="I24" s="21"/>
    </row>
    <row r="25" spans="2:9" x14ac:dyDescent="0.3">
      <c r="B25" s="20"/>
      <c r="C25" s="65"/>
      <c r="D25" s="66"/>
      <c r="E25" s="66"/>
      <c r="F25" s="47"/>
      <c r="G25" s="47"/>
      <c r="H25" s="47"/>
      <c r="I25" s="21"/>
    </row>
    <row r="26" spans="2:9" ht="18" x14ac:dyDescent="0.35">
      <c r="B26" s="45" t="s">
        <v>115</v>
      </c>
      <c r="C26" s="65"/>
      <c r="D26" s="66"/>
      <c r="E26" s="66"/>
      <c r="F26" s="47"/>
      <c r="G26" s="47"/>
      <c r="H26" s="47"/>
      <c r="I26" s="21"/>
    </row>
    <row r="27" spans="2:9" x14ac:dyDescent="0.3">
      <c r="B27" s="28" t="s">
        <v>47</v>
      </c>
      <c r="C27" s="67" t="s">
        <v>116</v>
      </c>
      <c r="D27" s="66"/>
      <c r="E27" s="66"/>
      <c r="F27" s="47"/>
      <c r="G27" s="47"/>
      <c r="H27" s="47"/>
      <c r="I27" s="21"/>
    </row>
    <row r="28" spans="2:9" ht="15" thickBot="1" x14ac:dyDescent="0.35">
      <c r="B28" s="29"/>
      <c r="C28" s="30"/>
      <c r="D28" s="30"/>
      <c r="E28" s="30"/>
      <c r="F28" s="30"/>
      <c r="G28" s="30"/>
      <c r="H28" s="30"/>
      <c r="I28" s="31"/>
    </row>
  </sheetData>
  <mergeCells count="1">
    <mergeCell ref="B2:I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3F836-9FCC-42D9-B7D4-F5AB57D0707A}">
  <dimension ref="B1:AH44"/>
  <sheetViews>
    <sheetView zoomScaleNormal="100" workbookViewId="0">
      <selection activeCell="M17" sqref="M17"/>
    </sheetView>
  </sheetViews>
  <sheetFormatPr defaultRowHeight="14.4" x14ac:dyDescent="0.3"/>
  <cols>
    <col min="1" max="1" width="2.88671875" customWidth="1"/>
    <col min="2" max="2" width="2.6640625" customWidth="1"/>
    <col min="3" max="3" width="26" customWidth="1"/>
    <col min="4" max="5" width="14.44140625" style="2" customWidth="1"/>
    <col min="6" max="7" width="14.44140625" customWidth="1"/>
    <col min="8" max="10" width="2.88671875" customWidth="1"/>
    <col min="11" max="11" width="5" bestFit="1" customWidth="1"/>
    <col min="12" max="13" width="12.5546875" customWidth="1"/>
    <col min="14" max="14" width="13.6640625" bestFit="1" customWidth="1"/>
    <col min="15" max="16" width="12.5546875" customWidth="1"/>
    <col min="17" max="17" width="13.6640625" bestFit="1" customWidth="1"/>
    <col min="18" max="18" width="11.6640625" bestFit="1" customWidth="1"/>
    <col min="19" max="19" width="2.88671875" customWidth="1"/>
    <col min="20" max="20" width="4.33203125" customWidth="1"/>
    <col min="21" max="21" width="56.5546875" customWidth="1"/>
    <col min="22" max="22" width="2.88671875" customWidth="1"/>
    <col min="23" max="24" width="9.109375"/>
    <col min="25" max="25" width="19.33203125" customWidth="1"/>
    <col min="26" max="26" width="11.109375" customWidth="1"/>
    <col min="27" max="27" width="42.109375" customWidth="1"/>
    <col min="32" max="32" width="9.109375" hidden="1" customWidth="1"/>
    <col min="33" max="33" width="10.44140625" hidden="1" customWidth="1"/>
    <col min="34" max="34" width="29.44140625" hidden="1" customWidth="1"/>
  </cols>
  <sheetData>
    <row r="1" spans="2:34" ht="15" thickBot="1" x14ac:dyDescent="0.35"/>
    <row r="2" spans="2:34" ht="31.8" thickBot="1" x14ac:dyDescent="0.65">
      <c r="B2" s="356" t="s">
        <v>56</v>
      </c>
      <c r="C2" s="357"/>
      <c r="D2" s="357"/>
      <c r="E2" s="357"/>
      <c r="F2" s="357"/>
      <c r="G2" s="357"/>
      <c r="H2" s="358"/>
      <c r="J2" s="356" t="s">
        <v>57</v>
      </c>
      <c r="K2" s="357"/>
      <c r="L2" s="357"/>
      <c r="M2" s="357"/>
      <c r="N2" s="357"/>
      <c r="O2" s="357"/>
      <c r="P2" s="357"/>
      <c r="Q2" s="357"/>
      <c r="R2" s="357"/>
      <c r="S2" s="357"/>
      <c r="T2" s="357"/>
      <c r="U2" s="357"/>
      <c r="V2" s="358"/>
    </row>
    <row r="3" spans="2:34" ht="15" customHeight="1" thickBot="1" x14ac:dyDescent="0.35">
      <c r="B3" s="17"/>
      <c r="C3" s="18"/>
      <c r="D3" s="184"/>
      <c r="E3" s="184"/>
      <c r="F3" s="18"/>
      <c r="G3" s="18"/>
      <c r="H3" s="19"/>
      <c r="J3" s="20"/>
      <c r="K3" s="16"/>
      <c r="L3" s="16"/>
      <c r="M3" s="16"/>
      <c r="N3" s="16"/>
      <c r="O3" s="16"/>
      <c r="P3" s="16"/>
      <c r="Q3" s="16"/>
      <c r="R3" s="16"/>
      <c r="S3" s="16"/>
      <c r="T3" s="16"/>
      <c r="U3" s="16"/>
      <c r="V3" s="21"/>
    </row>
    <row r="4" spans="2:34" ht="15" customHeight="1" thickBot="1" x14ac:dyDescent="0.4">
      <c r="B4" s="20"/>
      <c r="C4" s="194" t="s">
        <v>48</v>
      </c>
      <c r="D4" s="185">
        <v>46203</v>
      </c>
      <c r="E4" s="16"/>
      <c r="F4" s="336" t="s">
        <v>44</v>
      </c>
      <c r="G4" s="337"/>
      <c r="H4" s="21"/>
      <c r="J4" s="20"/>
      <c r="K4" s="16"/>
      <c r="L4" s="353" t="s">
        <v>211</v>
      </c>
      <c r="M4" s="354"/>
      <c r="N4" s="355"/>
      <c r="O4" s="16"/>
      <c r="P4" s="374" t="s">
        <v>223</v>
      </c>
      <c r="Q4" s="375"/>
      <c r="R4" s="376"/>
      <c r="S4" s="16"/>
      <c r="T4" s="73" t="s">
        <v>130</v>
      </c>
      <c r="U4" s="16"/>
      <c r="V4" s="21"/>
    </row>
    <row r="5" spans="2:34" ht="15" customHeight="1" thickBot="1" x14ac:dyDescent="0.35">
      <c r="B5" s="20"/>
      <c r="C5" s="338" t="s">
        <v>214</v>
      </c>
      <c r="D5" s="368">
        <v>3</v>
      </c>
      <c r="E5" s="16"/>
      <c r="F5" s="351" t="s">
        <v>216</v>
      </c>
      <c r="G5" s="352"/>
      <c r="H5" s="21"/>
      <c r="J5" s="20"/>
      <c r="K5" s="16"/>
      <c r="L5" s="192" t="s">
        <v>212</v>
      </c>
      <c r="M5" s="193"/>
      <c r="N5" s="258">
        <v>2019</v>
      </c>
      <c r="O5" s="16"/>
      <c r="P5" s="370" t="s">
        <v>224</v>
      </c>
      <c r="Q5" s="371"/>
      <c r="R5" s="211" t="n">
        <f>IFERROR(ROUND(VLOOKUP($N$5, $K$11:$R$35, 8, FALSE), -2), "Select Year")</f>
        <v>5100</v>
      </c>
      <c r="S5" s="16"/>
      <c r="T5" s="72" t="s">
        <v>47</v>
      </c>
      <c r="U5" s="340" t="s">
        <v>228</v>
      </c>
      <c r="V5" s="21"/>
      <c r="AF5" s="341" t="s">
        <v>45</v>
      </c>
      <c r="AG5" s="342"/>
      <c r="AH5" s="343"/>
    </row>
    <row r="6" spans="2:34" ht="15" customHeight="1" thickTop="1" thickBot="1" x14ac:dyDescent="0.35">
      <c r="B6" s="20"/>
      <c r="C6" s="339"/>
      <c r="D6" s="369"/>
      <c r="E6" s="16"/>
      <c r="F6" s="349" t="s">
        <v>217</v>
      </c>
      <c r="G6" s="350"/>
      <c r="H6" s="21"/>
      <c r="J6" s="20"/>
      <c r="K6" s="16"/>
      <c r="L6" s="190" t="s">
        <v>213</v>
      </c>
      <c r="M6" s="191"/>
      <c r="N6" s="259">
        <v>2022</v>
      </c>
      <c r="O6" s="16"/>
      <c r="P6" s="372" t="s">
        <v>225</v>
      </c>
      <c r="Q6" s="373"/>
      <c r="R6" s="212" t="n">
        <f>IFERROR(ROUND(VLOOKUP($N$6, $K$11:$R$35, 8, FALSE), -2), "Select Year")</f>
        <v>4200</v>
      </c>
      <c r="S6" s="16"/>
      <c r="T6" s="16"/>
      <c r="U6" s="340"/>
      <c r="V6" s="21"/>
      <c r="AF6" s="13"/>
      <c r="AG6" s="14"/>
      <c r="AH6" s="15"/>
    </row>
    <row r="7" spans="2:34" s="1" customFormat="1" ht="15" customHeight="1" thickBot="1" x14ac:dyDescent="0.35">
      <c r="B7" s="20"/>
      <c r="C7" s="16"/>
      <c r="D7" s="186"/>
      <c r="E7" s="186"/>
      <c r="F7" s="16"/>
      <c r="G7" s="16"/>
      <c r="H7" s="21"/>
      <c r="J7" s="20"/>
      <c r="K7" s="16"/>
      <c r="L7" s="16"/>
      <c r="M7" s="16"/>
      <c r="N7" s="16"/>
      <c r="O7" s="16"/>
      <c r="P7" s="16"/>
      <c r="Q7" s="16"/>
      <c r="R7" s="16"/>
      <c r="S7" s="16"/>
      <c r="T7" s="71"/>
      <c r="U7" s="340"/>
      <c r="V7" s="21"/>
      <c r="W7"/>
      <c r="X7"/>
      <c r="Y7"/>
      <c r="Z7"/>
      <c r="AA7"/>
      <c r="AF7" s="32"/>
      <c r="AH7" s="33" t="s">
        <v>46</v>
      </c>
    </row>
    <row r="8" spans="2:34" ht="15" customHeight="1" thickBot="1" x14ac:dyDescent="0.35">
      <c r="B8" s="22"/>
      <c r="C8" s="195" t="s">
        <v>215</v>
      </c>
      <c r="D8" s="42" t="s">
        <v>159</v>
      </c>
      <c r="E8" s="43" t="s">
        <v>160</v>
      </c>
      <c r="F8" s="42" t="s">
        <v>218</v>
      </c>
      <c r="G8" s="43" t="s">
        <v>219</v>
      </c>
      <c r="H8" s="23"/>
      <c r="I8" s="24"/>
      <c r="J8" s="20"/>
      <c r="K8" s="359" t="s">
        <v>131</v>
      </c>
      <c r="L8" s="360"/>
      <c r="M8" s="360"/>
      <c r="N8" s="360"/>
      <c r="O8" s="360"/>
      <c r="P8" s="360"/>
      <c r="Q8" s="360"/>
      <c r="R8" s="361"/>
      <c r="S8" s="16"/>
      <c r="T8" s="72" t="s">
        <v>47</v>
      </c>
      <c r="U8" s="340" t="s">
        <v>133</v>
      </c>
      <c r="V8" s="21"/>
      <c r="AF8" s="4" t="n">
        <f>YEAR(E9)</f>
        <v>2021</v>
      </c>
      <c r="AG8" t="n">
        <f>MONTH(E9)</f>
        <v>3</v>
      </c>
      <c r="AH8" s="34" t="n">
        <f>(YEAR(D10)-YEAR(D9))*12+MONTH(D10)-MONTH(D9)</f>
        <v>60</v>
      </c>
    </row>
    <row r="9" spans="2:34" ht="15" customHeight="1" x14ac:dyDescent="0.3">
      <c r="B9" s="20"/>
      <c r="C9" s="25" t="s">
        <v>119</v>
      </c>
      <c r="D9" s="196" t="n">
        <f>DATE(AF8-F11,AG8-G11+1,1)</f>
        <v>42461</v>
      </c>
      <c r="E9" s="197" t="n">
        <f>D10-1</f>
        <v>44286</v>
      </c>
      <c r="F9" s="198" t="n">
        <f>ROUNDDOWN(AH8/12,0)</f>
        <v>5</v>
      </c>
      <c r="G9" s="199" t="n">
        <f>AH8-12*F9</f>
        <v>0</v>
      </c>
      <c r="H9" s="21"/>
      <c r="J9" s="20"/>
      <c r="K9" s="362" t="s">
        <v>32</v>
      </c>
      <c r="L9" s="364" t="s">
        <v>33</v>
      </c>
      <c r="M9" s="366" t="s">
        <v>34</v>
      </c>
      <c r="N9" s="344" t="s">
        <v>35</v>
      </c>
      <c r="O9" s="364" t="s">
        <v>37</v>
      </c>
      <c r="P9" s="366" t="s">
        <v>38</v>
      </c>
      <c r="Q9" s="344" t="s">
        <v>36</v>
      </c>
      <c r="R9" s="346" t="s">
        <v>43</v>
      </c>
      <c r="S9" s="16"/>
      <c r="T9" s="16"/>
      <c r="U9" s="340"/>
      <c r="V9" s="21"/>
      <c r="AF9" s="4" t="n">
        <f>YEAR(E10)</f>
        <v>2021</v>
      </c>
      <c r="AG9" t="n">
        <f>MONTH(E10)</f>
        <v>6</v>
      </c>
      <c r="AH9" s="12" t="n">
        <f>(YEAR(D11)-YEAR(D10))*12+MONTH(D11)-MONTH(D10)</f>
        <v>3</v>
      </c>
    </row>
    <row r="10" spans="2:34" ht="15" customHeight="1" thickBot="1" x14ac:dyDescent="0.35">
      <c r="B10" s="20"/>
      <c r="C10" s="26" t="s">
        <v>162</v>
      </c>
      <c r="D10" s="204" t="n">
        <f>DATE(AF9,AG9-(D5-1),1)</f>
        <v>44287</v>
      </c>
      <c r="E10" s="187">
        <v>44377</v>
      </c>
      <c r="F10" s="200" t="n">
        <f>ROUNDDOWN(AH9/12,0)</f>
        <v>0</v>
      </c>
      <c r="G10" s="201" t="n">
        <f>AH9-12*F10</f>
        <v>3</v>
      </c>
      <c r="H10" s="21"/>
      <c r="J10" s="20"/>
      <c r="K10" s="363"/>
      <c r="L10" s="365"/>
      <c r="M10" s="367"/>
      <c r="N10" s="345"/>
      <c r="O10" s="365"/>
      <c r="P10" s="367"/>
      <c r="Q10" s="345"/>
      <c r="R10" s="347"/>
      <c r="S10" s="16"/>
      <c r="T10" s="72" t="s">
        <v>47</v>
      </c>
      <c r="U10" s="340" t="s">
        <v>134</v>
      </c>
      <c r="V10" s="21"/>
      <c r="AF10" s="6"/>
      <c r="AG10" s="7" t="n">
        <f>E11+1</f>
        <v>46204</v>
      </c>
      <c r="AH10" s="35" t="n">
        <f>(YEAR(AG10)-YEAR(D11))*12+MONTH(AG10)-MONTH(D11)</f>
        <v>60</v>
      </c>
    </row>
    <row r="11" spans="2:34" ht="15" customHeight="1" thickBot="1" x14ac:dyDescent="0.35">
      <c r="B11" s="20"/>
      <c r="C11" s="27" t="s">
        <v>120</v>
      </c>
      <c r="D11" s="205" t="n">
        <f>E10+1</f>
        <v>44378</v>
      </c>
      <c r="E11" s="206" t="n">
        <f>D4</f>
        <v>46203</v>
      </c>
      <c r="F11" s="202" t="n">
        <f>ROUNDDOWN(AH10/12,0)</f>
        <v>5</v>
      </c>
      <c r="G11" s="203" t="n">
        <f>AH10-12*F11</f>
        <v>0</v>
      </c>
      <c r="H11" s="21"/>
      <c r="J11" s="20"/>
      <c r="K11" s="281">
        <v>2006</v>
      </c>
      <c r="L11" s="282"/>
      <c r="M11" s="283"/>
      <c r="N11" s="284" t="str">
        <f t="shared" ref="N11:N35" si="0">IF(COUNT(L11:M11) = 0, "",L11/2+M11/2)</f>
        <v/>
      </c>
      <c r="O11" s="282"/>
      <c r="P11" s="283"/>
      <c r="Q11" s="284" t="str">
        <f t="shared" ref="Q11:Q27" si="1">IF(COUNT(O11:P11) = 0, "",O11/2+P11/2)</f>
        <v/>
      </c>
      <c r="R11" s="285" t="str">
        <f t="shared" ref="R11" si="2">IF(COUNT(L11:M11) = 0, "",N11+Q11)</f>
        <v/>
      </c>
      <c r="S11" s="16"/>
      <c r="T11" s="16"/>
      <c r="U11" s="340"/>
      <c r="V11" s="23"/>
      <c r="AB11" s="80"/>
    </row>
    <row r="12" spans="2:34" ht="15" customHeight="1" x14ac:dyDescent="0.3">
      <c r="B12" s="20"/>
      <c r="C12" s="16"/>
      <c r="D12" s="188"/>
      <c r="E12" s="188"/>
      <c r="F12" s="16"/>
      <c r="G12" s="16"/>
      <c r="H12" s="21"/>
      <c r="J12" s="20"/>
      <c r="K12" s="37">
        <v>2007</v>
      </c>
      <c r="L12" s="180"/>
      <c r="M12" s="181"/>
      <c r="N12" s="207" t="str">
        <f t="shared" si="0"/>
        <v/>
      </c>
      <c r="O12" s="180"/>
      <c r="P12" s="181"/>
      <c r="Q12" s="207" t="str">
        <f t="shared" si="1"/>
        <v/>
      </c>
      <c r="R12" s="209" t="str">
        <f>IF(COUNT(L12:M12) = 0, "",N12+Q12)</f>
        <v/>
      </c>
      <c r="S12" s="16"/>
      <c r="T12" s="72" t="s">
        <v>47</v>
      </c>
      <c r="U12" s="340" t="s">
        <v>132</v>
      </c>
      <c r="V12" s="23"/>
      <c r="W12" s="76"/>
    </row>
    <row r="13" spans="2:34" ht="15" customHeight="1" x14ac:dyDescent="0.35">
      <c r="B13" s="45" t="s">
        <v>112</v>
      </c>
      <c r="C13" s="16"/>
      <c r="D13" s="186"/>
      <c r="E13" s="186"/>
      <c r="F13" s="16"/>
      <c r="G13" s="16"/>
      <c r="H13" s="21"/>
      <c r="J13" s="20"/>
      <c r="K13" s="37">
        <v>2008</v>
      </c>
      <c r="L13" s="180"/>
      <c r="M13" s="181"/>
      <c r="N13" s="207" t="str">
        <f t="shared" si="0"/>
        <v/>
      </c>
      <c r="O13" s="180"/>
      <c r="P13" s="181"/>
      <c r="Q13" s="207" t="str">
        <f t="shared" si="1"/>
        <v/>
      </c>
      <c r="R13" s="209" t="str">
        <f t="shared" ref="R13:R22" si="3">IF(COUNT(L13:M13) = 0, "",N13+Q13)</f>
        <v/>
      </c>
      <c r="S13" s="16"/>
      <c r="T13" s="16"/>
      <c r="U13" s="340"/>
      <c r="V13" s="21"/>
      <c r="W13" s="76"/>
    </row>
    <row r="14" spans="2:34" ht="15" customHeight="1" x14ac:dyDescent="0.3">
      <c r="B14" s="28" t="s">
        <v>47</v>
      </c>
      <c r="C14" s="348" t="s">
        <v>221</v>
      </c>
      <c r="D14" s="348"/>
      <c r="E14" s="348"/>
      <c r="F14" s="348"/>
      <c r="G14" s="348"/>
      <c r="H14" s="21"/>
      <c r="J14" s="20"/>
      <c r="K14" s="37">
        <v>2009</v>
      </c>
      <c r="L14" s="180"/>
      <c r="M14" s="181"/>
      <c r="N14" s="207" t="str">
        <f t="shared" si="0"/>
        <v/>
      </c>
      <c r="O14" s="180"/>
      <c r="P14" s="181"/>
      <c r="Q14" s="207" t="str">
        <f t="shared" si="1"/>
        <v/>
      </c>
      <c r="R14" s="209" t="str">
        <f t="shared" si="3"/>
        <v/>
      </c>
      <c r="S14" s="16"/>
      <c r="T14" s="16"/>
      <c r="U14" s="340"/>
      <c r="V14" s="21"/>
    </row>
    <row r="15" spans="2:34" ht="15" customHeight="1" x14ac:dyDescent="0.3">
      <c r="B15" s="20"/>
      <c r="C15" s="348"/>
      <c r="D15" s="348"/>
      <c r="E15" s="348"/>
      <c r="F15" s="348"/>
      <c r="G15" s="348"/>
      <c r="H15" s="21"/>
      <c r="J15" s="20"/>
      <c r="K15" s="37">
        <v>2010</v>
      </c>
      <c r="L15" s="180"/>
      <c r="M15" s="39"/>
      <c r="N15" s="207" t="str">
        <f t="shared" si="0"/>
        <v/>
      </c>
      <c r="O15" s="180"/>
      <c r="P15" s="39"/>
      <c r="Q15" s="207" t="str">
        <f t="shared" si="1"/>
        <v/>
      </c>
      <c r="R15" s="209" t="str">
        <f t="shared" si="3"/>
        <v/>
      </c>
      <c r="S15" s="16"/>
      <c r="T15" s="72" t="s">
        <v>47</v>
      </c>
      <c r="U15" s="340" t="s">
        <v>135</v>
      </c>
      <c r="V15" s="21"/>
    </row>
    <row r="16" spans="2:34" ht="15" customHeight="1" x14ac:dyDescent="0.3">
      <c r="B16" s="28" t="s">
        <v>47</v>
      </c>
      <c r="C16" s="348" t="s">
        <v>222</v>
      </c>
      <c r="D16" s="348"/>
      <c r="E16" s="348"/>
      <c r="F16" s="348"/>
      <c r="G16" s="348"/>
      <c r="H16" s="21"/>
      <c r="J16" s="20"/>
      <c r="K16" s="37">
        <v>2011</v>
      </c>
      <c r="L16" s="40"/>
      <c r="M16" s="181"/>
      <c r="N16" s="207" t="str">
        <f t="shared" si="0"/>
        <v/>
      </c>
      <c r="O16" s="40"/>
      <c r="P16" s="39"/>
      <c r="Q16" s="207" t="str">
        <f t="shared" si="1"/>
        <v/>
      </c>
      <c r="R16" s="209" t="str">
        <f t="shared" si="3"/>
        <v/>
      </c>
      <c r="S16" s="16"/>
      <c r="T16" s="16"/>
      <c r="U16" s="340"/>
      <c r="V16" s="21"/>
    </row>
    <row r="17" spans="2:22" ht="15" customHeight="1" x14ac:dyDescent="0.3">
      <c r="B17" s="20"/>
      <c r="C17" s="348"/>
      <c r="D17" s="348"/>
      <c r="E17" s="348"/>
      <c r="F17" s="348"/>
      <c r="G17" s="348"/>
      <c r="H17" s="21"/>
      <c r="J17" s="20"/>
      <c r="K17" s="37">
        <v>2012</v>
      </c>
      <c r="L17" s="180"/>
      <c r="M17" s="39"/>
      <c r="N17" s="207" t="str">
        <f t="shared" si="0"/>
        <v/>
      </c>
      <c r="O17" s="180"/>
      <c r="P17" s="181"/>
      <c r="Q17" s="207" t="str">
        <f t="shared" si="1"/>
        <v/>
      </c>
      <c r="R17" s="209" t="str">
        <f t="shared" si="3"/>
        <v/>
      </c>
      <c r="S17" s="16"/>
      <c r="T17" s="16"/>
      <c r="U17" s="340"/>
      <c r="V17" s="77"/>
    </row>
    <row r="18" spans="2:22" ht="15" customHeight="1" x14ac:dyDescent="0.3">
      <c r="B18" s="28" t="s">
        <v>47</v>
      </c>
      <c r="C18" s="348" t="s">
        <v>220</v>
      </c>
      <c r="D18" s="348"/>
      <c r="E18" s="348"/>
      <c r="F18" s="348"/>
      <c r="G18" s="348"/>
      <c r="H18" s="21"/>
      <c r="J18" s="20"/>
      <c r="K18" s="37">
        <v>2013</v>
      </c>
      <c r="L18" s="40"/>
      <c r="M18" s="39"/>
      <c r="N18" s="207" t="str">
        <f t="shared" si="0"/>
        <v/>
      </c>
      <c r="O18" s="40"/>
      <c r="P18" s="39"/>
      <c r="Q18" s="207" t="str">
        <f t="shared" si="1"/>
        <v/>
      </c>
      <c r="R18" s="209" t="str">
        <f t="shared" si="3"/>
        <v/>
      </c>
      <c r="S18" s="16"/>
      <c r="T18" s="72" t="s">
        <v>47</v>
      </c>
      <c r="U18" s="16" t="s">
        <v>229</v>
      </c>
      <c r="V18" s="77"/>
    </row>
    <row r="19" spans="2:22" ht="15" customHeight="1" x14ac:dyDescent="0.3">
      <c r="B19" s="28"/>
      <c r="C19" s="348"/>
      <c r="D19" s="348"/>
      <c r="E19" s="348"/>
      <c r="F19" s="348"/>
      <c r="G19" s="348"/>
      <c r="H19" s="21"/>
      <c r="J19" s="20"/>
      <c r="K19" s="37">
        <v>2014</v>
      </c>
      <c r="L19" s="180"/>
      <c r="M19" s="39"/>
      <c r="N19" s="207" t="str">
        <f t="shared" si="0"/>
        <v/>
      </c>
      <c r="O19" s="180"/>
      <c r="P19" s="181"/>
      <c r="Q19" s="207" t="str">
        <f t="shared" si="1"/>
        <v/>
      </c>
      <c r="R19" s="209" t="str">
        <f t="shared" si="3"/>
        <v/>
      </c>
      <c r="S19" s="16"/>
      <c r="T19" s="72" t="s">
        <v>47</v>
      </c>
      <c r="U19" s="348" t="s">
        <v>230</v>
      </c>
      <c r="V19" s="21"/>
    </row>
    <row r="20" spans="2:22" ht="15" customHeight="1" thickBot="1" x14ac:dyDescent="0.35">
      <c r="B20" s="29"/>
      <c r="C20" s="30"/>
      <c r="D20" s="189"/>
      <c r="E20" s="189"/>
      <c r="F20" s="30"/>
      <c r="G20" s="30"/>
      <c r="H20" s="31"/>
      <c r="J20" s="20"/>
      <c r="K20" s="37">
        <v>2015</v>
      </c>
      <c r="L20" s="40"/>
      <c r="M20" s="39"/>
      <c r="N20" s="207" t="str">
        <f t="shared" si="0"/>
        <v/>
      </c>
      <c r="O20" s="40"/>
      <c r="P20" s="39"/>
      <c r="Q20" s="207" t="str">
        <f t="shared" si="1"/>
        <v/>
      </c>
      <c r="R20" s="209" t="str">
        <f t="shared" si="3"/>
        <v/>
      </c>
      <c r="S20" s="16"/>
      <c r="T20" s="16"/>
      <c r="U20" s="348"/>
      <c r="V20" s="21"/>
    </row>
    <row r="21" spans="2:22" ht="15" customHeight="1" x14ac:dyDescent="0.3">
      <c r="J21" s="20"/>
      <c r="K21" s="37">
        <v>2016</v>
      </c>
      <c r="L21" s="180">
        <v>4100</v>
      </c>
      <c r="M21" s="181">
        <v>2200</v>
      </c>
      <c r="N21" s="207" t="n">
        <f t="shared" si="0"/>
        <v>3150</v>
      </c>
      <c r="O21" s="180">
        <v>1400</v>
      </c>
      <c r="P21" s="181">
        <v>1400</v>
      </c>
      <c r="Q21" s="207" t="n">
        <f t="shared" si="1"/>
        <v>1400</v>
      </c>
      <c r="R21" s="209" t="n">
        <f t="shared" si="3"/>
        <v>4550</v>
      </c>
      <c r="S21" s="16"/>
      <c r="T21" s="16"/>
      <c r="U21" s="348"/>
      <c r="V21" s="21"/>
    </row>
    <row r="22" spans="2:22" ht="15" customHeight="1" x14ac:dyDescent="0.3">
      <c r="J22" s="20"/>
      <c r="K22" s="37">
        <v>2017</v>
      </c>
      <c r="L22" s="40">
        <v>4100</v>
      </c>
      <c r="M22" s="39">
        <v>2650</v>
      </c>
      <c r="N22" s="207" t="n">
        <f t="shared" si="0"/>
        <v>3375</v>
      </c>
      <c r="O22" s="40">
        <v>1400</v>
      </c>
      <c r="P22" s="39">
        <v>1400</v>
      </c>
      <c r="Q22" s="207" t="n">
        <f t="shared" si="1"/>
        <v>1400</v>
      </c>
      <c r="R22" s="209" t="n">
        <f t="shared" si="3"/>
        <v>4775</v>
      </c>
      <c r="S22" s="16"/>
      <c r="T22" s="72" t="s">
        <v>47</v>
      </c>
      <c r="U22" s="340" t="s">
        <v>231</v>
      </c>
      <c r="V22" s="21"/>
    </row>
    <row r="23" spans="2:22" ht="15" customHeight="1" x14ac:dyDescent="0.3">
      <c r="J23" s="20"/>
      <c r="K23" s="37">
        <v>2018</v>
      </c>
      <c r="L23" s="180">
        <v>4300</v>
      </c>
      <c r="M23" s="181">
        <v>3100</v>
      </c>
      <c r="N23" s="207" t="n">
        <f t="shared" si="0"/>
        <v>3700</v>
      </c>
      <c r="O23" s="40">
        <v>1400</v>
      </c>
      <c r="P23" s="39">
        <v>1400</v>
      </c>
      <c r="Q23" s="207" t="n">
        <f t="shared" si="1"/>
        <v>1400</v>
      </c>
      <c r="R23" s="209" t="n">
        <f t="shared" ref="R23:R27" si="4">IF(COUNT(L23:M23) = 0, "",N23+Q23)</f>
        <v>5100</v>
      </c>
      <c r="S23" s="16"/>
      <c r="T23" s="16"/>
      <c r="U23" s="340"/>
      <c r="V23" s="21"/>
    </row>
    <row r="24" spans="2:22" ht="15" customHeight="1" x14ac:dyDescent="0.3">
      <c r="J24" s="20"/>
      <c r="K24" s="37">
        <v>2019</v>
      </c>
      <c r="L24" s="40">
        <v>4500</v>
      </c>
      <c r="M24" s="39">
        <v>2850</v>
      </c>
      <c r="N24" s="207" t="n">
        <f t="shared" si="0"/>
        <v>3675</v>
      </c>
      <c r="O24" s="40">
        <v>1400</v>
      </c>
      <c r="P24" s="39">
        <v>1400</v>
      </c>
      <c r="Q24" s="207" t="n">
        <f t="shared" si="1"/>
        <v>1400</v>
      </c>
      <c r="R24" s="209" t="n">
        <f t="shared" si="4"/>
        <v>5075</v>
      </c>
      <c r="S24" s="16"/>
      <c r="T24" s="16"/>
      <c r="U24" s="340"/>
      <c r="V24" s="21"/>
    </row>
    <row r="25" spans="2:22" ht="15" customHeight="1" x14ac:dyDescent="0.3">
      <c r="J25" s="20"/>
      <c r="K25" s="37">
        <v>2020</v>
      </c>
      <c r="L25" s="40">
        <v>4000</v>
      </c>
      <c r="M25" s="39">
        <v>2600</v>
      </c>
      <c r="N25" s="207" t="n">
        <f t="shared" si="0"/>
        <v>3300</v>
      </c>
      <c r="O25" s="40">
        <v>1400</v>
      </c>
      <c r="P25" s="39">
        <v>1400</v>
      </c>
      <c r="Q25" s="207" t="n">
        <f t="shared" si="1"/>
        <v>1400</v>
      </c>
      <c r="R25" s="209" t="n">
        <f t="shared" si="4"/>
        <v>4700</v>
      </c>
      <c r="S25" s="16"/>
      <c r="T25" s="16"/>
      <c r="U25" s="340"/>
      <c r="V25" s="21"/>
    </row>
    <row r="26" spans="2:22" ht="15" customHeight="1" x14ac:dyDescent="0.3">
      <c r="J26" s="20"/>
      <c r="K26" s="37">
        <v>2021</v>
      </c>
      <c r="L26" s="40">
        <v>3500</v>
      </c>
      <c r="M26" s="39">
        <v>2350</v>
      </c>
      <c r="N26" s="207" t="n">
        <f t="shared" si="0"/>
        <v>2925</v>
      </c>
      <c r="O26" s="40">
        <v>1400</v>
      </c>
      <c r="P26" s="39">
        <v>1400</v>
      </c>
      <c r="Q26" s="207" t="n">
        <f t="shared" si="1"/>
        <v>1400</v>
      </c>
      <c r="R26" s="209" t="n">
        <f t="shared" si="4"/>
        <v>4325</v>
      </c>
      <c r="S26" s="16"/>
      <c r="T26" s="16"/>
      <c r="U26" s="340"/>
      <c r="V26" s="21"/>
    </row>
    <row r="27" spans="2:22" ht="15" customHeight="1" x14ac:dyDescent="0.3">
      <c r="J27" s="20"/>
      <c r="K27" s="37">
        <v>2022</v>
      </c>
      <c r="L27" s="40">
        <v>3500</v>
      </c>
      <c r="M27" s="39">
        <v>2100</v>
      </c>
      <c r="N27" s="207" t="n">
        <f t="shared" si="0"/>
        <v>2800</v>
      </c>
      <c r="O27" s="40">
        <v>1400</v>
      </c>
      <c r="P27" s="39">
        <v>1400</v>
      </c>
      <c r="Q27" s="207" t="n">
        <f t="shared" si="1"/>
        <v>1400</v>
      </c>
      <c r="R27" s="209" t="n">
        <f t="shared" si="4"/>
        <v>4200</v>
      </c>
      <c r="S27" s="16"/>
      <c r="T27" s="16"/>
      <c r="U27" s="340"/>
      <c r="V27" s="21"/>
    </row>
    <row r="28" spans="2:22" ht="15" customHeight="1" x14ac:dyDescent="0.3">
      <c r="J28" s="20"/>
      <c r="K28" s="37">
        <v>2023</v>
      </c>
      <c r="L28" s="68">
        <v>3500</v>
      </c>
      <c r="M28" s="69">
        <v>2100</v>
      </c>
      <c r="N28" s="207" t="n">
        <f t="shared" si="0"/>
        <v>2800</v>
      </c>
      <c r="O28" s="68">
        <v>1400</v>
      </c>
      <c r="P28" s="69">
        <v>1400</v>
      </c>
      <c r="Q28" s="207" t="n">
        <f t="shared" ref="Q28:Q35" si="5">IF(COUNT(O28:P28) = 0, "",O28/2+P28/2)</f>
        <v>1400</v>
      </c>
      <c r="R28" s="209" t="n">
        <f t="shared" ref="R28:R35" si="6">IF(COUNT(L28:M28) = 0, "",N28+Q28)</f>
        <v>4200</v>
      </c>
      <c r="S28" s="16"/>
      <c r="T28" s="260" t="s">
        <v>47</v>
      </c>
      <c r="U28" s="261" t="s">
        <v>232</v>
      </c>
      <c r="V28" s="21"/>
    </row>
    <row r="29" spans="2:22" ht="15" customHeight="1" x14ac:dyDescent="0.3">
      <c r="J29" s="20"/>
      <c r="K29" s="37">
        <v>2024</v>
      </c>
      <c r="L29" s="68">
        <v>3500</v>
      </c>
      <c r="M29" s="69">
        <v>2100</v>
      </c>
      <c r="N29" s="207" t="n">
        <f t="shared" si="0"/>
        <v>2800</v>
      </c>
      <c r="O29" s="68">
        <v>1400</v>
      </c>
      <c r="P29" s="69">
        <v>1400</v>
      </c>
      <c r="Q29" s="207" t="n">
        <f t="shared" si="5"/>
        <v>1400</v>
      </c>
      <c r="R29" s="209" t="n">
        <f t="shared" si="6"/>
        <v>4200</v>
      </c>
      <c r="S29" s="16"/>
      <c r="T29" s="262"/>
      <c r="U29" s="261"/>
      <c r="V29" s="21"/>
    </row>
    <row r="30" spans="2:22" ht="15" customHeight="1" x14ac:dyDescent="0.3">
      <c r="J30" s="20"/>
      <c r="K30" s="37">
        <v>2025</v>
      </c>
      <c r="L30" s="279">
        <v>3500</v>
      </c>
      <c r="M30" s="280">
        <v>2100</v>
      </c>
      <c r="N30" s="207" t="n">
        <f t="shared" si="0"/>
        <v>2800</v>
      </c>
      <c r="O30" s="279">
        <v>1400</v>
      </c>
      <c r="P30" s="280">
        <v>1400</v>
      </c>
      <c r="Q30" s="207" t="n">
        <f t="shared" si="5"/>
        <v>1400</v>
      </c>
      <c r="R30" s="209" t="n">
        <f t="shared" si="6"/>
        <v>4200</v>
      </c>
      <c r="S30" s="16"/>
      <c r="T30" s="262"/>
      <c r="U30" s="261"/>
      <c r="V30" s="21"/>
    </row>
    <row r="31" spans="2:22" ht="15" customHeight="1" x14ac:dyDescent="0.3">
      <c r="J31" s="20"/>
      <c r="K31" s="37">
        <v>2026</v>
      </c>
      <c r="L31" s="279">
        <v>3500</v>
      </c>
      <c r="M31" s="280">
        <v>2100</v>
      </c>
      <c r="N31" s="207" t="n">
        <f t="shared" si="0"/>
        <v>2800</v>
      </c>
      <c r="O31" s="279">
        <v>1400</v>
      </c>
      <c r="P31" s="280">
        <v>1400</v>
      </c>
      <c r="Q31" s="207" t="n">
        <f t="shared" si="5"/>
        <v>1400</v>
      </c>
      <c r="R31" s="209" t="n">
        <f t="shared" si="6"/>
        <v>4200</v>
      </c>
      <c r="S31" s="16"/>
      <c r="T31" s="262"/>
      <c r="U31" s="261"/>
      <c r="V31" s="21"/>
    </row>
    <row r="32" spans="2:22" ht="15" customHeight="1" x14ac:dyDescent="0.3">
      <c r="J32" s="20"/>
      <c r="K32" s="37">
        <v>2027</v>
      </c>
      <c r="L32" s="279"/>
      <c r="M32" s="280"/>
      <c r="N32" s="207" t="str">
        <f t="shared" si="0"/>
        <v/>
      </c>
      <c r="O32" s="279"/>
      <c r="P32" s="280"/>
      <c r="Q32" s="207" t="str">
        <f t="shared" si="5"/>
        <v/>
      </c>
      <c r="R32" s="209" t="str">
        <f t="shared" si="6"/>
        <v/>
      </c>
      <c r="S32" s="16"/>
      <c r="T32" s="262"/>
      <c r="U32" s="261"/>
      <c r="V32" s="21"/>
    </row>
    <row r="33" spans="10:22" ht="15" customHeight="1" x14ac:dyDescent="0.3">
      <c r="J33" s="20"/>
      <c r="K33" s="37">
        <v>2028</v>
      </c>
      <c r="L33" s="279"/>
      <c r="M33" s="280"/>
      <c r="N33" s="207" t="str">
        <f t="shared" si="0"/>
        <v/>
      </c>
      <c r="O33" s="279"/>
      <c r="P33" s="280"/>
      <c r="Q33" s="207" t="str">
        <f t="shared" si="5"/>
        <v/>
      </c>
      <c r="R33" s="209" t="str">
        <f t="shared" si="6"/>
        <v/>
      </c>
      <c r="S33" s="16"/>
      <c r="T33" s="262"/>
      <c r="U33" s="261"/>
      <c r="V33" s="21"/>
    </row>
    <row r="34" spans="10:22" ht="15" customHeight="1" x14ac:dyDescent="0.3">
      <c r="J34" s="20"/>
      <c r="K34" s="37">
        <v>2029</v>
      </c>
      <c r="L34" s="279"/>
      <c r="M34" s="280"/>
      <c r="N34" s="207" t="str">
        <f t="shared" si="0"/>
        <v/>
      </c>
      <c r="O34" s="279"/>
      <c r="P34" s="280"/>
      <c r="Q34" s="207" t="str">
        <f t="shared" si="5"/>
        <v/>
      </c>
      <c r="R34" s="209" t="str">
        <f t="shared" si="6"/>
        <v/>
      </c>
      <c r="S34" s="16"/>
      <c r="T34" s="262"/>
      <c r="U34" s="261"/>
      <c r="V34" s="21"/>
    </row>
    <row r="35" spans="10:22" ht="15" customHeight="1" thickBot="1" x14ac:dyDescent="0.35">
      <c r="J35" s="20"/>
      <c r="K35" s="38">
        <v>2030</v>
      </c>
      <c r="L35" s="74"/>
      <c r="M35" s="75"/>
      <c r="N35" s="208" t="str">
        <f t="shared" si="0"/>
        <v/>
      </c>
      <c r="O35" s="74"/>
      <c r="P35" s="75"/>
      <c r="Q35" s="208" t="str">
        <f t="shared" si="5"/>
        <v/>
      </c>
      <c r="R35" s="210" t="str">
        <f t="shared" si="6"/>
        <v/>
      </c>
      <c r="S35" s="16"/>
      <c r="T35" s="262"/>
      <c r="U35" s="261"/>
      <c r="V35" s="21"/>
    </row>
    <row r="36" spans="10:22" ht="15" customHeight="1" thickBot="1" x14ac:dyDescent="0.35">
      <c r="J36" s="29"/>
      <c r="K36" s="70"/>
      <c r="L36" s="70"/>
      <c r="M36" s="70"/>
      <c r="N36" s="70"/>
      <c r="O36" s="70"/>
      <c r="P36" s="70"/>
      <c r="Q36" s="70"/>
      <c r="R36" s="70"/>
      <c r="S36" s="30"/>
      <c r="T36" s="30"/>
      <c r="U36" s="30"/>
      <c r="V36" s="31"/>
    </row>
    <row r="44" spans="10:22" ht="15" customHeight="1" x14ac:dyDescent="0.3"/>
  </sheetData>
  <mergeCells count="31">
    <mergeCell ref="B2:H2"/>
    <mergeCell ref="C14:G15"/>
    <mergeCell ref="C16:G17"/>
    <mergeCell ref="K8:R8"/>
    <mergeCell ref="K9:K10"/>
    <mergeCell ref="L9:L10"/>
    <mergeCell ref="M9:M10"/>
    <mergeCell ref="N9:N10"/>
    <mergeCell ref="O9:O10"/>
    <mergeCell ref="P9:P10"/>
    <mergeCell ref="D5:D6"/>
    <mergeCell ref="J2:V2"/>
    <mergeCell ref="P5:Q5"/>
    <mergeCell ref="P6:Q6"/>
    <mergeCell ref="P4:R4"/>
    <mergeCell ref="F4:G4"/>
    <mergeCell ref="C5:C6"/>
    <mergeCell ref="U22:U27"/>
    <mergeCell ref="AF5:AH5"/>
    <mergeCell ref="Q9:Q10"/>
    <mergeCell ref="R9:R10"/>
    <mergeCell ref="C18:G19"/>
    <mergeCell ref="U5:U7"/>
    <mergeCell ref="U8:U9"/>
    <mergeCell ref="U10:U11"/>
    <mergeCell ref="U12:U14"/>
    <mergeCell ref="U15:U17"/>
    <mergeCell ref="U19:U21"/>
    <mergeCell ref="F6:G6"/>
    <mergeCell ref="F5:G5"/>
    <mergeCell ref="L4:N4"/>
  </mergeCells>
  <dataValidations count="1">
    <dataValidation type="list" allowBlank="1" showInputMessage="1" showErrorMessage="1" sqref="N5:N6" xr:uid="{D7775A4E-4605-4CC2-955C-B5210B86D820}">
      <formula1>$K$9:$K$35</formula1>
    </dataValidation>
  </dataValidations>
  <pageMargins left="0.7" right="0.7" top="0.75" bottom="0.75" header="0.3" footer="0.3"/>
  <pageSetup orientation="portrait" r:id="rId1"/>
  <ignoredErrors>
    <ignoredError sqref="R13:R22"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F6F8E-A9DF-42AF-97FF-CD1E21E3E817}">
  <sheetViews>
    <sheetView workbookViewId="0"/>
  </sheetViews>
  <sheetFormatPr defaultRowHeight="14.4" x14ac:dyDescent="0.3"/>
  <sheetData>
    <row r="1">
      <c r="A1" t="inlineStr">
        <is>
          <t xml:space="preserve">Muni.
Code</t>
        </is>
      </c>
      <c r="B1" t="inlineStr">
        <is>
          <t>On Road</t>
        </is>
      </c>
      <c r="C1" t="inlineStr">
        <is>
          <t>Miles</t>
        </is>
      </c>
      <c r="D1" t="inlineStr">
        <is>
          <t>Dir From</t>
        </is>
      </c>
      <c r="E1" t="inlineStr">
        <is>
          <t>From Road</t>
        </is>
      </c>
      <c r="F1" t="inlineStr">
        <is>
          <t>Toward Road</t>
        </is>
      </c>
      <c r="G1" t="inlineStr">
        <is>
          <t>Milepost Road</t>
        </is>
      </c>
      <c r="H1" t="inlineStr">
        <is>
          <t>MP</t>
        </is>
      </c>
      <c r="I1" t="inlineStr">
        <is>
          <t>MA</t>
        </is>
      </c>
      <c r="J1" t="inlineStr">
        <is>
          <t>Crash ID</t>
        </is>
      </c>
      <c r="K1" t="inlineStr">
        <is>
          <t>Date</t>
        </is>
      </c>
      <c r="L1" t="inlineStr">
        <is>
          <t>T</t>
        </is>
      </c>
      <c r="M1" t="inlineStr">
        <is>
          <t>C</t>
        </is>
      </c>
      <c r="N1" t="inlineStr">
        <is>
          <t>F</t>
        </is>
      </c>
      <c r="O1" t="inlineStr">
        <is>
          <t>L</t>
        </is>
      </c>
      <c r="P1" t="inlineStr">
        <is>
          <t>S</t>
        </is>
      </c>
      <c r="Q1" t="inlineStr">
        <is>
          <t>Latitude</t>
        </is>
      </c>
      <c r="R1" t="inlineStr">
        <is>
          <t>Longitude</t>
        </is>
      </c>
      <c r="S1" t="inlineStr">
        <is>
          <t>Source</t>
        </is>
      </c>
    </row>
    <row r="2">
      <c r="A2" t="inlineStr">
        <is>
          <t>558</t>
        </is>
      </c>
      <c r="B2" t="inlineStr">
        <is>
          <t>*LCL CAR WASH PVA</t>
        </is>
      </c>
      <c r="C2">
        <v>0.001</v>
      </c>
      <c r="D2" t="inlineStr">
        <is>
          <t>E</t>
        </is>
      </c>
      <c r="E2" t="inlineStr">
        <is>
          <t>SR 1001</t>
        </is>
      </c>
      <c r="F2" t="inlineStr">
        <is>
          <t>DEAD END</t>
        </is>
      </c>
      <c r="H2">
        <v>999.999</v>
      </c>
      <c r="J2">
        <v>105722912</v>
      </c>
      <c r="K2" t="inlineStr">
        <is>
          <t>12/18/2018</t>
        </is>
      </c>
      <c r="L2">
        <v>31</v>
      </c>
      <c r="M2">
        <v>1</v>
      </c>
      <c r="N2">
        <v>0</v>
      </c>
      <c r="O2">
        <v>1</v>
      </c>
      <c r="P2" t="inlineStr">
        <is>
          <t>O</t>
        </is>
      </c>
    </row>
    <row r="3">
      <c r="A3" t="inlineStr">
        <is>
          <t>558</t>
        </is>
      </c>
      <c r="B3" t="inlineStr">
        <is>
          <t>*PP 1518 TOM BOYD RD</t>
        </is>
      </c>
      <c r="C3">
        <v>0.014</v>
      </c>
      <c r="D3" t="inlineStr">
        <is>
          <t>W</t>
        </is>
      </c>
      <c r="E3" t="inlineStr">
        <is>
          <t>SR 1619</t>
        </is>
      </c>
      <c r="F3" t="inlineStr">
        <is>
          <t>*LCL -</t>
        </is>
      </c>
      <c r="H3">
        <v>999.999</v>
      </c>
      <c r="J3">
        <v>104698395</v>
      </c>
      <c r="K3" t="inlineStr">
        <is>
          <t>4/9/2016</t>
        </is>
      </c>
      <c r="L3">
        <v>31</v>
      </c>
      <c r="M3">
        <v>1</v>
      </c>
      <c r="N3">
        <v>5</v>
      </c>
      <c r="O3">
        <v>5</v>
      </c>
      <c r="P3" t="inlineStr">
        <is>
          <t>O</t>
        </is>
      </c>
    </row>
    <row r="4">
      <c r="A4" t="inlineStr">
        <is>
          <t>0</t>
        </is>
      </c>
      <c r="B4" t="inlineStr">
        <is>
          <t>*PP 2815 OLD CAMDEN RD</t>
        </is>
      </c>
      <c r="C4">
        <v>0.019</v>
      </c>
      <c r="D4" t="inlineStr">
        <is>
          <t>W</t>
        </is>
      </c>
      <c r="E4" t="inlineStr">
        <is>
          <t>SR 1606</t>
        </is>
      </c>
      <c r="F4" t="inlineStr">
        <is>
          <t>DEAD END</t>
        </is>
      </c>
      <c r="H4">
        <v>999.999</v>
      </c>
      <c r="J4">
        <v>107479024</v>
      </c>
      <c r="K4" t="inlineStr">
        <is>
          <t>10/4/2023</t>
        </is>
      </c>
      <c r="L4">
        <v>20</v>
      </c>
      <c r="M4">
        <v>1</v>
      </c>
      <c r="N4">
        <v>5</v>
      </c>
      <c r="O4">
        <v>5</v>
      </c>
      <c r="P4" t="inlineStr">
        <is>
          <t>O</t>
        </is>
      </c>
    </row>
    <row r="5">
      <c r="A5" t="inlineStr">
        <is>
          <t>558</t>
        </is>
      </c>
      <c r="B5" t="inlineStr">
        <is>
          <t>HAIGLER BAUCOM</t>
        </is>
      </c>
      <c r="C5">
        <v>0.005</v>
      </c>
      <c r="D5" t="inlineStr">
        <is>
          <t>E</t>
        </is>
      </c>
      <c r="E5" t="inlineStr">
        <is>
          <t>SIKES MILL</t>
        </is>
      </c>
      <c r="F5" t="inlineStr">
        <is>
          <t>LOVE MILL</t>
        </is>
      </c>
      <c r="H5">
        <v>999.999</v>
      </c>
      <c r="J5">
        <v>107442545</v>
      </c>
      <c r="K5" t="inlineStr">
        <is>
          <t>8/30/2023</t>
        </is>
      </c>
      <c r="L5">
        <v>21</v>
      </c>
      <c r="M5">
        <v>2</v>
      </c>
      <c r="N5">
        <v>8</v>
      </c>
      <c r="O5">
        <v>1</v>
      </c>
      <c r="P5" t="inlineStr">
        <is>
          <t>O</t>
        </is>
      </c>
    </row>
    <row r="6">
      <c r="A6" t="inlineStr">
        <is>
          <t>558</t>
        </is>
      </c>
      <c r="B6" t="inlineStr">
        <is>
          <t>LOVE MILL</t>
        </is>
      </c>
      <c r="C6">
        <v>0.23</v>
      </c>
      <c r="D6" t="inlineStr">
        <is>
          <t>N</t>
        </is>
      </c>
      <c r="E6" t="inlineStr">
        <is>
          <t>*LCL A G R NANCE RD</t>
        </is>
      </c>
      <c r="F6" t="inlineStr">
        <is>
          <t>ZEBULON WILLIAMS</t>
        </is>
      </c>
      <c r="H6">
        <v>999.999</v>
      </c>
      <c r="J6">
        <v>108377465</v>
      </c>
      <c r="K6" t="inlineStr">
        <is>
          <t>1/20/2026</t>
        </is>
      </c>
      <c r="L6">
        <v>19</v>
      </c>
      <c r="M6">
        <v>1</v>
      </c>
      <c r="N6">
        <v>0</v>
      </c>
      <c r="O6">
        <v>1</v>
      </c>
      <c r="P6" t="inlineStr">
        <is>
          <t>O</t>
        </is>
      </c>
    </row>
    <row r="7">
      <c r="A7" t="inlineStr">
        <is>
          <t>558</t>
        </is>
      </c>
      <c r="B7" t="inlineStr">
        <is>
          <t>LOVE MILL</t>
        </is>
      </c>
      <c r="C7">
        <v>0.0</v>
      </c>
      <c r="E7" t="inlineStr">
        <is>
          <t>*LCL PIEDMONT SCH DR</t>
        </is>
      </c>
      <c r="F7" t="inlineStr">
        <is>
          <t>SIKES MILL</t>
        </is>
      </c>
      <c r="H7">
        <v>999.999</v>
      </c>
      <c r="J7">
        <v>108397947</v>
      </c>
      <c r="K7" t="inlineStr">
        <is>
          <t>2/10/2026</t>
        </is>
      </c>
      <c r="L7">
        <v>26</v>
      </c>
      <c r="M7">
        <v>1</v>
      </c>
      <c r="N7">
        <v>8</v>
      </c>
      <c r="O7">
        <v>1</v>
      </c>
      <c r="P7" t="inlineStr">
        <is>
          <t>O</t>
        </is>
      </c>
    </row>
    <row r="8">
      <c r="A8" t="inlineStr">
        <is>
          <t>558</t>
        </is>
      </c>
      <c r="B8" t="inlineStr">
        <is>
          <t>LOVE MILL</t>
        </is>
      </c>
      <c r="C8">
        <v>0.072</v>
      </c>
      <c r="D8" t="inlineStr">
        <is>
          <t>N</t>
        </is>
      </c>
      <c r="E8" t="inlineStr">
        <is>
          <t>*LCL PURSER RUSHING RD</t>
        </is>
      </c>
      <c r="F8" t="inlineStr">
        <is>
          <t>HAIGLER BAUCOM</t>
        </is>
      </c>
      <c r="H8">
        <v>999.999</v>
      </c>
      <c r="J8">
        <v>107756918</v>
      </c>
      <c r="K8" t="inlineStr">
        <is>
          <t>6/20/2024</t>
        </is>
      </c>
      <c r="L8">
        <v>23</v>
      </c>
      <c r="M8">
        <v>1</v>
      </c>
      <c r="N8">
        <v>5</v>
      </c>
      <c r="O8">
        <v>3</v>
      </c>
      <c r="P8" t="inlineStr">
        <is>
          <t>O</t>
        </is>
      </c>
    </row>
    <row r="9">
      <c r="A9" t="inlineStr">
        <is>
          <t>558</t>
        </is>
      </c>
      <c r="B9" t="inlineStr">
        <is>
          <t>LOVE MILL</t>
        </is>
      </c>
      <c r="C9">
        <v>0.25</v>
      </c>
      <c r="D9" t="inlineStr">
        <is>
          <t>N</t>
        </is>
      </c>
      <c r="E9" t="inlineStr">
        <is>
          <t>*LCL PURSER RUSHING RD</t>
        </is>
      </c>
      <c r="F9" t="inlineStr">
        <is>
          <t>HAIGLER BAUCOM</t>
        </is>
      </c>
      <c r="H9">
        <v>999.999</v>
      </c>
      <c r="J9">
        <v>108479327</v>
      </c>
      <c r="K9" t="inlineStr">
        <is>
          <t>4/28/2026</t>
        </is>
      </c>
      <c r="L9">
        <v>17</v>
      </c>
      <c r="M9">
        <v>1</v>
      </c>
      <c r="N9">
        <v>0</v>
      </c>
      <c r="O9">
        <v>5</v>
      </c>
      <c r="P9" t="inlineStr">
        <is>
          <t>O</t>
        </is>
      </c>
    </row>
    <row r="10">
      <c r="A10" t="inlineStr">
        <is>
          <t>558</t>
        </is>
      </c>
      <c r="B10" t="inlineStr">
        <is>
          <t>PIEDMONT SCHOOL</t>
        </is>
      </c>
      <c r="C10">
        <v>0.019</v>
      </c>
      <c r="D10" t="inlineStr">
        <is>
          <t>N</t>
        </is>
      </c>
      <c r="E10" t="inlineStr">
        <is>
          <t>LOVE MILL</t>
        </is>
      </c>
      <c r="F10" t="inlineStr">
        <is>
          <t>DEAD END</t>
        </is>
      </c>
      <c r="H10">
        <v>999.999</v>
      </c>
      <c r="J10">
        <v>107528155</v>
      </c>
      <c r="K10" t="inlineStr">
        <is>
          <t>11/14/2023</t>
        </is>
      </c>
      <c r="L10">
        <v>21</v>
      </c>
      <c r="M10">
        <v>1</v>
      </c>
      <c r="N10">
        <v>12</v>
      </c>
      <c r="O10">
        <v>1</v>
      </c>
      <c r="P10" t="inlineStr">
        <is>
          <t>O</t>
        </is>
      </c>
    </row>
    <row r="11">
      <c r="A11" t="inlineStr">
        <is>
          <t>558</t>
        </is>
      </c>
      <c r="B11" t="inlineStr">
        <is>
          <t>PIEDMONT SCHOOL</t>
        </is>
      </c>
      <c r="C11">
        <v>0.005</v>
      </c>
      <c r="D11" t="inlineStr">
        <is>
          <t>W</t>
        </is>
      </c>
      <c r="E11" t="inlineStr">
        <is>
          <t>SR 1001</t>
        </is>
      </c>
      <c r="F11" t="inlineStr">
        <is>
          <t>*LCL -</t>
        </is>
      </c>
      <c r="H11">
        <v>999.999</v>
      </c>
      <c r="J11">
        <v>105971602</v>
      </c>
      <c r="K11" t="inlineStr">
        <is>
          <t>8/26/2019</t>
        </is>
      </c>
      <c r="L11">
        <v>24</v>
      </c>
      <c r="M11">
        <v>1</v>
      </c>
      <c r="N11">
        <v>4</v>
      </c>
      <c r="O11">
        <v>1</v>
      </c>
      <c r="P11" t="inlineStr">
        <is>
          <t>O</t>
        </is>
      </c>
    </row>
    <row r="12">
      <c r="A12" t="inlineStr">
        <is>
          <t>558</t>
        </is>
      </c>
      <c r="B12" t="inlineStr">
        <is>
          <t>PVA 2623 SIKES MILL RD</t>
        </is>
      </c>
      <c r="C12">
        <v>0.009</v>
      </c>
      <c r="D12" t="inlineStr">
        <is>
          <t>W</t>
        </is>
      </c>
      <c r="E12" t="inlineStr">
        <is>
          <t>SR 1001</t>
        </is>
      </c>
      <c r="F12" t="inlineStr">
        <is>
          <t>SR 1618</t>
        </is>
      </c>
      <c r="H12">
        <v>999.999</v>
      </c>
      <c r="J12">
        <v>107250998</v>
      </c>
      <c r="K12" t="inlineStr">
        <is>
          <t>2/9/2023</t>
        </is>
      </c>
      <c r="L12">
        <v>20</v>
      </c>
      <c r="M12">
        <v>1</v>
      </c>
      <c r="N12">
        <v>4</v>
      </c>
      <c r="O12">
        <v>1</v>
      </c>
      <c r="P12" t="inlineStr">
        <is>
          <t>O</t>
        </is>
      </c>
    </row>
    <row r="13">
      <c r="A13" t="inlineStr">
        <is>
          <t>0</t>
        </is>
      </c>
      <c r="B13" t="inlineStr">
        <is>
          <t>PVA 3006 SIKES MILL RD</t>
        </is>
      </c>
      <c r="C13">
        <v>0.004</v>
      </c>
      <c r="D13" t="inlineStr">
        <is>
          <t>E</t>
        </is>
      </c>
      <c r="E13" t="inlineStr">
        <is>
          <t>SR 1001</t>
        </is>
      </c>
      <c r="F13" t="inlineStr">
        <is>
          <t>DEAD END</t>
        </is>
      </c>
      <c r="H13">
        <v>999.999</v>
      </c>
      <c r="J13">
        <v>105983673</v>
      </c>
      <c r="K13" t="inlineStr">
        <is>
          <t>9/3/2019</t>
        </is>
      </c>
      <c r="L13">
        <v>21</v>
      </c>
      <c r="M13">
        <v>1</v>
      </c>
      <c r="N13">
        <v>4</v>
      </c>
      <c r="O13">
        <v>1</v>
      </c>
      <c r="P13" t="inlineStr">
        <is>
          <t>O</t>
        </is>
      </c>
    </row>
    <row r="14">
      <c r="A14" t="inlineStr">
        <is>
          <t>558</t>
        </is>
      </c>
      <c r="B14" t="inlineStr">
        <is>
          <t>PVA 3006 SIKES MILL RD</t>
        </is>
      </c>
      <c r="C14">
        <v>0.018</v>
      </c>
      <c r="D14" t="inlineStr">
        <is>
          <t>E</t>
        </is>
      </c>
      <c r="E14" t="inlineStr">
        <is>
          <t>SR 1606</t>
        </is>
      </c>
      <c r="F14" t="inlineStr">
        <is>
          <t>SR 1001</t>
        </is>
      </c>
      <c r="H14">
        <v>999.999</v>
      </c>
      <c r="J14">
        <v>107844251</v>
      </c>
      <c r="K14" t="inlineStr">
        <is>
          <t>9/5/2024</t>
        </is>
      </c>
      <c r="L14">
        <v>31</v>
      </c>
      <c r="M14">
        <v>1</v>
      </c>
      <c r="N14">
        <v>0</v>
      </c>
      <c r="O14">
        <v>1</v>
      </c>
      <c r="P14" t="inlineStr">
        <is>
          <t>O</t>
        </is>
      </c>
      <c r="Q14">
        <v>35.09455</v>
      </c>
      <c r="R14">
        <v>-80.4927</v>
      </c>
      <c r="S14" t="inlineStr">
        <is>
          <t>DMV349</t>
        </is>
      </c>
    </row>
    <row r="15">
      <c r="A15" t="inlineStr">
        <is>
          <t>637</t>
        </is>
      </c>
      <c r="B15" t="inlineStr">
        <is>
          <t>PVA 6609 SIKES MILL RD</t>
        </is>
      </c>
      <c r="C15">
        <v>0.028</v>
      </c>
      <c r="D15" t="inlineStr">
        <is>
          <t>W</t>
        </is>
      </c>
      <c r="E15" t="inlineStr">
        <is>
          <t>SIKES MILL</t>
        </is>
      </c>
      <c r="H15">
        <v>999.999</v>
      </c>
      <c r="J15">
        <v>106254686</v>
      </c>
      <c r="K15" t="inlineStr">
        <is>
          <t>6/19/2020</t>
        </is>
      </c>
      <c r="L15">
        <v>31</v>
      </c>
      <c r="M15">
        <v>1</v>
      </c>
      <c r="N15">
        <v>4</v>
      </c>
      <c r="O15">
        <v>1</v>
      </c>
      <c r="P15" t="inlineStr">
        <is>
          <t>O</t>
        </is>
      </c>
    </row>
    <row r="16">
      <c r="A16" t="inlineStr">
        <is>
          <t>558</t>
        </is>
      </c>
      <c r="B16" t="inlineStr">
        <is>
          <t>PVA 709 SIKES MILL RD</t>
        </is>
      </c>
      <c r="C16">
        <v>0.005</v>
      </c>
      <c r="D16" t="inlineStr">
        <is>
          <t>W</t>
        </is>
      </c>
      <c r="E16" t="inlineStr">
        <is>
          <t>SR 1001</t>
        </is>
      </c>
      <c r="F16" t="inlineStr">
        <is>
          <t>DEAD END</t>
        </is>
      </c>
      <c r="H16">
        <v>999.999</v>
      </c>
      <c r="J16">
        <v>107994713</v>
      </c>
      <c r="K16" t="inlineStr">
        <is>
          <t>1/17/2025</t>
        </is>
      </c>
      <c r="L16">
        <v>20</v>
      </c>
      <c r="M16">
        <v>1</v>
      </c>
      <c r="N16">
        <v>5</v>
      </c>
      <c r="O16">
        <v>2</v>
      </c>
    </row>
    <row r="17">
      <c r="A17" t="inlineStr">
        <is>
          <t>558</t>
        </is>
      </c>
      <c r="B17" t="inlineStr">
        <is>
          <t>PVA MARATHON</t>
        </is>
      </c>
      <c r="C17">
        <v>0.019</v>
      </c>
      <c r="D17" t="inlineStr">
        <is>
          <t>W</t>
        </is>
      </c>
      <c r="E17" t="inlineStr">
        <is>
          <t>SIKES MILL</t>
        </is>
      </c>
      <c r="H17">
        <v>999.999</v>
      </c>
      <c r="J17">
        <v>106584227</v>
      </c>
      <c r="K17" t="inlineStr">
        <is>
          <t>5/25/2021</t>
        </is>
      </c>
      <c r="L17">
        <v>31</v>
      </c>
      <c r="M17">
        <v>1</v>
      </c>
      <c r="N17">
        <v>4</v>
      </c>
      <c r="O17">
        <v>1</v>
      </c>
      <c r="P17" t="inlineStr">
        <is>
          <t>O</t>
        </is>
      </c>
    </row>
    <row r="18">
      <c r="A18" t="inlineStr">
        <is>
          <t>558</t>
        </is>
      </c>
      <c r="B18" t="inlineStr">
        <is>
          <t>PVA MARATHON</t>
        </is>
      </c>
      <c r="C18">
        <v>0.019</v>
      </c>
      <c r="D18" t="inlineStr">
        <is>
          <t>W</t>
        </is>
      </c>
      <c r="E18" t="inlineStr">
        <is>
          <t>SIKES MILL</t>
        </is>
      </c>
      <c r="H18">
        <v>999.999</v>
      </c>
      <c r="J18">
        <v>106303935</v>
      </c>
      <c r="K18" t="inlineStr">
        <is>
          <t>8/12/2020</t>
        </is>
      </c>
      <c r="L18">
        <v>20</v>
      </c>
      <c r="M18">
        <v>1</v>
      </c>
      <c r="N18">
        <v>4</v>
      </c>
      <c r="O18">
        <v>1</v>
      </c>
      <c r="P18" t="inlineStr">
        <is>
          <t>O</t>
        </is>
      </c>
    </row>
    <row r="19">
      <c r="A19" t="inlineStr">
        <is>
          <t>558</t>
        </is>
      </c>
      <c r="B19" t="inlineStr">
        <is>
          <t>PVA MARATHON</t>
        </is>
      </c>
      <c r="C19">
        <v>0.009</v>
      </c>
      <c r="D19" t="inlineStr">
        <is>
          <t>W</t>
        </is>
      </c>
      <c r="E19" t="inlineStr">
        <is>
          <t>SR 1001</t>
        </is>
      </c>
      <c r="F19" t="inlineStr">
        <is>
          <t>SR 1618</t>
        </is>
      </c>
      <c r="H19">
        <v>999.999</v>
      </c>
      <c r="J19">
        <v>108345733</v>
      </c>
      <c r="K19" t="inlineStr">
        <is>
          <t>12/19/2025</t>
        </is>
      </c>
      <c r="L19">
        <v>20</v>
      </c>
      <c r="M19">
        <v>1</v>
      </c>
      <c r="N19">
        <v>4</v>
      </c>
      <c r="O19">
        <v>1</v>
      </c>
      <c r="P19" t="inlineStr">
        <is>
          <t>O</t>
        </is>
      </c>
      <c r="Q19">
        <v>35.08</v>
      </c>
      <c r="R19">
        <v>-80.49</v>
      </c>
      <c r="S19" t="inlineStr">
        <is>
          <t>DMV349</t>
        </is>
      </c>
    </row>
    <row r="20">
      <c r="A20" t="inlineStr">
        <is>
          <t>558</t>
        </is>
      </c>
      <c r="B20" t="inlineStr">
        <is>
          <t>PVA MARATHON GAS</t>
        </is>
      </c>
      <c r="C20">
        <v>0.014</v>
      </c>
      <c r="D20" t="inlineStr">
        <is>
          <t>W</t>
        </is>
      </c>
      <c r="E20" t="inlineStr">
        <is>
          <t>SR 1001</t>
        </is>
      </c>
      <c r="F20" t="inlineStr">
        <is>
          <t>DEAD END</t>
        </is>
      </c>
      <c r="H20">
        <v>999.999</v>
      </c>
      <c r="J20">
        <v>105790718</v>
      </c>
      <c r="K20" t="inlineStr">
        <is>
          <t>3/2/2019</t>
        </is>
      </c>
      <c r="L20">
        <v>31</v>
      </c>
      <c r="M20">
        <v>1</v>
      </c>
      <c r="N20">
        <v>0</v>
      </c>
      <c r="O20">
        <v>1</v>
      </c>
      <c r="P20" t="inlineStr">
        <is>
          <t>O</t>
        </is>
      </c>
    </row>
    <row r="21">
      <c r="A21" t="inlineStr">
        <is>
          <t>558</t>
        </is>
      </c>
      <c r="B21" t="inlineStr">
        <is>
          <t>PVA MARATHON GAS</t>
        </is>
      </c>
      <c r="C21">
        <v>0.019</v>
      </c>
      <c r="D21" t="inlineStr">
        <is>
          <t>W</t>
        </is>
      </c>
      <c r="E21" t="inlineStr">
        <is>
          <t>SR 1001</t>
        </is>
      </c>
      <c r="F21" t="inlineStr">
        <is>
          <t>DEAD END</t>
        </is>
      </c>
      <c r="H21">
        <v>999.999</v>
      </c>
      <c r="J21">
        <v>106747056</v>
      </c>
      <c r="K21" t="inlineStr">
        <is>
          <t>10/29/2021</t>
        </is>
      </c>
      <c r="L21">
        <v>31</v>
      </c>
      <c r="M21">
        <v>1</v>
      </c>
      <c r="N21">
        <v>0</v>
      </c>
      <c r="O21">
        <v>1</v>
      </c>
      <c r="P21" t="inlineStr">
        <is>
          <t>O</t>
        </is>
      </c>
    </row>
    <row r="22">
      <c r="A22" t="inlineStr">
        <is>
          <t>558</t>
        </is>
      </c>
      <c r="B22" t="inlineStr">
        <is>
          <t>PVA MARATHON GAS STATION</t>
        </is>
      </c>
      <c r="C22">
        <v>0.019</v>
      </c>
      <c r="D22" t="inlineStr">
        <is>
          <t>W</t>
        </is>
      </c>
      <c r="E22" t="inlineStr">
        <is>
          <t>SR 1001</t>
        </is>
      </c>
      <c r="F22" t="inlineStr">
        <is>
          <t>DEAD END</t>
        </is>
      </c>
      <c r="H22">
        <v>999.999</v>
      </c>
      <c r="J22">
        <v>107692192</v>
      </c>
      <c r="K22" t="inlineStr">
        <is>
          <t>4/18/2024</t>
        </is>
      </c>
      <c r="L22">
        <v>31</v>
      </c>
      <c r="M22">
        <v>1</v>
      </c>
      <c r="N22">
        <v>4</v>
      </c>
      <c r="O22">
        <v>1</v>
      </c>
      <c r="P22" t="inlineStr">
        <is>
          <t>O</t>
        </is>
      </c>
      <c r="Q22">
        <v>35.0886</v>
      </c>
      <c r="R22">
        <v>-80.49449</v>
      </c>
      <c r="S22" t="inlineStr">
        <is>
          <t>DMV349</t>
        </is>
      </c>
    </row>
    <row r="23">
      <c r="A23" t="inlineStr">
        <is>
          <t>558</t>
        </is>
      </c>
      <c r="B23" t="inlineStr">
        <is>
          <t>PVA MARATHON GAS STATION</t>
        </is>
      </c>
      <c r="C23">
        <v>0.014</v>
      </c>
      <c r="D23" t="inlineStr">
        <is>
          <t>W</t>
        </is>
      </c>
      <c r="E23" t="inlineStr">
        <is>
          <t>SR 1606</t>
        </is>
      </c>
      <c r="F23" t="inlineStr">
        <is>
          <t>SR 1001</t>
        </is>
      </c>
      <c r="H23">
        <v>999.999</v>
      </c>
      <c r="J23">
        <v>105060300</v>
      </c>
      <c r="K23" t="inlineStr">
        <is>
          <t>3/20/2017</t>
        </is>
      </c>
      <c r="L23">
        <v>31</v>
      </c>
      <c r="M23">
        <v>1</v>
      </c>
      <c r="N23">
        <v>4</v>
      </c>
      <c r="O23">
        <v>1</v>
      </c>
      <c r="P23" t="inlineStr">
        <is>
          <t>O</t>
        </is>
      </c>
    </row>
    <row r="24">
      <c r="A24" t="inlineStr">
        <is>
          <t>558</t>
        </is>
      </c>
      <c r="B24" t="inlineStr">
        <is>
          <t>PVA PIEDMONT HIGH SCHOOL</t>
        </is>
      </c>
      <c r="C24">
        <v>0.009</v>
      </c>
      <c r="D24" t="inlineStr">
        <is>
          <t>W</t>
        </is>
      </c>
      <c r="E24" t="inlineStr">
        <is>
          <t>SR 1001</t>
        </is>
      </c>
      <c r="F24" t="inlineStr">
        <is>
          <t>*LCL -</t>
        </is>
      </c>
      <c r="H24">
        <v>999.999</v>
      </c>
      <c r="J24">
        <v>104865813</v>
      </c>
      <c r="K24" t="inlineStr">
        <is>
          <t>9/29/2016</t>
        </is>
      </c>
      <c r="L24">
        <v>21</v>
      </c>
      <c r="M24">
        <v>2</v>
      </c>
      <c r="N24">
        <v>4</v>
      </c>
      <c r="O24">
        <v>1</v>
      </c>
      <c r="P24" t="inlineStr">
        <is>
          <t>C</t>
        </is>
      </c>
    </row>
    <row r="25">
      <c r="A25" t="inlineStr">
        <is>
          <t>558</t>
        </is>
      </c>
      <c r="B25" t="inlineStr">
        <is>
          <t>PVA PIEDMONT HIGH SCHOOL</t>
        </is>
      </c>
      <c r="C25">
        <v>0.017</v>
      </c>
      <c r="D25" t="inlineStr">
        <is>
          <t>W</t>
        </is>
      </c>
      <c r="E25" t="inlineStr">
        <is>
          <t>SR 1001</t>
        </is>
      </c>
      <c r="F25" t="inlineStr">
        <is>
          <t>DEAD END</t>
        </is>
      </c>
      <c r="H25">
        <v>999.999</v>
      </c>
      <c r="J25">
        <v>104945962</v>
      </c>
      <c r="K25" t="inlineStr">
        <is>
          <t>12/12/2016</t>
        </is>
      </c>
      <c r="L25">
        <v>21</v>
      </c>
      <c r="M25">
        <v>1</v>
      </c>
      <c r="N25">
        <v>4</v>
      </c>
      <c r="O25">
        <v>1</v>
      </c>
      <c r="P25" t="inlineStr">
        <is>
          <t>O</t>
        </is>
      </c>
    </row>
    <row r="26">
      <c r="A26" t="inlineStr">
        <is>
          <t>558</t>
        </is>
      </c>
      <c r="B26" t="inlineStr">
        <is>
          <t>PVA PIEDMONT HIGH SCHOOL</t>
        </is>
      </c>
      <c r="C26">
        <v>0.017</v>
      </c>
      <c r="D26" t="inlineStr">
        <is>
          <t>W</t>
        </is>
      </c>
      <c r="E26" t="inlineStr">
        <is>
          <t>SR 1001</t>
        </is>
      </c>
      <c r="F26" t="inlineStr">
        <is>
          <t>DEAD END</t>
        </is>
      </c>
      <c r="H26">
        <v>999.999</v>
      </c>
      <c r="J26">
        <v>104950470</v>
      </c>
      <c r="K26" t="inlineStr">
        <is>
          <t>12/12/2016</t>
        </is>
      </c>
      <c r="L26">
        <v>21</v>
      </c>
      <c r="M26">
        <v>1</v>
      </c>
      <c r="N26">
        <v>4</v>
      </c>
      <c r="O26">
        <v>1</v>
      </c>
      <c r="P26" t="inlineStr">
        <is>
          <t>O</t>
        </is>
      </c>
    </row>
    <row r="27">
      <c r="A27" t="inlineStr">
        <is>
          <t>558</t>
        </is>
      </c>
      <c r="B27" t="inlineStr">
        <is>
          <t>PVA PIEDMONT HIGH SCHOOL</t>
        </is>
      </c>
      <c r="C27">
        <v>0.004</v>
      </c>
      <c r="D27" t="inlineStr">
        <is>
          <t>E</t>
        </is>
      </c>
      <c r="E27" t="inlineStr">
        <is>
          <t>SR 1606</t>
        </is>
      </c>
      <c r="F27" t="inlineStr">
        <is>
          <t>SR 1678</t>
        </is>
      </c>
      <c r="H27">
        <v>999.999</v>
      </c>
      <c r="J27">
        <v>107118944</v>
      </c>
      <c r="K27" t="inlineStr">
        <is>
          <t>10/13/2022</t>
        </is>
      </c>
      <c r="L27">
        <v>31</v>
      </c>
      <c r="M27">
        <v>1</v>
      </c>
      <c r="N27">
        <v>4</v>
      </c>
      <c r="O27">
        <v>1</v>
      </c>
      <c r="P27" t="inlineStr">
        <is>
          <t>O</t>
        </is>
      </c>
    </row>
    <row r="28">
      <c r="A28" t="inlineStr">
        <is>
          <t>558</t>
        </is>
      </c>
      <c r="B28" t="inlineStr">
        <is>
          <t>PVA PIEDMONT HS</t>
        </is>
      </c>
      <c r="C28">
        <v>0.028</v>
      </c>
      <c r="D28" t="inlineStr">
        <is>
          <t>E</t>
        </is>
      </c>
      <c r="E28" t="inlineStr">
        <is>
          <t>SIKES MILL</t>
        </is>
      </c>
      <c r="H28">
        <v>999.999</v>
      </c>
      <c r="J28">
        <v>107711938</v>
      </c>
      <c r="K28" t="inlineStr">
        <is>
          <t>5/7/2024</t>
        </is>
      </c>
      <c r="L28">
        <v>23</v>
      </c>
      <c r="M28">
        <v>1</v>
      </c>
      <c r="N28">
        <v>4</v>
      </c>
      <c r="O28">
        <v>1</v>
      </c>
      <c r="P28" t="inlineStr">
        <is>
          <t>O</t>
        </is>
      </c>
    </row>
    <row r="29">
      <c r="A29" t="inlineStr">
        <is>
          <t>558</t>
        </is>
      </c>
      <c r="B29" t="inlineStr">
        <is>
          <t>PVA PIEDMONT MIDDLE</t>
        </is>
      </c>
      <c r="C29">
        <v>0.0</v>
      </c>
      <c r="E29" t="inlineStr">
        <is>
          <t>SR 1001</t>
        </is>
      </c>
      <c r="F29" t="inlineStr">
        <is>
          <t>DEAD END</t>
        </is>
      </c>
      <c r="H29">
        <v>999.999</v>
      </c>
      <c r="J29">
        <v>105740561</v>
      </c>
      <c r="K29" t="inlineStr">
        <is>
          <t>1/7/2019</t>
        </is>
      </c>
      <c r="L29">
        <v>21</v>
      </c>
      <c r="M29">
        <v>1</v>
      </c>
      <c r="N29">
        <v>8</v>
      </c>
      <c r="O29">
        <v>1</v>
      </c>
      <c r="P29" t="inlineStr">
        <is>
          <t>O</t>
        </is>
      </c>
    </row>
    <row r="30">
      <c r="A30" t="inlineStr">
        <is>
          <t>558</t>
        </is>
      </c>
      <c r="B30" t="inlineStr">
        <is>
          <t>PVA PIEDMONT MIDDLE SCHOOL</t>
        </is>
      </c>
      <c r="C30">
        <v>0.001</v>
      </c>
      <c r="D30" t="inlineStr">
        <is>
          <t>E</t>
        </is>
      </c>
      <c r="E30" t="inlineStr">
        <is>
          <t>SIKES MILL</t>
        </is>
      </c>
      <c r="H30">
        <v>999.999</v>
      </c>
      <c r="J30">
        <v>108247372</v>
      </c>
      <c r="K30" t="inlineStr">
        <is>
          <t>9/30/2025</t>
        </is>
      </c>
      <c r="L30">
        <v>21</v>
      </c>
      <c r="M30">
        <v>2</v>
      </c>
      <c r="N30">
        <v>4</v>
      </c>
      <c r="O30">
        <v>1</v>
      </c>
      <c r="P30" t="inlineStr">
        <is>
          <t>O</t>
        </is>
      </c>
    </row>
    <row r="31">
      <c r="A31" t="inlineStr">
        <is>
          <t>558</t>
        </is>
      </c>
      <c r="B31" t="inlineStr">
        <is>
          <t>PVA PIEDMONT MIDDLE SCHOOL</t>
        </is>
      </c>
      <c r="C31">
        <v>0.019</v>
      </c>
      <c r="D31" t="inlineStr">
        <is>
          <t>E</t>
        </is>
      </c>
      <c r="E31" t="inlineStr">
        <is>
          <t>SIKES MILL</t>
        </is>
      </c>
      <c r="H31">
        <v>999.999</v>
      </c>
      <c r="J31">
        <v>107683218</v>
      </c>
      <c r="K31" t="inlineStr">
        <is>
          <t>4/11/2024</t>
        </is>
      </c>
      <c r="L31">
        <v>31</v>
      </c>
      <c r="M31">
        <v>2</v>
      </c>
      <c r="N31">
        <v>4</v>
      </c>
      <c r="O31">
        <v>1</v>
      </c>
      <c r="P31" t="inlineStr">
        <is>
          <t>O</t>
        </is>
      </c>
    </row>
    <row r="32">
      <c r="A32" t="inlineStr">
        <is>
          <t>558</t>
        </is>
      </c>
      <c r="B32" t="inlineStr">
        <is>
          <t>PVA PIEDMONT MIDDLE SCHOOL</t>
        </is>
      </c>
      <c r="C32">
        <v>0.019</v>
      </c>
      <c r="D32" t="inlineStr">
        <is>
          <t>E</t>
        </is>
      </c>
      <c r="E32" t="inlineStr">
        <is>
          <t>SR 1606</t>
        </is>
      </c>
      <c r="F32" t="inlineStr">
        <is>
          <t>DEAD END</t>
        </is>
      </c>
      <c r="H32">
        <v>999.999</v>
      </c>
      <c r="J32">
        <v>105226618</v>
      </c>
      <c r="K32" t="inlineStr">
        <is>
          <t>9/20/2017</t>
        </is>
      </c>
      <c r="L32">
        <v>21</v>
      </c>
      <c r="M32">
        <v>1</v>
      </c>
      <c r="N32">
        <v>8</v>
      </c>
      <c r="O32">
        <v>1</v>
      </c>
      <c r="P32" t="inlineStr">
        <is>
          <t>O</t>
        </is>
      </c>
    </row>
    <row r="33">
      <c r="A33" t="inlineStr">
        <is>
          <t>558</t>
        </is>
      </c>
      <c r="B33" t="inlineStr">
        <is>
          <t>SIKES MILL</t>
        </is>
      </c>
      <c r="C33">
        <v>0.14</v>
      </c>
      <c r="D33" t="inlineStr">
        <is>
          <t>N</t>
        </is>
      </c>
      <c r="E33" t="inlineStr">
        <is>
          <t>*LCL PIEDMONT SCH DR</t>
        </is>
      </c>
      <c r="F33" t="inlineStr">
        <is>
          <t>HAIGLER BAUCOM</t>
        </is>
      </c>
      <c r="H33">
        <v>999.999</v>
      </c>
      <c r="J33">
        <v>108319024</v>
      </c>
      <c r="K33" t="inlineStr">
        <is>
          <t>11/25/2025</t>
        </is>
      </c>
      <c r="L33">
        <v>24</v>
      </c>
      <c r="M33">
        <v>1</v>
      </c>
      <c r="N33">
        <v>4</v>
      </c>
      <c r="O33">
        <v>1</v>
      </c>
      <c r="P33" t="inlineStr">
        <is>
          <t>B</t>
        </is>
      </c>
    </row>
    <row r="34">
      <c r="A34" t="inlineStr">
        <is>
          <t>558</t>
        </is>
      </c>
      <c r="B34" t="inlineStr">
        <is>
          <t>SIKES MILL</t>
        </is>
      </c>
      <c r="C34">
        <v>0.038</v>
      </c>
      <c r="D34" t="inlineStr">
        <is>
          <t>N</t>
        </is>
      </c>
      <c r="E34" t="inlineStr">
        <is>
          <t>*LCL PIEDMONT SCH RD</t>
        </is>
      </c>
      <c r="F34" t="inlineStr">
        <is>
          <t>HAIGLER BAUCOM</t>
        </is>
      </c>
      <c r="H34">
        <v>999.999</v>
      </c>
      <c r="J34">
        <v>107926331</v>
      </c>
      <c r="K34" t="inlineStr">
        <is>
          <t>11/15/2024</t>
        </is>
      </c>
      <c r="L34">
        <v>24</v>
      </c>
      <c r="M34">
        <v>1</v>
      </c>
      <c r="N34">
        <v>4</v>
      </c>
      <c r="O34">
        <v>1</v>
      </c>
      <c r="P34" t="inlineStr">
        <is>
          <t>O</t>
        </is>
      </c>
    </row>
    <row r="35">
      <c r="A35" t="inlineStr">
        <is>
          <t>558</t>
        </is>
      </c>
      <c r="B35" t="inlineStr">
        <is>
          <t>SR 1001</t>
        </is>
      </c>
      <c r="C35">
        <v>0.0</v>
      </c>
      <c r="E35" t="inlineStr">
        <is>
          <t>*LCL PEIDMONT SCHOOL RD</t>
        </is>
      </c>
      <c r="F35" t="inlineStr">
        <is>
          <t>SR 1674</t>
        </is>
      </c>
      <c r="H35">
        <v>999.999</v>
      </c>
      <c r="J35">
        <v>108430866</v>
      </c>
      <c r="K35" t="inlineStr">
        <is>
          <t>3/13/2026</t>
        </is>
      </c>
      <c r="L35">
        <v>24</v>
      </c>
      <c r="M35">
        <v>1</v>
      </c>
      <c r="N35">
        <v>5</v>
      </c>
      <c r="O35">
        <v>1</v>
      </c>
      <c r="P35" t="inlineStr">
        <is>
          <t>C</t>
        </is>
      </c>
      <c r="Q35">
        <v>35.093641</v>
      </c>
      <c r="R35">
        <v>-80.4873</v>
      </c>
      <c r="S35" t="inlineStr">
        <is>
          <t>DMV349CLEANED</t>
        </is>
      </c>
    </row>
    <row r="36">
      <c r="A36" t="inlineStr">
        <is>
          <t>0</t>
        </is>
      </c>
      <c r="B36" t="inlineStr">
        <is>
          <t>SR 1606</t>
        </is>
      </c>
      <c r="C36">
        <v>0.25</v>
      </c>
      <c r="D36" t="inlineStr">
        <is>
          <t>S</t>
        </is>
      </c>
      <c r="E36" t="inlineStr">
        <is>
          <t>*LCL BIGGERS CEMETERY RD</t>
        </is>
      </c>
      <c r="F36" t="inlineStr">
        <is>
          <t>OLD FERRY</t>
        </is>
      </c>
      <c r="H36">
        <v>999.999</v>
      </c>
      <c r="J36">
        <v>105935402</v>
      </c>
      <c r="K36" t="inlineStr">
        <is>
          <t>7/22/2019</t>
        </is>
      </c>
      <c r="L36">
        <v>29</v>
      </c>
      <c r="M36">
        <v>1</v>
      </c>
      <c r="N36">
        <v>0</v>
      </c>
      <c r="O36">
        <v>1</v>
      </c>
      <c r="P36" t="inlineStr">
        <is>
          <t>O</t>
        </is>
      </c>
    </row>
    <row r="37">
      <c r="A37" t="inlineStr">
        <is>
          <t>0</t>
        </is>
      </c>
      <c r="B37" t="inlineStr">
        <is>
          <t>SR 1606</t>
        </is>
      </c>
      <c r="C37">
        <v>0.3</v>
      </c>
      <c r="D37" t="inlineStr">
        <is>
          <t>E</t>
        </is>
      </c>
      <c r="E37" t="inlineStr">
        <is>
          <t>*LCL CAMDEN OAKS LN</t>
        </is>
      </c>
      <c r="F37" t="inlineStr">
        <is>
          <t>SR 1006</t>
        </is>
      </c>
      <c r="H37">
        <v>999.999</v>
      </c>
      <c r="J37">
        <v>106214571</v>
      </c>
      <c r="K37" t="inlineStr">
        <is>
          <t>4/30/2020</t>
        </is>
      </c>
      <c r="L37">
        <v>29</v>
      </c>
      <c r="M37">
        <v>1</v>
      </c>
      <c r="N37">
        <v>1</v>
      </c>
      <c r="O37">
        <v>1</v>
      </c>
      <c r="P37" t="inlineStr">
        <is>
          <t>O</t>
        </is>
      </c>
    </row>
    <row r="38">
      <c r="A38" t="inlineStr">
        <is>
          <t>558</t>
        </is>
      </c>
      <c r="B38" t="inlineStr">
        <is>
          <t>TOM BOYD</t>
        </is>
      </c>
      <c r="C38">
        <v>0.024</v>
      </c>
      <c r="D38" t="inlineStr">
        <is>
          <t>SE</t>
        </is>
      </c>
      <c r="E38" t="inlineStr">
        <is>
          <t>*LCL LATHAN WOODS DR</t>
        </is>
      </c>
      <c r="F38" t="inlineStr">
        <is>
          <t>OLD CAMDEN</t>
        </is>
      </c>
      <c r="H38">
        <v>999.999</v>
      </c>
      <c r="J38">
        <v>104734401</v>
      </c>
      <c r="K38" t="inlineStr">
        <is>
          <t>5/12/2016</t>
        </is>
      </c>
      <c r="L38">
        <v>21</v>
      </c>
      <c r="M38">
        <v>2</v>
      </c>
      <c r="N38">
        <v>5</v>
      </c>
      <c r="O38">
        <v>5</v>
      </c>
      <c r="P38" t="inlineStr">
        <is>
          <t>O</t>
        </is>
      </c>
    </row>
    <row r="39">
      <c r="A39" t="inlineStr">
        <is>
          <t>558</t>
        </is>
      </c>
      <c r="B39" t="inlineStr">
        <is>
          <t>TOM BOYD</t>
        </is>
      </c>
      <c r="C39">
        <v>0.0</v>
      </c>
      <c r="E39" t="inlineStr">
        <is>
          <t>OLD CAMDEN</t>
        </is>
      </c>
      <c r="F39" t="inlineStr">
        <is>
          <t>SIKES MILL</t>
        </is>
      </c>
      <c r="H39">
        <v>999.999</v>
      </c>
      <c r="J39">
        <v>105415127</v>
      </c>
      <c r="K39" t="inlineStr">
        <is>
          <t>3/12/2018</t>
        </is>
      </c>
      <c r="L39">
        <v>30</v>
      </c>
      <c r="M39">
        <v>2</v>
      </c>
      <c r="N39">
        <v>7</v>
      </c>
      <c r="O39">
        <v>1</v>
      </c>
      <c r="P39" t="inlineStr">
        <is>
          <t>C</t>
        </is>
      </c>
    </row>
    <row r="40">
      <c r="A40" t="inlineStr">
        <is>
          <t>558</t>
        </is>
      </c>
      <c r="B40" t="inlineStr">
        <is>
          <t>TOM BOYD</t>
        </is>
      </c>
      <c r="C40">
        <v>0.16</v>
      </c>
      <c r="D40" t="inlineStr">
        <is>
          <t>NE</t>
        </is>
      </c>
      <c r="E40" t="inlineStr">
        <is>
          <t>OLD CAMDEN</t>
        </is>
      </c>
      <c r="F40" t="inlineStr">
        <is>
          <t>*LCL LATHAM WOODS DR</t>
        </is>
      </c>
      <c r="H40">
        <v>999.999</v>
      </c>
      <c r="J40">
        <v>106910957</v>
      </c>
      <c r="K40" t="inlineStr">
        <is>
          <t>4/4/2022</t>
        </is>
      </c>
      <c r="L40">
        <v>17</v>
      </c>
      <c r="M40">
        <v>1</v>
      </c>
      <c r="N40">
        <v>0</v>
      </c>
      <c r="O40">
        <v>5</v>
      </c>
      <c r="P40" t="inlineStr">
        <is>
          <t>O</t>
        </is>
      </c>
    </row>
    <row r="41">
      <c r="A41" t="inlineStr">
        <is>
          <t>558</t>
        </is>
      </c>
      <c r="B41" t="inlineStr">
        <is>
          <t>TOM BOYD</t>
        </is>
      </c>
      <c r="C41">
        <v>0.36</v>
      </c>
      <c r="D41" t="inlineStr">
        <is>
          <t>E</t>
        </is>
      </c>
      <c r="E41" t="inlineStr">
        <is>
          <t>OLD CAMDEN</t>
        </is>
      </c>
      <c r="F41" t="inlineStr">
        <is>
          <t>SIKES MILL</t>
        </is>
      </c>
      <c r="H41">
        <v>999.999</v>
      </c>
      <c r="J41">
        <v>108277405</v>
      </c>
      <c r="K41" t="inlineStr">
        <is>
          <t>10/24/2025</t>
        </is>
      </c>
      <c r="L41">
        <v>17</v>
      </c>
      <c r="M41">
        <v>1</v>
      </c>
      <c r="N41">
        <v>0</v>
      </c>
      <c r="O41">
        <v>3</v>
      </c>
      <c r="P41" t="inlineStr">
        <is>
          <t>B</t>
        </is>
      </c>
    </row>
    <row r="42">
      <c r="A42" t="inlineStr">
        <is>
          <t>558</t>
        </is>
      </c>
      <c r="B42" t="inlineStr">
        <is>
          <t>TOM BOYD</t>
        </is>
      </c>
      <c r="C42">
        <v>0.29</v>
      </c>
      <c r="D42" t="inlineStr">
        <is>
          <t>SE</t>
        </is>
      </c>
      <c r="E42" t="inlineStr">
        <is>
          <t>SIKES MILL</t>
        </is>
      </c>
      <c r="F42" t="inlineStr">
        <is>
          <t>OLD CAMDEN</t>
        </is>
      </c>
      <c r="H42">
        <v>999.999</v>
      </c>
      <c r="J42">
        <v>107906736</v>
      </c>
      <c r="K42" t="inlineStr">
        <is>
          <t>10/28/2024</t>
        </is>
      </c>
      <c r="L42">
        <v>17</v>
      </c>
      <c r="M42">
        <v>1</v>
      </c>
      <c r="N42">
        <v>0</v>
      </c>
      <c r="O42">
        <v>5</v>
      </c>
      <c r="P42" t="inlineStr">
        <is>
          <t>O</t>
        </is>
      </c>
    </row>
    <row r="43">
      <c r="A43" t="inlineStr">
        <is>
          <t>558</t>
        </is>
      </c>
      <c r="B43" t="inlineStr">
        <is>
          <t>TOM BOYD</t>
        </is>
      </c>
      <c r="C43">
        <v>0.011</v>
      </c>
      <c r="D43" t="inlineStr">
        <is>
          <t>S</t>
        </is>
      </c>
      <c r="E43" t="inlineStr">
        <is>
          <t>UNIONVILLE</t>
        </is>
      </c>
      <c r="F43" t="inlineStr">
        <is>
          <t>SIKES MILL</t>
        </is>
      </c>
      <c r="H43">
        <v>999.999</v>
      </c>
      <c r="J43">
        <v>105230136</v>
      </c>
      <c r="K43" t="inlineStr">
        <is>
          <t>9/19/2017</t>
        </is>
      </c>
      <c r="L43">
        <v>13</v>
      </c>
      <c r="M43">
        <v>1</v>
      </c>
      <c r="N43">
        <v>8</v>
      </c>
      <c r="O43">
        <v>1</v>
      </c>
      <c r="P43" t="inlineStr">
        <is>
          <t>O</t>
        </is>
      </c>
    </row>
    <row r="44">
      <c r="A44" t="inlineStr">
        <is>
          <t>558</t>
        </is>
      </c>
      <c r="B44" t="inlineStr">
        <is>
          <t>LAWYERS</t>
        </is>
      </c>
      <c r="C44">
        <v>0.005</v>
      </c>
      <c r="D44" t="inlineStr">
        <is>
          <t>SE</t>
        </is>
      </c>
      <c r="E44" t="inlineStr">
        <is>
          <t>SIKES MILL</t>
        </is>
      </c>
      <c r="F44" t="inlineStr">
        <is>
          <t>OLD CAMDEN</t>
        </is>
      </c>
      <c r="G44" t="inlineStr">
        <is>
          <t>LAWYERS</t>
        </is>
      </c>
      <c r="H44">
        <v>999.999</v>
      </c>
      <c r="J44">
        <v>107493499</v>
      </c>
      <c r="K44" t="inlineStr">
        <is>
          <t>10/18/2023</t>
        </is>
      </c>
      <c r="L44">
        <v>21</v>
      </c>
      <c r="M44">
        <v>1</v>
      </c>
      <c r="N44">
        <v>10</v>
      </c>
      <c r="O44">
        <v>1</v>
      </c>
      <c r="P44" t="inlineStr">
        <is>
          <t>O</t>
        </is>
      </c>
      <c r="Q44">
        <v>35.088954</v>
      </c>
      <c r="R44">
        <v>-80.493752</v>
      </c>
      <c r="S44" t="inlineStr">
        <is>
          <t>ITRE_CMV</t>
        </is>
      </c>
    </row>
    <row r="45">
      <c r="A45" t="inlineStr">
        <is>
          <t>558</t>
        </is>
      </c>
      <c r="B45" t="inlineStr">
        <is>
          <t>LOVE MILL</t>
        </is>
      </c>
      <c r="C45">
        <v>0.41</v>
      </c>
      <c r="D45" t="inlineStr">
        <is>
          <t>S</t>
        </is>
      </c>
      <c r="E45" t="inlineStr">
        <is>
          <t>BRIEF</t>
        </is>
      </c>
      <c r="F45" t="inlineStr">
        <is>
          <t>NC 218</t>
        </is>
      </c>
      <c r="G45" t="inlineStr">
        <is>
          <t>LOVE MILL</t>
        </is>
      </c>
      <c r="H45">
        <v>999.999</v>
      </c>
      <c r="J45">
        <v>108330211</v>
      </c>
      <c r="K45" t="inlineStr">
        <is>
          <t>12/4/2025</t>
        </is>
      </c>
      <c r="L45">
        <v>17</v>
      </c>
      <c r="M45">
        <v>1</v>
      </c>
      <c r="N45">
        <v>0</v>
      </c>
      <c r="O45">
        <v>5</v>
      </c>
      <c r="P45" t="inlineStr">
        <is>
          <t>O</t>
        </is>
      </c>
    </row>
    <row r="46">
      <c r="A46" t="inlineStr">
        <is>
          <t>558</t>
        </is>
      </c>
      <c r="B46" t="inlineStr">
        <is>
          <t>LOVE MILL</t>
        </is>
      </c>
      <c r="C46">
        <v>0.005</v>
      </c>
      <c r="D46" t="inlineStr">
        <is>
          <t>E</t>
        </is>
      </c>
      <c r="E46" t="inlineStr">
        <is>
          <t>SIKES MILL</t>
        </is>
      </c>
      <c r="F46" t="inlineStr">
        <is>
          <t>PIEDMONT SCHOOL</t>
        </is>
      </c>
      <c r="G46" t="inlineStr">
        <is>
          <t>LOVE MILL</t>
        </is>
      </c>
      <c r="H46">
        <v>999.999</v>
      </c>
      <c r="J46">
        <v>107319671</v>
      </c>
      <c r="K46" t="inlineStr">
        <is>
          <t>4/19/2023</t>
        </is>
      </c>
      <c r="L46">
        <v>21</v>
      </c>
      <c r="M46">
        <v>1</v>
      </c>
      <c r="N46">
        <v>10</v>
      </c>
      <c r="O46">
        <v>1</v>
      </c>
      <c r="P46" t="inlineStr">
        <is>
          <t>O</t>
        </is>
      </c>
    </row>
    <row r="47">
      <c r="A47" t="inlineStr">
        <is>
          <t>558</t>
        </is>
      </c>
      <c r="B47" t="inlineStr">
        <is>
          <t>LOVE MILL</t>
        </is>
      </c>
      <c r="C47">
        <v>0.19</v>
      </c>
      <c r="D47" t="inlineStr">
        <is>
          <t>NE</t>
        </is>
      </c>
      <c r="E47" t="inlineStr">
        <is>
          <t>SIKES MILL</t>
        </is>
      </c>
      <c r="F47" t="inlineStr">
        <is>
          <t>PIEDMONT SCHOOL</t>
        </is>
      </c>
      <c r="G47" t="inlineStr">
        <is>
          <t>LOVE MILL</t>
        </is>
      </c>
      <c r="H47">
        <v>999.999</v>
      </c>
      <c r="J47">
        <v>107148213</v>
      </c>
      <c r="K47" t="inlineStr">
        <is>
          <t>11/16/2022</t>
        </is>
      </c>
      <c r="L47">
        <v>21</v>
      </c>
      <c r="M47">
        <v>1</v>
      </c>
      <c r="N47">
        <v>0</v>
      </c>
      <c r="O47">
        <v>1</v>
      </c>
      <c r="P47" t="inlineStr">
        <is>
          <t>O</t>
        </is>
      </c>
    </row>
    <row r="48">
      <c r="A48" t="inlineStr">
        <is>
          <t>558</t>
        </is>
      </c>
      <c r="B48" t="inlineStr">
        <is>
          <t>LOVE MILL</t>
        </is>
      </c>
      <c r="C48">
        <v>0.2</v>
      </c>
      <c r="D48" t="inlineStr">
        <is>
          <t>NE</t>
        </is>
      </c>
      <c r="E48" t="inlineStr">
        <is>
          <t>SIKES MILL</t>
        </is>
      </c>
      <c r="F48" t="inlineStr">
        <is>
          <t>*LCL PURSER RUSHING RD</t>
        </is>
      </c>
      <c r="G48" t="inlineStr">
        <is>
          <t>LOVE MILL</t>
        </is>
      </c>
      <c r="H48">
        <v>999.999</v>
      </c>
      <c r="J48">
        <v>105536078</v>
      </c>
      <c r="K48" t="inlineStr">
        <is>
          <t>7/9/2018</t>
        </is>
      </c>
      <c r="L48">
        <v>17</v>
      </c>
      <c r="M48">
        <v>1</v>
      </c>
      <c r="N48">
        <v>0</v>
      </c>
      <c r="O48">
        <v>2</v>
      </c>
      <c r="P48" t="inlineStr">
        <is>
          <t>O</t>
        </is>
      </c>
    </row>
    <row r="49">
      <c r="A49" t="inlineStr">
        <is>
          <t>558</t>
        </is>
      </c>
      <c r="B49" t="inlineStr">
        <is>
          <t>NC 200</t>
        </is>
      </c>
      <c r="C49">
        <v>0.0</v>
      </c>
      <c r="E49" t="inlineStr">
        <is>
          <t>SR 1606</t>
        </is>
      </c>
      <c r="F49" t="inlineStr">
        <is>
          <t>SR 1633</t>
        </is>
      </c>
      <c r="G49" t="inlineStr">
        <is>
          <t>NC 200</t>
        </is>
      </c>
      <c r="H49">
        <v>25.69</v>
      </c>
      <c r="J49">
        <v>107224951</v>
      </c>
      <c r="K49" t="inlineStr">
        <is>
          <t>1/22/2023</t>
        </is>
      </c>
      <c r="L49">
        <v>23</v>
      </c>
      <c r="M49">
        <v>2</v>
      </c>
      <c r="N49">
        <v>7</v>
      </c>
      <c r="O49">
        <v>5</v>
      </c>
      <c r="P49" t="inlineStr">
        <is>
          <t>O</t>
        </is>
      </c>
    </row>
    <row r="50">
      <c r="A50" t="inlineStr">
        <is>
          <t>558</t>
        </is>
      </c>
      <c r="B50" t="inlineStr">
        <is>
          <t>NC 200</t>
        </is>
      </c>
      <c r="C50">
        <v>0.0</v>
      </c>
      <c r="E50" t="inlineStr">
        <is>
          <t>SR 1606</t>
        </is>
      </c>
      <c r="F50" t="inlineStr">
        <is>
          <t>SR 1633</t>
        </is>
      </c>
      <c r="G50" t="inlineStr">
        <is>
          <t>NC 200</t>
        </is>
      </c>
      <c r="H50">
        <v>25.69</v>
      </c>
      <c r="J50">
        <v>106326117</v>
      </c>
      <c r="K50" t="inlineStr">
        <is>
          <t>9/2/2020</t>
        </is>
      </c>
      <c r="L50">
        <v>30</v>
      </c>
      <c r="M50">
        <v>1</v>
      </c>
      <c r="N50">
        <v>7</v>
      </c>
      <c r="O50">
        <v>1</v>
      </c>
      <c r="P50" t="inlineStr">
        <is>
          <t>B</t>
        </is>
      </c>
    </row>
    <row r="51">
      <c r="A51" t="inlineStr">
        <is>
          <t>0</t>
        </is>
      </c>
      <c r="B51" t="inlineStr">
        <is>
          <t>NC 200</t>
        </is>
      </c>
      <c r="C51">
        <v>0.0</v>
      </c>
      <c r="E51" t="inlineStr">
        <is>
          <t>SR 1606</t>
        </is>
      </c>
      <c r="F51" t="inlineStr">
        <is>
          <t>SR 1627</t>
        </is>
      </c>
      <c r="G51" t="inlineStr">
        <is>
          <t>NC 200</t>
        </is>
      </c>
      <c r="H51">
        <v>25.69</v>
      </c>
      <c r="J51">
        <v>106253848</v>
      </c>
      <c r="K51" t="inlineStr">
        <is>
          <t>6/12/2020</t>
        </is>
      </c>
      <c r="L51">
        <v>23</v>
      </c>
      <c r="M51">
        <v>1</v>
      </c>
      <c r="N51">
        <v>7</v>
      </c>
      <c r="O51">
        <v>1</v>
      </c>
      <c r="P51" t="inlineStr">
        <is>
          <t>O</t>
        </is>
      </c>
    </row>
    <row r="52">
      <c r="A52" t="inlineStr">
        <is>
          <t>558</t>
        </is>
      </c>
      <c r="B52" t="inlineStr">
        <is>
          <t>NC 200</t>
        </is>
      </c>
      <c r="C52">
        <v>0.0</v>
      </c>
      <c r="E52" t="inlineStr">
        <is>
          <t>SR 1606</t>
        </is>
      </c>
      <c r="F52" t="inlineStr">
        <is>
          <t>SR 1633</t>
        </is>
      </c>
      <c r="G52" t="inlineStr">
        <is>
          <t>NC 200</t>
        </is>
      </c>
      <c r="H52">
        <v>25.69</v>
      </c>
      <c r="J52">
        <v>105848333</v>
      </c>
      <c r="K52" t="inlineStr">
        <is>
          <t>4/26/2019</t>
        </is>
      </c>
      <c r="L52">
        <v>30</v>
      </c>
      <c r="M52">
        <v>1</v>
      </c>
      <c r="N52">
        <v>7</v>
      </c>
      <c r="O52">
        <v>1</v>
      </c>
      <c r="P52" t="inlineStr">
        <is>
          <t>O</t>
        </is>
      </c>
    </row>
    <row r="53">
      <c r="A53" t="inlineStr">
        <is>
          <t>558</t>
        </is>
      </c>
      <c r="B53" t="inlineStr">
        <is>
          <t>NC 200</t>
        </is>
      </c>
      <c r="C53">
        <v>0.0</v>
      </c>
      <c r="E53" t="inlineStr">
        <is>
          <t>SR 1606</t>
        </is>
      </c>
      <c r="F53" t="inlineStr">
        <is>
          <t>SR 1633</t>
        </is>
      </c>
      <c r="G53" t="inlineStr">
        <is>
          <t>NC 200</t>
        </is>
      </c>
      <c r="H53">
        <v>25.69</v>
      </c>
      <c r="J53">
        <v>105422803</v>
      </c>
      <c r="K53" t="inlineStr">
        <is>
          <t>3/19/2018</t>
        </is>
      </c>
      <c r="L53">
        <v>19</v>
      </c>
      <c r="M53">
        <v>1</v>
      </c>
      <c r="N53">
        <v>7</v>
      </c>
      <c r="O53">
        <v>1</v>
      </c>
      <c r="P53" t="inlineStr">
        <is>
          <t>O</t>
        </is>
      </c>
    </row>
    <row r="54">
      <c r="A54" t="inlineStr">
        <is>
          <t>558</t>
        </is>
      </c>
      <c r="B54" t="inlineStr">
        <is>
          <t>NC 200</t>
        </is>
      </c>
      <c r="C54">
        <v>0.01</v>
      </c>
      <c r="D54" t="inlineStr">
        <is>
          <t>N</t>
        </is>
      </c>
      <c r="E54" t="inlineStr">
        <is>
          <t>SR 1606</t>
        </is>
      </c>
      <c r="F54" t="inlineStr">
        <is>
          <t>SR 1637</t>
        </is>
      </c>
      <c r="G54" t="inlineStr">
        <is>
          <t>NC 200</t>
        </is>
      </c>
      <c r="H54">
        <v>25.7</v>
      </c>
      <c r="J54">
        <v>107859973</v>
      </c>
      <c r="K54" t="inlineStr">
        <is>
          <t>9/19/2024</t>
        </is>
      </c>
      <c r="L54">
        <v>19</v>
      </c>
      <c r="M54">
        <v>1</v>
      </c>
      <c r="N54">
        <v>0</v>
      </c>
      <c r="O54">
        <v>1</v>
      </c>
      <c r="P54" t="inlineStr">
        <is>
          <t>B</t>
        </is>
      </c>
      <c r="Q54">
        <v>35.060963</v>
      </c>
      <c r="R54">
        <v>-80.48599</v>
      </c>
      <c r="S54" t="inlineStr">
        <is>
          <t>DMV349CLEANED</t>
        </is>
      </c>
    </row>
    <row r="55">
      <c r="A55" t="inlineStr">
        <is>
          <t>637</t>
        </is>
      </c>
      <c r="B55" t="inlineStr">
        <is>
          <t>NC 218</t>
        </is>
      </c>
      <c r="C55">
        <v>0.019</v>
      </c>
      <c r="D55" t="inlineStr">
        <is>
          <t>W</t>
        </is>
      </c>
      <c r="E55" t="inlineStr">
        <is>
          <t>SIKES MILL</t>
        </is>
      </c>
      <c r="F55" t="inlineStr">
        <is>
          <t>MILL CREEK CHUR</t>
        </is>
      </c>
      <c r="G55" t="inlineStr">
        <is>
          <t>NC 218</t>
        </is>
      </c>
      <c r="H55">
        <v>8.063</v>
      </c>
      <c r="J55">
        <v>108436294</v>
      </c>
      <c r="K55" t="inlineStr">
        <is>
          <t>3/15/2026</t>
        </is>
      </c>
      <c r="L55">
        <v>21</v>
      </c>
      <c r="M55">
        <v>1</v>
      </c>
      <c r="N55">
        <v>0</v>
      </c>
      <c r="O55">
        <v>1</v>
      </c>
      <c r="P55" t="inlineStr">
        <is>
          <t>O</t>
        </is>
      </c>
    </row>
    <row r="56">
      <c r="A56" t="inlineStr">
        <is>
          <t>637</t>
        </is>
      </c>
      <c r="B56" t="inlineStr">
        <is>
          <t>NC 218</t>
        </is>
      </c>
      <c r="C56">
        <v>0.009</v>
      </c>
      <c r="D56" t="inlineStr">
        <is>
          <t>W</t>
        </is>
      </c>
      <c r="E56" t="inlineStr">
        <is>
          <t>SIKES MILL</t>
        </is>
      </c>
      <c r="F56" t="inlineStr">
        <is>
          <t>*LCL CROOKED CREEK CH RD</t>
        </is>
      </c>
      <c r="G56" t="inlineStr">
        <is>
          <t>NC 218</t>
        </is>
      </c>
      <c r="H56">
        <v>8.073</v>
      </c>
      <c r="J56">
        <v>107209411</v>
      </c>
      <c r="K56" t="inlineStr">
        <is>
          <t>1/11/2023</t>
        </is>
      </c>
      <c r="L56">
        <v>21</v>
      </c>
      <c r="M56">
        <v>1</v>
      </c>
      <c r="N56">
        <v>12</v>
      </c>
      <c r="O56">
        <v>1</v>
      </c>
      <c r="P56" t="inlineStr">
        <is>
          <t>C</t>
        </is>
      </c>
    </row>
    <row r="57">
      <c r="A57" t="inlineStr">
        <is>
          <t>637</t>
        </is>
      </c>
      <c r="B57" t="inlineStr">
        <is>
          <t>NC 218</t>
        </is>
      </c>
      <c r="C57">
        <v>0.003</v>
      </c>
      <c r="D57" t="inlineStr">
        <is>
          <t>W</t>
        </is>
      </c>
      <c r="E57" t="inlineStr">
        <is>
          <t>SIKES MILL</t>
        </is>
      </c>
      <c r="F57" t="inlineStr">
        <is>
          <t>CROOKED CRK CH</t>
        </is>
      </c>
      <c r="G57" t="inlineStr">
        <is>
          <t>NC 218</t>
        </is>
      </c>
      <c r="H57">
        <v>8.079</v>
      </c>
      <c r="J57">
        <v>107321738</v>
      </c>
      <c r="K57" t="inlineStr">
        <is>
          <t>5/1/2023</t>
        </is>
      </c>
      <c r="L57">
        <v>21</v>
      </c>
      <c r="M57">
        <v>1</v>
      </c>
      <c r="N57">
        <v>7</v>
      </c>
      <c r="O57">
        <v>1</v>
      </c>
      <c r="P57" t="inlineStr">
        <is>
          <t>C</t>
        </is>
      </c>
    </row>
    <row r="58">
      <c r="A58" t="inlineStr">
        <is>
          <t>637</t>
        </is>
      </c>
      <c r="B58" t="inlineStr">
        <is>
          <t>NC 218</t>
        </is>
      </c>
      <c r="C58">
        <v>0.001</v>
      </c>
      <c r="D58" t="inlineStr">
        <is>
          <t>W</t>
        </is>
      </c>
      <c r="E58" t="inlineStr">
        <is>
          <t>SR 1606</t>
        </is>
      </c>
      <c r="F58" t="inlineStr">
        <is>
          <t>SR 1609</t>
        </is>
      </c>
      <c r="G58" t="inlineStr">
        <is>
          <t>NC 218</t>
        </is>
      </c>
      <c r="H58">
        <v>8.081</v>
      </c>
      <c r="J58">
        <v>104866396</v>
      </c>
      <c r="K58" t="inlineStr">
        <is>
          <t>9/30/2016</t>
        </is>
      </c>
      <c r="L58">
        <v>32</v>
      </c>
      <c r="M58">
        <v>1</v>
      </c>
      <c r="N58">
        <v>7</v>
      </c>
      <c r="O58">
        <v>5</v>
      </c>
      <c r="P58" t="inlineStr">
        <is>
          <t>O</t>
        </is>
      </c>
    </row>
    <row r="59">
      <c r="A59" t="inlineStr">
        <is>
          <t>637</t>
        </is>
      </c>
      <c r="B59" t="inlineStr">
        <is>
          <t>NC 218</t>
        </is>
      </c>
      <c r="C59">
        <v>0.0</v>
      </c>
      <c r="E59" t="inlineStr">
        <is>
          <t>SIKES MILL</t>
        </is>
      </c>
      <c r="F59" t="inlineStr">
        <is>
          <t>*LCL OLD FISH RD</t>
        </is>
      </c>
      <c r="G59" t="inlineStr">
        <is>
          <t>NC 218</t>
        </is>
      </c>
      <c r="H59">
        <v>8.082</v>
      </c>
      <c r="J59">
        <v>108486827</v>
      </c>
      <c r="K59" t="inlineStr">
        <is>
          <t>5/4/2026</t>
        </is>
      </c>
      <c r="L59">
        <v>28</v>
      </c>
      <c r="M59">
        <v>1</v>
      </c>
      <c r="N59">
        <v>10</v>
      </c>
      <c r="O59">
        <v>1</v>
      </c>
      <c r="P59" t="inlineStr">
        <is>
          <t>O</t>
        </is>
      </c>
    </row>
    <row r="60">
      <c r="A60" t="inlineStr">
        <is>
          <t>637</t>
        </is>
      </c>
      <c r="B60" t="inlineStr">
        <is>
          <t>NC 218</t>
        </is>
      </c>
      <c r="C60">
        <v>0.0</v>
      </c>
      <c r="E60" t="inlineStr">
        <is>
          <t>SIKES MILL</t>
        </is>
      </c>
      <c r="F60" t="inlineStr">
        <is>
          <t>BRIEF</t>
        </is>
      </c>
      <c r="G60" t="inlineStr">
        <is>
          <t>NC 218</t>
        </is>
      </c>
      <c r="H60">
        <v>8.082</v>
      </c>
      <c r="J60">
        <v>107751347</v>
      </c>
      <c r="K60" t="inlineStr">
        <is>
          <t>6/14/2024</t>
        </is>
      </c>
      <c r="L60">
        <v>24</v>
      </c>
      <c r="M60">
        <v>1</v>
      </c>
      <c r="N60">
        <v>7</v>
      </c>
      <c r="O60">
        <v>1</v>
      </c>
      <c r="P60" t="inlineStr">
        <is>
          <t>C</t>
        </is>
      </c>
    </row>
    <row r="61">
      <c r="A61" t="inlineStr">
        <is>
          <t>637</t>
        </is>
      </c>
      <c r="B61" t="inlineStr">
        <is>
          <t>NC 218</t>
        </is>
      </c>
      <c r="C61">
        <v>0.0</v>
      </c>
      <c r="E61" t="inlineStr">
        <is>
          <t>SIKES MILL</t>
        </is>
      </c>
      <c r="F61" t="inlineStr">
        <is>
          <t>BRIEF</t>
        </is>
      </c>
      <c r="G61" t="inlineStr">
        <is>
          <t>NC 218</t>
        </is>
      </c>
      <c r="H61">
        <v>8.082</v>
      </c>
      <c r="J61">
        <v>107705518</v>
      </c>
      <c r="K61" t="inlineStr">
        <is>
          <t>5/1/2024</t>
        </is>
      </c>
      <c r="L61">
        <v>23</v>
      </c>
      <c r="M61">
        <v>1</v>
      </c>
      <c r="N61">
        <v>7</v>
      </c>
      <c r="O61">
        <v>1</v>
      </c>
      <c r="P61" t="inlineStr">
        <is>
          <t>C</t>
        </is>
      </c>
    </row>
    <row r="62">
      <c r="A62" t="inlineStr">
        <is>
          <t>637</t>
        </is>
      </c>
      <c r="B62" t="inlineStr">
        <is>
          <t>NC 218</t>
        </is>
      </c>
      <c r="C62">
        <v>0.0</v>
      </c>
      <c r="E62" t="inlineStr">
        <is>
          <t>SIKES MILL</t>
        </is>
      </c>
      <c r="F62" t="inlineStr">
        <is>
          <t>BRIEF</t>
        </is>
      </c>
      <c r="G62" t="inlineStr">
        <is>
          <t>NC 218</t>
        </is>
      </c>
      <c r="H62">
        <v>8.082</v>
      </c>
      <c r="J62">
        <v>107183135</v>
      </c>
      <c r="K62" t="inlineStr">
        <is>
          <t>12/16/2022</t>
        </is>
      </c>
      <c r="L62">
        <v>30</v>
      </c>
      <c r="M62">
        <v>1</v>
      </c>
      <c r="N62">
        <v>7</v>
      </c>
      <c r="O62">
        <v>1</v>
      </c>
      <c r="P62" t="inlineStr">
        <is>
          <t>O</t>
        </is>
      </c>
    </row>
    <row r="63">
      <c r="A63" t="inlineStr">
        <is>
          <t>637</t>
        </is>
      </c>
      <c r="B63" t="inlineStr">
        <is>
          <t>NC 218</t>
        </is>
      </c>
      <c r="C63">
        <v>0.0</v>
      </c>
      <c r="E63" t="inlineStr">
        <is>
          <t>SIKES MILL</t>
        </is>
      </c>
      <c r="F63" t="inlineStr">
        <is>
          <t>BRIEF</t>
        </is>
      </c>
      <c r="G63" t="inlineStr">
        <is>
          <t>NC 218</t>
        </is>
      </c>
      <c r="H63">
        <v>8.082</v>
      </c>
      <c r="J63">
        <v>107035876</v>
      </c>
      <c r="K63" t="inlineStr">
        <is>
          <t>8/4/2022</t>
        </is>
      </c>
      <c r="L63">
        <v>30</v>
      </c>
      <c r="M63">
        <v>1</v>
      </c>
      <c r="N63">
        <v>7</v>
      </c>
      <c r="O63">
        <v>1</v>
      </c>
      <c r="P63" t="inlineStr">
        <is>
          <t>C</t>
        </is>
      </c>
    </row>
    <row r="64">
      <c r="A64" t="inlineStr">
        <is>
          <t>0</t>
        </is>
      </c>
      <c r="B64" t="inlineStr">
        <is>
          <t>NC 218</t>
        </is>
      </c>
      <c r="C64">
        <v>0.0</v>
      </c>
      <c r="E64" t="inlineStr">
        <is>
          <t>SR 1606</t>
        </is>
      </c>
      <c r="F64" t="inlineStr">
        <is>
          <t>SR 1547</t>
        </is>
      </c>
      <c r="G64" t="inlineStr">
        <is>
          <t>NC 218</t>
        </is>
      </c>
      <c r="H64">
        <v>8.082</v>
      </c>
      <c r="J64">
        <v>107659355</v>
      </c>
      <c r="K64" t="inlineStr">
        <is>
          <t>3/16/2024</t>
        </is>
      </c>
      <c r="L64">
        <v>30</v>
      </c>
      <c r="M64">
        <v>1</v>
      </c>
      <c r="N64">
        <v>7</v>
      </c>
      <c r="O64">
        <v>1</v>
      </c>
      <c r="P64" t="inlineStr">
        <is>
          <t>O</t>
        </is>
      </c>
      <c r="Q64">
        <v>35.13035</v>
      </c>
      <c r="R64">
        <v>-80.47907</v>
      </c>
      <c r="S64" t="inlineStr">
        <is>
          <t>DMV349CLEANED</t>
        </is>
      </c>
    </row>
    <row r="65">
      <c r="A65" t="inlineStr">
        <is>
          <t>0</t>
        </is>
      </c>
      <c r="B65" t="inlineStr">
        <is>
          <t>NC 218</t>
        </is>
      </c>
      <c r="C65">
        <v>0.0</v>
      </c>
      <c r="E65" t="inlineStr">
        <is>
          <t>SR 1606</t>
        </is>
      </c>
      <c r="F65" t="inlineStr">
        <is>
          <t>SR 1001</t>
        </is>
      </c>
      <c r="G65" t="inlineStr">
        <is>
          <t>NC 218</t>
        </is>
      </c>
      <c r="H65">
        <v>8.082</v>
      </c>
      <c r="J65">
        <v>107194746</v>
      </c>
      <c r="K65" t="inlineStr">
        <is>
          <t>12/27/2022</t>
        </is>
      </c>
      <c r="L65">
        <v>21</v>
      </c>
      <c r="M65">
        <v>1</v>
      </c>
      <c r="N65">
        <v>7</v>
      </c>
      <c r="O65">
        <v>5</v>
      </c>
      <c r="P65" t="inlineStr">
        <is>
          <t>C</t>
        </is>
      </c>
    </row>
    <row r="66">
      <c r="A66" t="inlineStr">
        <is>
          <t>0</t>
        </is>
      </c>
      <c r="B66" t="inlineStr">
        <is>
          <t>NC 218</t>
        </is>
      </c>
      <c r="C66">
        <v>0.0</v>
      </c>
      <c r="E66" t="inlineStr">
        <is>
          <t>SR 1606</t>
        </is>
      </c>
      <c r="F66" t="inlineStr">
        <is>
          <t>SR 1610</t>
        </is>
      </c>
      <c r="G66" t="inlineStr">
        <is>
          <t>NC 218</t>
        </is>
      </c>
      <c r="H66">
        <v>8.082</v>
      </c>
      <c r="J66">
        <v>107139136</v>
      </c>
      <c r="K66" t="inlineStr">
        <is>
          <t>11/7/2022</t>
        </is>
      </c>
      <c r="L66">
        <v>30</v>
      </c>
      <c r="M66">
        <v>1</v>
      </c>
      <c r="N66">
        <v>7</v>
      </c>
      <c r="O66">
        <v>5</v>
      </c>
      <c r="P66" t="inlineStr">
        <is>
          <t>O</t>
        </is>
      </c>
    </row>
    <row r="67">
      <c r="A67" t="inlineStr">
        <is>
          <t>637</t>
        </is>
      </c>
      <c r="B67" t="inlineStr">
        <is>
          <t>NC 218</t>
        </is>
      </c>
      <c r="C67">
        <v>0.0</v>
      </c>
      <c r="E67" t="inlineStr">
        <is>
          <t>SR 1606</t>
        </is>
      </c>
      <c r="F67" t="inlineStr">
        <is>
          <t>SR 1547</t>
        </is>
      </c>
      <c r="G67" t="inlineStr">
        <is>
          <t>NC 218</t>
        </is>
      </c>
      <c r="H67">
        <v>8.082</v>
      </c>
      <c r="J67">
        <v>107122762</v>
      </c>
      <c r="K67" t="inlineStr">
        <is>
          <t>10/20/2022</t>
        </is>
      </c>
      <c r="L67">
        <v>30</v>
      </c>
      <c r="M67">
        <v>1</v>
      </c>
      <c r="N67">
        <v>7</v>
      </c>
      <c r="O67">
        <v>1</v>
      </c>
      <c r="P67" t="inlineStr">
        <is>
          <t>O</t>
        </is>
      </c>
    </row>
    <row r="68">
      <c r="A68" t="inlineStr">
        <is>
          <t>637</t>
        </is>
      </c>
      <c r="B68" t="inlineStr">
        <is>
          <t>NC 218</t>
        </is>
      </c>
      <c r="C68">
        <v>0.0</v>
      </c>
      <c r="E68" t="inlineStr">
        <is>
          <t>SR 1606</t>
        </is>
      </c>
      <c r="F68" t="inlineStr">
        <is>
          <t>SR 1609</t>
        </is>
      </c>
      <c r="G68" t="inlineStr">
        <is>
          <t>NC 218</t>
        </is>
      </c>
      <c r="H68">
        <v>8.082</v>
      </c>
      <c r="J68">
        <v>106620331</v>
      </c>
      <c r="K68" t="inlineStr">
        <is>
          <t>6/24/2021</t>
        </is>
      </c>
      <c r="L68">
        <v>30</v>
      </c>
      <c r="M68">
        <v>1</v>
      </c>
      <c r="N68">
        <v>7</v>
      </c>
      <c r="O68">
        <v>1</v>
      </c>
      <c r="P68" t="inlineStr">
        <is>
          <t>A</t>
        </is>
      </c>
    </row>
    <row r="69">
      <c r="A69" t="inlineStr">
        <is>
          <t>0</t>
        </is>
      </c>
      <c r="B69" t="inlineStr">
        <is>
          <t>NC 218</t>
        </is>
      </c>
      <c r="C69">
        <v>0.0</v>
      </c>
      <c r="E69" t="inlineStr">
        <is>
          <t>SR 1606</t>
        </is>
      </c>
      <c r="F69" t="inlineStr">
        <is>
          <t>SR 1547</t>
        </is>
      </c>
      <c r="G69" t="inlineStr">
        <is>
          <t>NC 218</t>
        </is>
      </c>
      <c r="H69">
        <v>8.082</v>
      </c>
      <c r="J69">
        <v>105491727</v>
      </c>
      <c r="K69" t="inlineStr">
        <is>
          <t>5/23/2018</t>
        </is>
      </c>
      <c r="L69">
        <v>24</v>
      </c>
      <c r="M69">
        <v>1</v>
      </c>
      <c r="N69">
        <v>7</v>
      </c>
      <c r="O69">
        <v>1</v>
      </c>
      <c r="P69" t="inlineStr">
        <is>
          <t>B</t>
        </is>
      </c>
    </row>
    <row r="70">
      <c r="A70" t="inlineStr">
        <is>
          <t>637</t>
        </is>
      </c>
      <c r="B70" t="inlineStr">
        <is>
          <t>NC 218</t>
        </is>
      </c>
      <c r="C70">
        <v>0.0</v>
      </c>
      <c r="E70" t="inlineStr">
        <is>
          <t>SR 1606</t>
        </is>
      </c>
      <c r="F70" t="inlineStr">
        <is>
          <t>SR 1547</t>
        </is>
      </c>
      <c r="G70" t="inlineStr">
        <is>
          <t>NC 218</t>
        </is>
      </c>
      <c r="H70">
        <v>8.082</v>
      </c>
      <c r="J70">
        <v>105344309</v>
      </c>
      <c r="K70" t="inlineStr">
        <is>
          <t>1/6/2018</t>
        </is>
      </c>
      <c r="L70">
        <v>30</v>
      </c>
      <c r="M70">
        <v>1</v>
      </c>
      <c r="N70">
        <v>7</v>
      </c>
      <c r="O70">
        <v>1</v>
      </c>
      <c r="P70" t="inlineStr">
        <is>
          <t>B</t>
        </is>
      </c>
    </row>
    <row r="71">
      <c r="A71" t="inlineStr">
        <is>
          <t>637</t>
        </is>
      </c>
      <c r="B71" t="inlineStr">
        <is>
          <t>NC 218</t>
        </is>
      </c>
      <c r="C71">
        <v>0.0</v>
      </c>
      <c r="E71" t="inlineStr">
        <is>
          <t>SR 1606</t>
        </is>
      </c>
      <c r="F71" t="inlineStr">
        <is>
          <t>SR 1609</t>
        </is>
      </c>
      <c r="G71" t="inlineStr">
        <is>
          <t>NC 218</t>
        </is>
      </c>
      <c r="H71">
        <v>8.082</v>
      </c>
      <c r="J71">
        <v>105184681</v>
      </c>
      <c r="K71" t="inlineStr">
        <is>
          <t>8/8/2017</t>
        </is>
      </c>
      <c r="L71">
        <v>30</v>
      </c>
      <c r="M71">
        <v>2</v>
      </c>
      <c r="N71">
        <v>7</v>
      </c>
      <c r="O71">
        <v>1</v>
      </c>
      <c r="P71" t="inlineStr">
        <is>
          <t>C</t>
        </is>
      </c>
    </row>
    <row r="72">
      <c r="A72" t="inlineStr">
        <is>
          <t>0</t>
        </is>
      </c>
      <c r="B72" t="inlineStr">
        <is>
          <t>NC 218</t>
        </is>
      </c>
      <c r="C72">
        <v>0.0</v>
      </c>
      <c r="E72" t="inlineStr">
        <is>
          <t>SR 1606</t>
        </is>
      </c>
      <c r="F72" t="inlineStr">
        <is>
          <t>NC 200</t>
        </is>
      </c>
      <c r="G72" t="inlineStr">
        <is>
          <t>NC 218</t>
        </is>
      </c>
      <c r="H72">
        <v>8.082</v>
      </c>
      <c r="J72">
        <v>105098258</v>
      </c>
      <c r="K72" t="inlineStr">
        <is>
          <t>5/12/2017</t>
        </is>
      </c>
      <c r="L72">
        <v>30</v>
      </c>
      <c r="M72">
        <v>1</v>
      </c>
      <c r="N72">
        <v>7</v>
      </c>
      <c r="O72">
        <v>1</v>
      </c>
      <c r="P72" t="inlineStr">
        <is>
          <t>O</t>
        </is>
      </c>
    </row>
    <row r="73">
      <c r="A73" t="inlineStr">
        <is>
          <t>558</t>
        </is>
      </c>
      <c r="B73" t="inlineStr">
        <is>
          <t>NC 218</t>
        </is>
      </c>
      <c r="C73">
        <v>0.0</v>
      </c>
      <c r="E73" t="inlineStr">
        <is>
          <t>SR 1606</t>
        </is>
      </c>
      <c r="F73" t="inlineStr">
        <is>
          <t>SR 1547</t>
        </is>
      </c>
      <c r="G73" t="inlineStr">
        <is>
          <t>NC 218</t>
        </is>
      </c>
      <c r="H73">
        <v>8.082</v>
      </c>
      <c r="J73">
        <v>105178395</v>
      </c>
      <c r="K73" t="inlineStr">
        <is>
          <t>7/29/2017</t>
        </is>
      </c>
      <c r="L73">
        <v>30</v>
      </c>
      <c r="M73">
        <v>1</v>
      </c>
      <c r="N73">
        <v>7</v>
      </c>
      <c r="O73">
        <v>5</v>
      </c>
      <c r="P73" t="inlineStr">
        <is>
          <t>O</t>
        </is>
      </c>
    </row>
    <row r="74">
      <c r="A74" t="inlineStr">
        <is>
          <t>558</t>
        </is>
      </c>
      <c r="B74" t="inlineStr">
        <is>
          <t>NC 218</t>
        </is>
      </c>
      <c r="C74">
        <v>0.0</v>
      </c>
      <c r="E74" t="inlineStr">
        <is>
          <t>SR 1606</t>
        </is>
      </c>
      <c r="F74" t="inlineStr">
        <is>
          <t>SR 1111</t>
        </is>
      </c>
      <c r="G74" t="inlineStr">
        <is>
          <t>NC 218</t>
        </is>
      </c>
      <c r="H74">
        <v>8.082</v>
      </c>
      <c r="J74">
        <v>104905109</v>
      </c>
      <c r="K74" t="inlineStr">
        <is>
          <t>11/6/2016</t>
        </is>
      </c>
      <c r="L74">
        <v>30</v>
      </c>
      <c r="M74">
        <v>1</v>
      </c>
      <c r="N74">
        <v>7</v>
      </c>
      <c r="O74">
        <v>1</v>
      </c>
      <c r="P74" t="inlineStr">
        <is>
          <t>C</t>
        </is>
      </c>
    </row>
    <row r="75">
      <c r="A75" t="inlineStr">
        <is>
          <t>637</t>
        </is>
      </c>
      <c r="B75" t="inlineStr">
        <is>
          <t>NC 218</t>
        </is>
      </c>
      <c r="C75">
        <v>0.0</v>
      </c>
      <c r="E75" t="inlineStr">
        <is>
          <t>SR 1606</t>
        </is>
      </c>
      <c r="F75" t="inlineStr">
        <is>
          <t>SR 1657</t>
        </is>
      </c>
      <c r="G75" t="inlineStr">
        <is>
          <t>NC 218</t>
        </is>
      </c>
      <c r="H75">
        <v>8.082</v>
      </c>
      <c r="J75">
        <v>104997979</v>
      </c>
      <c r="K75" t="inlineStr">
        <is>
          <t>2/1/2017</t>
        </is>
      </c>
      <c r="L75">
        <v>30</v>
      </c>
      <c r="M75">
        <v>1</v>
      </c>
      <c r="N75">
        <v>7</v>
      </c>
      <c r="O75">
        <v>5</v>
      </c>
      <c r="P75" t="inlineStr">
        <is>
          <t>B</t>
        </is>
      </c>
    </row>
    <row r="76">
      <c r="A76" t="inlineStr">
        <is>
          <t>637</t>
        </is>
      </c>
      <c r="B76" t="inlineStr">
        <is>
          <t>NC 218</t>
        </is>
      </c>
      <c r="C76">
        <v>0.0</v>
      </c>
      <c r="E76" t="inlineStr">
        <is>
          <t>SR 1606</t>
        </is>
      </c>
      <c r="F76" t="inlineStr">
        <is>
          <t>SR 1609</t>
        </is>
      </c>
      <c r="G76" t="inlineStr">
        <is>
          <t>NC 218</t>
        </is>
      </c>
      <c r="H76">
        <v>8.082</v>
      </c>
      <c r="J76">
        <v>104984617</v>
      </c>
      <c r="K76" t="inlineStr">
        <is>
          <t>1/23/2017</t>
        </is>
      </c>
      <c r="L76">
        <v>30</v>
      </c>
      <c r="M76">
        <v>1</v>
      </c>
      <c r="N76">
        <v>7</v>
      </c>
      <c r="O76">
        <v>1</v>
      </c>
      <c r="P76" t="inlineStr">
        <is>
          <t>C</t>
        </is>
      </c>
    </row>
    <row r="77">
      <c r="A77" t="inlineStr">
        <is>
          <t>637</t>
        </is>
      </c>
      <c r="B77" t="inlineStr">
        <is>
          <t>NC 218</t>
        </is>
      </c>
      <c r="C77">
        <v>0.0</v>
      </c>
      <c r="E77" t="inlineStr">
        <is>
          <t>SR 1606</t>
        </is>
      </c>
      <c r="F77" t="inlineStr">
        <is>
          <t>SR 1547</t>
        </is>
      </c>
      <c r="G77" t="inlineStr">
        <is>
          <t>NC 218</t>
        </is>
      </c>
      <c r="H77">
        <v>8.082</v>
      </c>
      <c r="J77">
        <v>104866502</v>
      </c>
      <c r="K77" t="inlineStr">
        <is>
          <t>9/30/2016</t>
        </is>
      </c>
      <c r="L77">
        <v>24</v>
      </c>
      <c r="M77">
        <v>1</v>
      </c>
      <c r="N77">
        <v>7</v>
      </c>
      <c r="O77">
        <v>5</v>
      </c>
      <c r="P77" t="inlineStr">
        <is>
          <t>A</t>
        </is>
      </c>
    </row>
    <row r="78">
      <c r="A78" t="inlineStr">
        <is>
          <t>0</t>
        </is>
      </c>
      <c r="B78" t="inlineStr">
        <is>
          <t>NC 218</t>
        </is>
      </c>
      <c r="C78">
        <v>0.0</v>
      </c>
      <c r="E78" t="inlineStr">
        <is>
          <t>SR 1606</t>
        </is>
      </c>
      <c r="F78" t="inlineStr">
        <is>
          <t>SR 1001</t>
        </is>
      </c>
      <c r="G78" t="inlineStr">
        <is>
          <t>NC 218</t>
        </is>
      </c>
      <c r="H78">
        <v>8.082</v>
      </c>
      <c r="J78">
        <v>104805272</v>
      </c>
      <c r="K78" t="inlineStr">
        <is>
          <t>7/30/2016</t>
        </is>
      </c>
      <c r="L78">
        <v>30</v>
      </c>
      <c r="M78">
        <v>1</v>
      </c>
      <c r="N78">
        <v>7</v>
      </c>
      <c r="O78">
        <v>1</v>
      </c>
      <c r="P78" t="inlineStr">
        <is>
          <t>C</t>
        </is>
      </c>
    </row>
    <row r="79">
      <c r="A79" t="inlineStr">
        <is>
          <t>637</t>
        </is>
      </c>
      <c r="B79" t="inlineStr">
        <is>
          <t>NC 218</t>
        </is>
      </c>
      <c r="C79">
        <v>0.002</v>
      </c>
      <c r="D79" t="inlineStr">
        <is>
          <t>E</t>
        </is>
      </c>
      <c r="E79" t="inlineStr">
        <is>
          <t>SR 1606</t>
        </is>
      </c>
      <c r="F79" t="inlineStr">
        <is>
          <t>SR 1547</t>
        </is>
      </c>
      <c r="G79" t="inlineStr">
        <is>
          <t>NC 218</t>
        </is>
      </c>
      <c r="H79">
        <v>8.084</v>
      </c>
      <c r="J79">
        <v>105301818</v>
      </c>
      <c r="K79" t="inlineStr">
        <is>
          <t>11/26/2017</t>
        </is>
      </c>
      <c r="L79">
        <v>21</v>
      </c>
      <c r="M79">
        <v>1</v>
      </c>
      <c r="N79">
        <v>0</v>
      </c>
      <c r="O79">
        <v>5</v>
      </c>
      <c r="P79" t="inlineStr">
        <is>
          <t>C</t>
        </is>
      </c>
    </row>
    <row r="80">
      <c r="A80" t="inlineStr">
        <is>
          <t>637</t>
        </is>
      </c>
      <c r="B80" t="inlineStr">
        <is>
          <t>NC 218</t>
        </is>
      </c>
      <c r="C80">
        <v>0.009</v>
      </c>
      <c r="D80" t="inlineStr">
        <is>
          <t>E</t>
        </is>
      </c>
      <c r="E80" t="inlineStr">
        <is>
          <t>SR 1606</t>
        </is>
      </c>
      <c r="F80" t="inlineStr">
        <is>
          <t>SR 1547</t>
        </is>
      </c>
      <c r="G80" t="inlineStr">
        <is>
          <t>NC 218</t>
        </is>
      </c>
      <c r="H80">
        <v>8.091</v>
      </c>
      <c r="J80">
        <v>105152445</v>
      </c>
      <c r="K80" t="inlineStr">
        <is>
          <t>7/6/2017</t>
        </is>
      </c>
      <c r="L80">
        <v>21</v>
      </c>
      <c r="M80">
        <v>1</v>
      </c>
      <c r="N80">
        <v>7</v>
      </c>
      <c r="O80">
        <v>1</v>
      </c>
      <c r="P80" t="inlineStr">
        <is>
          <t>O</t>
        </is>
      </c>
    </row>
    <row r="81">
      <c r="A81" t="inlineStr">
        <is>
          <t>637</t>
        </is>
      </c>
      <c r="B81" t="inlineStr">
        <is>
          <t>NC 218</t>
        </is>
      </c>
      <c r="C81">
        <v>0.01</v>
      </c>
      <c r="D81" t="inlineStr">
        <is>
          <t>E</t>
        </is>
      </c>
      <c r="E81" t="inlineStr">
        <is>
          <t>SR 1606</t>
        </is>
      </c>
      <c r="F81" t="inlineStr">
        <is>
          <t>SR 1547</t>
        </is>
      </c>
      <c r="G81" t="inlineStr">
        <is>
          <t>NC 218</t>
        </is>
      </c>
      <c r="H81">
        <v>8.092</v>
      </c>
      <c r="J81">
        <v>108326425</v>
      </c>
      <c r="K81" t="inlineStr">
        <is>
          <t>11/30/2025</t>
        </is>
      </c>
      <c r="L81">
        <v>21</v>
      </c>
      <c r="M81">
        <v>2</v>
      </c>
      <c r="N81">
        <v>0</v>
      </c>
      <c r="O81">
        <v>5</v>
      </c>
      <c r="P81" t="inlineStr">
        <is>
          <t>O</t>
        </is>
      </c>
      <c r="Q81">
        <v>35.131031</v>
      </c>
      <c r="R81">
        <v>-80.47403</v>
      </c>
      <c r="S81" t="inlineStr">
        <is>
          <t>DMV349CLEANED</t>
        </is>
      </c>
    </row>
    <row r="82">
      <c r="A82" t="inlineStr">
        <is>
          <t>0</t>
        </is>
      </c>
      <c r="B82" t="inlineStr">
        <is>
          <t>NC 218</t>
        </is>
      </c>
      <c r="C82">
        <v>0.028</v>
      </c>
      <c r="D82" t="inlineStr">
        <is>
          <t>W</t>
        </is>
      </c>
      <c r="E82" t="inlineStr">
        <is>
          <t>LOVE MILL</t>
        </is>
      </c>
      <c r="F82" t="inlineStr">
        <is>
          <t>BRIEF</t>
        </is>
      </c>
      <c r="G82" t="inlineStr">
        <is>
          <t>NC 218</t>
        </is>
      </c>
      <c r="H82">
        <v>9.758</v>
      </c>
      <c r="J82">
        <v>107144129</v>
      </c>
      <c r="K82" t="inlineStr">
        <is>
          <t>11/13/2022</t>
        </is>
      </c>
      <c r="L82">
        <v>17</v>
      </c>
      <c r="M82">
        <v>1</v>
      </c>
      <c r="N82">
        <v>0</v>
      </c>
      <c r="O82">
        <v>5</v>
      </c>
      <c r="P82" t="inlineStr">
        <is>
          <t>O</t>
        </is>
      </c>
    </row>
    <row r="83">
      <c r="A83" t="inlineStr">
        <is>
          <t>637</t>
        </is>
      </c>
      <c r="B83" t="inlineStr">
        <is>
          <t>NC 218</t>
        </is>
      </c>
      <c r="C83">
        <v>0.014</v>
      </c>
      <c r="D83" t="inlineStr">
        <is>
          <t>W</t>
        </is>
      </c>
      <c r="E83" t="inlineStr">
        <is>
          <t>SR 1001</t>
        </is>
      </c>
      <c r="F83" t="inlineStr">
        <is>
          <t>SR 1609</t>
        </is>
      </c>
      <c r="G83" t="inlineStr">
        <is>
          <t>NC 218</t>
        </is>
      </c>
      <c r="H83">
        <v>9.772</v>
      </c>
      <c r="J83">
        <v>105062907</v>
      </c>
      <c r="K83" t="inlineStr">
        <is>
          <t>4/3/2017</t>
        </is>
      </c>
      <c r="L83">
        <v>23</v>
      </c>
      <c r="M83">
        <v>1</v>
      </c>
      <c r="N83">
        <v>0</v>
      </c>
      <c r="O83">
        <v>1</v>
      </c>
      <c r="P83" t="inlineStr">
        <is>
          <t>O</t>
        </is>
      </c>
    </row>
    <row r="84">
      <c r="A84" t="inlineStr">
        <is>
          <t>0</t>
        </is>
      </c>
      <c r="B84" t="inlineStr">
        <is>
          <t>NC 218</t>
        </is>
      </c>
      <c r="C84">
        <v>0.005</v>
      </c>
      <c r="D84" t="inlineStr">
        <is>
          <t>W</t>
        </is>
      </c>
      <c r="E84" t="inlineStr">
        <is>
          <t>SR 1001</t>
        </is>
      </c>
      <c r="F84" t="inlineStr">
        <is>
          <t>SR 1547</t>
        </is>
      </c>
      <c r="G84" t="inlineStr">
        <is>
          <t>NC 218</t>
        </is>
      </c>
      <c r="H84">
        <v>9.781</v>
      </c>
      <c r="J84">
        <v>105103445</v>
      </c>
      <c r="K84" t="inlineStr">
        <is>
          <t>5/17/2017</t>
        </is>
      </c>
      <c r="L84">
        <v>23</v>
      </c>
      <c r="M84">
        <v>1</v>
      </c>
      <c r="N84">
        <v>7</v>
      </c>
      <c r="O84">
        <v>1</v>
      </c>
      <c r="P84" t="inlineStr">
        <is>
          <t>B</t>
        </is>
      </c>
    </row>
    <row r="85">
      <c r="A85" t="inlineStr">
        <is>
          <t>637</t>
        </is>
      </c>
      <c r="B85" t="inlineStr">
        <is>
          <t>NC 218</t>
        </is>
      </c>
      <c r="C85">
        <v>0.004</v>
      </c>
      <c r="D85" t="inlineStr">
        <is>
          <t>W</t>
        </is>
      </c>
      <c r="E85" t="inlineStr">
        <is>
          <t>SR 1001</t>
        </is>
      </c>
      <c r="F85" t="inlineStr">
        <is>
          <t>SR 1609</t>
        </is>
      </c>
      <c r="G85" t="inlineStr">
        <is>
          <t>NC 218</t>
        </is>
      </c>
      <c r="H85">
        <v>9.782</v>
      </c>
      <c r="J85">
        <v>105067787</v>
      </c>
      <c r="K85" t="inlineStr">
        <is>
          <t>4/3/2017</t>
        </is>
      </c>
      <c r="L85">
        <v>22</v>
      </c>
      <c r="M85">
        <v>2</v>
      </c>
      <c r="N85">
        <v>7</v>
      </c>
      <c r="O85">
        <v>1</v>
      </c>
      <c r="P85" t="inlineStr">
        <is>
          <t>O</t>
        </is>
      </c>
    </row>
    <row r="86">
      <c r="A86" t="inlineStr">
        <is>
          <t>0</t>
        </is>
      </c>
      <c r="B86" t="inlineStr">
        <is>
          <t>NC 218</t>
        </is>
      </c>
      <c r="C86">
        <v>0.0</v>
      </c>
      <c r="E86" t="inlineStr">
        <is>
          <t>SR 1001</t>
        </is>
      </c>
      <c r="F86" t="inlineStr">
        <is>
          <t>SR 1547</t>
        </is>
      </c>
      <c r="G86" t="inlineStr">
        <is>
          <t>NC 218</t>
        </is>
      </c>
      <c r="H86">
        <v>9.786</v>
      </c>
      <c r="J86">
        <v>108267514</v>
      </c>
      <c r="K86" t="inlineStr">
        <is>
          <t>10/14/2025</t>
        </is>
      </c>
      <c r="L86">
        <v>21</v>
      </c>
      <c r="M86">
        <v>1</v>
      </c>
      <c r="N86">
        <v>0</v>
      </c>
      <c r="O86">
        <v>1</v>
      </c>
      <c r="P86" t="inlineStr">
        <is>
          <t>O</t>
        </is>
      </c>
      <c r="Q86">
        <v>35.13365</v>
      </c>
      <c r="R86">
        <v>-80.44976</v>
      </c>
      <c r="S86" t="inlineStr">
        <is>
          <t>DMV349CLEANED</t>
        </is>
      </c>
    </row>
    <row r="87">
      <c r="A87" t="inlineStr">
        <is>
          <t>0</t>
        </is>
      </c>
      <c r="B87" t="inlineStr">
        <is>
          <t>NC 218</t>
        </is>
      </c>
      <c r="C87">
        <v>0.0</v>
      </c>
      <c r="E87" t="inlineStr">
        <is>
          <t>SR 1001</t>
        </is>
      </c>
      <c r="F87" t="inlineStr">
        <is>
          <t>NC 200</t>
        </is>
      </c>
      <c r="G87" t="inlineStr">
        <is>
          <t>NC 218</t>
        </is>
      </c>
      <c r="H87">
        <v>9.786</v>
      </c>
      <c r="J87">
        <v>107715702</v>
      </c>
      <c r="K87" t="inlineStr">
        <is>
          <t>5/11/2024</t>
        </is>
      </c>
      <c r="L87">
        <v>30</v>
      </c>
      <c r="M87">
        <v>1</v>
      </c>
      <c r="N87">
        <v>7</v>
      </c>
      <c r="O87">
        <v>1</v>
      </c>
      <c r="P87" t="inlineStr">
        <is>
          <t>O</t>
        </is>
      </c>
      <c r="Q87">
        <v>35.13378</v>
      </c>
      <c r="R87">
        <v>-80.44974</v>
      </c>
      <c r="S87" t="inlineStr">
        <is>
          <t>DMV349CLEANED</t>
        </is>
      </c>
    </row>
    <row r="88">
      <c r="A88" t="inlineStr">
        <is>
          <t>0</t>
        </is>
      </c>
      <c r="B88" t="inlineStr">
        <is>
          <t>NC 218</t>
        </is>
      </c>
      <c r="C88">
        <v>0.0</v>
      </c>
      <c r="E88" t="inlineStr">
        <is>
          <t>SR 1001</t>
        </is>
      </c>
      <c r="F88" t="inlineStr">
        <is>
          <t>SR 1547</t>
        </is>
      </c>
      <c r="G88" t="inlineStr">
        <is>
          <t>NC 218</t>
        </is>
      </c>
      <c r="H88">
        <v>9.786</v>
      </c>
      <c r="J88">
        <v>107040279</v>
      </c>
      <c r="K88" t="inlineStr">
        <is>
          <t>8/3/2022</t>
        </is>
      </c>
      <c r="L88">
        <v>30</v>
      </c>
      <c r="M88">
        <v>1</v>
      </c>
      <c r="N88">
        <v>7</v>
      </c>
      <c r="O88">
        <v>1</v>
      </c>
      <c r="P88" t="inlineStr">
        <is>
          <t>O</t>
        </is>
      </c>
    </row>
    <row r="89">
      <c r="A89" t="inlineStr">
        <is>
          <t>0</t>
        </is>
      </c>
      <c r="B89" t="inlineStr">
        <is>
          <t>NC 218</t>
        </is>
      </c>
      <c r="C89">
        <v>0.0</v>
      </c>
      <c r="E89" t="inlineStr">
        <is>
          <t>SR 1001</t>
        </is>
      </c>
      <c r="F89" t="inlineStr">
        <is>
          <t>SR 1606</t>
        </is>
      </c>
      <c r="G89" t="inlineStr">
        <is>
          <t>NC 218</t>
        </is>
      </c>
      <c r="H89">
        <v>9.786</v>
      </c>
      <c r="J89">
        <v>107011232</v>
      </c>
      <c r="K89" t="inlineStr">
        <is>
          <t>7/8/2022</t>
        </is>
      </c>
      <c r="L89">
        <v>28</v>
      </c>
      <c r="M89">
        <v>1</v>
      </c>
      <c r="N89">
        <v>7</v>
      </c>
      <c r="O89">
        <v>1</v>
      </c>
      <c r="P89" t="inlineStr">
        <is>
          <t>B</t>
        </is>
      </c>
    </row>
    <row r="90">
      <c r="A90" t="inlineStr">
        <is>
          <t>0</t>
        </is>
      </c>
      <c r="B90" t="inlineStr">
        <is>
          <t>NC 218</t>
        </is>
      </c>
      <c r="C90">
        <v>0.0</v>
      </c>
      <c r="E90" t="inlineStr">
        <is>
          <t>SR 1001</t>
        </is>
      </c>
      <c r="F90" t="inlineStr">
        <is>
          <t>SR 1606</t>
        </is>
      </c>
      <c r="G90" t="inlineStr">
        <is>
          <t>NC 218</t>
        </is>
      </c>
      <c r="H90">
        <v>9.786</v>
      </c>
      <c r="J90">
        <v>107011234</v>
      </c>
      <c r="K90" t="inlineStr">
        <is>
          <t>7/8/2022</t>
        </is>
      </c>
      <c r="L90">
        <v>30</v>
      </c>
      <c r="M90">
        <v>1</v>
      </c>
      <c r="N90">
        <v>7</v>
      </c>
      <c r="O90">
        <v>1</v>
      </c>
      <c r="P90" t="inlineStr">
        <is>
          <t>C</t>
        </is>
      </c>
    </row>
    <row r="91">
      <c r="A91" t="inlineStr">
        <is>
          <t>0</t>
        </is>
      </c>
      <c r="B91" t="inlineStr">
        <is>
          <t>NC 218</t>
        </is>
      </c>
      <c r="C91">
        <v>0.0</v>
      </c>
      <c r="E91" t="inlineStr">
        <is>
          <t>SR 1001</t>
        </is>
      </c>
      <c r="F91" t="inlineStr">
        <is>
          <t>NC 200</t>
        </is>
      </c>
      <c r="G91" t="inlineStr">
        <is>
          <t>NC 218</t>
        </is>
      </c>
      <c r="H91">
        <v>9.786</v>
      </c>
      <c r="J91">
        <v>106880793</v>
      </c>
      <c r="K91" t="inlineStr">
        <is>
          <t>3/5/2022</t>
        </is>
      </c>
      <c r="L91">
        <v>30</v>
      </c>
      <c r="M91">
        <v>1</v>
      </c>
      <c r="N91">
        <v>7</v>
      </c>
      <c r="O91">
        <v>1</v>
      </c>
      <c r="P91" t="inlineStr">
        <is>
          <t>B</t>
        </is>
      </c>
    </row>
    <row r="92">
      <c r="A92" t="inlineStr">
        <is>
          <t>637</t>
        </is>
      </c>
      <c r="B92" t="inlineStr">
        <is>
          <t>NC 218</t>
        </is>
      </c>
      <c r="C92">
        <v>0.0</v>
      </c>
      <c r="E92" t="inlineStr">
        <is>
          <t>SR 1001</t>
        </is>
      </c>
      <c r="F92" t="inlineStr">
        <is>
          <t>SR 1610</t>
        </is>
      </c>
      <c r="G92" t="inlineStr">
        <is>
          <t>NC 218</t>
        </is>
      </c>
      <c r="H92">
        <v>9.786</v>
      </c>
      <c r="J92">
        <v>107287156</v>
      </c>
      <c r="K92" t="inlineStr">
        <is>
          <t>3/28/2023</t>
        </is>
      </c>
      <c r="L92">
        <v>30</v>
      </c>
      <c r="M92">
        <v>1</v>
      </c>
      <c r="N92">
        <v>7</v>
      </c>
      <c r="O92">
        <v>1</v>
      </c>
      <c r="P92" t="inlineStr">
        <is>
          <t>B</t>
        </is>
      </c>
    </row>
    <row r="93">
      <c r="A93" t="inlineStr">
        <is>
          <t>0</t>
        </is>
      </c>
      <c r="B93" t="inlineStr">
        <is>
          <t>NC 218</t>
        </is>
      </c>
      <c r="C93">
        <v>0.0</v>
      </c>
      <c r="E93" t="inlineStr">
        <is>
          <t>SR 1001</t>
        </is>
      </c>
      <c r="F93" t="inlineStr">
        <is>
          <t>SR 1639</t>
        </is>
      </c>
      <c r="G93" t="inlineStr">
        <is>
          <t>NC 218</t>
        </is>
      </c>
      <c r="H93">
        <v>9.786</v>
      </c>
      <c r="J93">
        <v>106759634</v>
      </c>
      <c r="K93" t="inlineStr">
        <is>
          <t>11/5/2021</t>
        </is>
      </c>
      <c r="L93">
        <v>30</v>
      </c>
      <c r="M93">
        <v>1</v>
      </c>
      <c r="N93">
        <v>7</v>
      </c>
      <c r="O93">
        <v>1</v>
      </c>
      <c r="P93" t="inlineStr">
        <is>
          <t>O</t>
        </is>
      </c>
    </row>
    <row r="94">
      <c r="A94" t="inlineStr">
        <is>
          <t>637</t>
        </is>
      </c>
      <c r="B94" t="inlineStr">
        <is>
          <t>NC 218</t>
        </is>
      </c>
      <c r="C94">
        <v>0.0</v>
      </c>
      <c r="E94" t="inlineStr">
        <is>
          <t>SR 1001</t>
        </is>
      </c>
      <c r="F94" t="inlineStr">
        <is>
          <t>NC 200</t>
        </is>
      </c>
      <c r="G94" t="inlineStr">
        <is>
          <t>NC 218</t>
        </is>
      </c>
      <c r="H94">
        <v>9.786</v>
      </c>
      <c r="J94">
        <v>106655032</v>
      </c>
      <c r="K94" t="inlineStr">
        <is>
          <t>8/4/2021</t>
        </is>
      </c>
      <c r="L94">
        <v>30</v>
      </c>
      <c r="M94">
        <v>1</v>
      </c>
      <c r="N94">
        <v>7</v>
      </c>
      <c r="O94">
        <v>1</v>
      </c>
      <c r="P94" t="inlineStr">
        <is>
          <t>O</t>
        </is>
      </c>
    </row>
    <row r="95">
      <c r="A95" t="inlineStr">
        <is>
          <t>0</t>
        </is>
      </c>
      <c r="B95" t="inlineStr">
        <is>
          <t>NC 218</t>
        </is>
      </c>
      <c r="C95">
        <v>0.0</v>
      </c>
      <c r="E95" t="inlineStr">
        <is>
          <t>SR 1001</t>
        </is>
      </c>
      <c r="F95" t="inlineStr">
        <is>
          <t>SR 1547</t>
        </is>
      </c>
      <c r="G95" t="inlineStr">
        <is>
          <t>NC 218</t>
        </is>
      </c>
      <c r="H95">
        <v>9.786</v>
      </c>
      <c r="J95">
        <v>106554754</v>
      </c>
      <c r="K95" t="inlineStr">
        <is>
          <t>4/22/2021</t>
        </is>
      </c>
      <c r="L95">
        <v>21</v>
      </c>
      <c r="M95">
        <v>1</v>
      </c>
      <c r="N95">
        <v>7</v>
      </c>
      <c r="O95">
        <v>1</v>
      </c>
      <c r="P95" t="inlineStr">
        <is>
          <t>C</t>
        </is>
      </c>
    </row>
    <row r="96">
      <c r="A96" t="inlineStr">
        <is>
          <t>558</t>
        </is>
      </c>
      <c r="B96" t="inlineStr">
        <is>
          <t>NC 218</t>
        </is>
      </c>
      <c r="C96">
        <v>0.0</v>
      </c>
      <c r="E96" t="inlineStr">
        <is>
          <t>SR 1001</t>
        </is>
      </c>
      <c r="F96" t="inlineStr">
        <is>
          <t>CYRUS LEE</t>
        </is>
      </c>
      <c r="G96" t="inlineStr">
        <is>
          <t>NC 218</t>
        </is>
      </c>
      <c r="H96">
        <v>9.786</v>
      </c>
      <c r="J96">
        <v>106521629</v>
      </c>
      <c r="K96" t="inlineStr">
        <is>
          <t>3/21/2021</t>
        </is>
      </c>
      <c r="L96">
        <v>22</v>
      </c>
      <c r="M96">
        <v>1</v>
      </c>
      <c r="N96">
        <v>7</v>
      </c>
      <c r="O96">
        <v>1</v>
      </c>
      <c r="P96" t="inlineStr">
        <is>
          <t>B</t>
        </is>
      </c>
    </row>
    <row r="97">
      <c r="A97" t="inlineStr">
        <is>
          <t>0</t>
        </is>
      </c>
      <c r="B97" t="inlineStr">
        <is>
          <t>NC 218</t>
        </is>
      </c>
      <c r="C97">
        <v>0.0</v>
      </c>
      <c r="E97" t="inlineStr">
        <is>
          <t>SR 1001</t>
        </is>
      </c>
      <c r="F97" t="inlineStr">
        <is>
          <t>NC 200</t>
        </is>
      </c>
      <c r="G97" t="inlineStr">
        <is>
          <t>NC 218</t>
        </is>
      </c>
      <c r="H97">
        <v>9.786</v>
      </c>
      <c r="J97">
        <v>106362077</v>
      </c>
      <c r="K97" t="inlineStr">
        <is>
          <t>10/5/2020</t>
        </is>
      </c>
      <c r="L97">
        <v>30</v>
      </c>
      <c r="M97">
        <v>1</v>
      </c>
      <c r="N97">
        <v>7</v>
      </c>
      <c r="O97">
        <v>1</v>
      </c>
      <c r="P97" t="inlineStr">
        <is>
          <t>O</t>
        </is>
      </c>
    </row>
    <row r="98">
      <c r="A98" t="inlineStr">
        <is>
          <t>0</t>
        </is>
      </c>
      <c r="B98" t="inlineStr">
        <is>
          <t>NC 218</t>
        </is>
      </c>
      <c r="C98">
        <v>0.0</v>
      </c>
      <c r="E98" t="inlineStr">
        <is>
          <t>SR 1001</t>
        </is>
      </c>
      <c r="F98" t="inlineStr">
        <is>
          <t>NC 200</t>
        </is>
      </c>
      <c r="G98" t="inlineStr">
        <is>
          <t>NC 218</t>
        </is>
      </c>
      <c r="H98">
        <v>9.786</v>
      </c>
      <c r="J98">
        <v>106219177</v>
      </c>
      <c r="K98" t="inlineStr">
        <is>
          <t>5/1/2020</t>
        </is>
      </c>
      <c r="L98">
        <v>30</v>
      </c>
      <c r="M98">
        <v>1</v>
      </c>
      <c r="N98">
        <v>7</v>
      </c>
      <c r="O98">
        <v>5</v>
      </c>
      <c r="P98" t="inlineStr">
        <is>
          <t>O</t>
        </is>
      </c>
    </row>
    <row r="99">
      <c r="A99" t="inlineStr">
        <is>
          <t>637</t>
        </is>
      </c>
      <c r="B99" t="inlineStr">
        <is>
          <t>NC 218</t>
        </is>
      </c>
      <c r="C99">
        <v>0.0</v>
      </c>
      <c r="E99" t="inlineStr">
        <is>
          <t>SR 1001</t>
        </is>
      </c>
      <c r="F99" t="inlineStr">
        <is>
          <t>SR 1547</t>
        </is>
      </c>
      <c r="G99" t="inlineStr">
        <is>
          <t>NC 218</t>
        </is>
      </c>
      <c r="H99">
        <v>9.786</v>
      </c>
      <c r="J99">
        <v>106186515</v>
      </c>
      <c r="K99" t="inlineStr">
        <is>
          <t>3/16/2020</t>
        </is>
      </c>
      <c r="L99">
        <v>30</v>
      </c>
      <c r="M99">
        <v>1</v>
      </c>
      <c r="N99">
        <v>7</v>
      </c>
      <c r="O99">
        <v>1</v>
      </c>
      <c r="P99" t="inlineStr">
        <is>
          <t>O</t>
        </is>
      </c>
    </row>
    <row r="100">
      <c r="A100" t="inlineStr">
        <is>
          <t>558</t>
        </is>
      </c>
      <c r="B100" t="inlineStr">
        <is>
          <t>NC 218</t>
        </is>
      </c>
      <c r="C100">
        <v>0.0</v>
      </c>
      <c r="E100" t="inlineStr">
        <is>
          <t>SR 1001</t>
        </is>
      </c>
      <c r="F100" t="inlineStr">
        <is>
          <t>SR 1547</t>
        </is>
      </c>
      <c r="G100" t="inlineStr">
        <is>
          <t>NC 218</t>
        </is>
      </c>
      <c r="H100">
        <v>9.786</v>
      </c>
      <c r="J100">
        <v>106071236</v>
      </c>
      <c r="K100" t="inlineStr">
        <is>
          <t>11/20/2019</t>
        </is>
      </c>
      <c r="L100">
        <v>30</v>
      </c>
      <c r="M100">
        <v>1</v>
      </c>
      <c r="N100">
        <v>7</v>
      </c>
      <c r="O100">
        <v>1</v>
      </c>
      <c r="P100" t="inlineStr">
        <is>
          <t>C</t>
        </is>
      </c>
    </row>
    <row r="101">
      <c r="A101" t="inlineStr">
        <is>
          <t>637</t>
        </is>
      </c>
      <c r="B101" t="inlineStr">
        <is>
          <t>NC 218</t>
        </is>
      </c>
      <c r="C101">
        <v>0.0</v>
      </c>
      <c r="E101" t="inlineStr">
        <is>
          <t>SR 1001</t>
        </is>
      </c>
      <c r="F101" t="inlineStr">
        <is>
          <t>SR 1547</t>
        </is>
      </c>
      <c r="G101" t="inlineStr">
        <is>
          <t>NC 218</t>
        </is>
      </c>
      <c r="H101">
        <v>9.786</v>
      </c>
      <c r="J101">
        <v>106062746</v>
      </c>
      <c r="K101" t="inlineStr">
        <is>
          <t>11/15/2019</t>
        </is>
      </c>
      <c r="L101">
        <v>30</v>
      </c>
      <c r="M101">
        <v>2</v>
      </c>
      <c r="N101">
        <v>7</v>
      </c>
      <c r="O101">
        <v>1</v>
      </c>
      <c r="P101" t="inlineStr">
        <is>
          <t>O</t>
        </is>
      </c>
    </row>
    <row r="102">
      <c r="A102" t="inlineStr">
        <is>
          <t>0</t>
        </is>
      </c>
      <c r="B102" t="inlineStr">
        <is>
          <t>NC 218</t>
        </is>
      </c>
      <c r="C102">
        <v>0.0</v>
      </c>
      <c r="E102" t="inlineStr">
        <is>
          <t>SR 1001</t>
        </is>
      </c>
      <c r="F102" t="inlineStr">
        <is>
          <t>SR 1547</t>
        </is>
      </c>
      <c r="G102" t="inlineStr">
        <is>
          <t>NC 218</t>
        </is>
      </c>
      <c r="H102">
        <v>9.786</v>
      </c>
      <c r="J102">
        <v>105842501</v>
      </c>
      <c r="K102" t="inlineStr">
        <is>
          <t>4/20/2019</t>
        </is>
      </c>
      <c r="L102">
        <v>21</v>
      </c>
      <c r="M102">
        <v>1</v>
      </c>
      <c r="N102">
        <v>7</v>
      </c>
      <c r="O102">
        <v>1</v>
      </c>
      <c r="P102" t="inlineStr">
        <is>
          <t>O</t>
        </is>
      </c>
    </row>
    <row r="103">
      <c r="A103" t="inlineStr">
        <is>
          <t>0</t>
        </is>
      </c>
      <c r="B103" t="inlineStr">
        <is>
          <t>NC 218</t>
        </is>
      </c>
      <c r="C103">
        <v>0.0</v>
      </c>
      <c r="E103" t="inlineStr">
        <is>
          <t>SR 1001</t>
        </is>
      </c>
      <c r="F103" t="inlineStr">
        <is>
          <t>SR 2732</t>
        </is>
      </c>
      <c r="G103" t="inlineStr">
        <is>
          <t>NC 218</t>
        </is>
      </c>
      <c r="H103">
        <v>9.786</v>
      </c>
      <c r="J103">
        <v>105989915</v>
      </c>
      <c r="K103" t="inlineStr">
        <is>
          <t>9/11/2019</t>
        </is>
      </c>
      <c r="L103">
        <v>30</v>
      </c>
      <c r="M103">
        <v>1</v>
      </c>
      <c r="N103">
        <v>7</v>
      </c>
      <c r="O103">
        <v>1</v>
      </c>
      <c r="P103" t="inlineStr">
        <is>
          <t>B</t>
        </is>
      </c>
    </row>
    <row r="104">
      <c r="A104" t="inlineStr">
        <is>
          <t>0</t>
        </is>
      </c>
      <c r="B104" t="inlineStr">
        <is>
          <t>NC 218</t>
        </is>
      </c>
      <c r="C104">
        <v>0.0</v>
      </c>
      <c r="E104" t="inlineStr">
        <is>
          <t>SR 1001</t>
        </is>
      </c>
      <c r="F104" t="inlineStr">
        <is>
          <t>NC 200</t>
        </is>
      </c>
      <c r="G104" t="inlineStr">
        <is>
          <t>NC 218</t>
        </is>
      </c>
      <c r="H104">
        <v>9.786</v>
      </c>
      <c r="J104">
        <v>105711501</v>
      </c>
      <c r="K104" t="inlineStr">
        <is>
          <t>12/14/2018</t>
        </is>
      </c>
      <c r="L104">
        <v>30</v>
      </c>
      <c r="M104">
        <v>2</v>
      </c>
      <c r="N104">
        <v>7</v>
      </c>
      <c r="O104">
        <v>5</v>
      </c>
      <c r="P104" t="inlineStr">
        <is>
          <t>B</t>
        </is>
      </c>
    </row>
    <row r="105">
      <c r="A105" t="inlineStr">
        <is>
          <t>0</t>
        </is>
      </c>
      <c r="B105" t="inlineStr">
        <is>
          <t>NC 218</t>
        </is>
      </c>
      <c r="C105">
        <v>0.0</v>
      </c>
      <c r="E105" t="inlineStr">
        <is>
          <t>SR 1001</t>
        </is>
      </c>
      <c r="F105" t="inlineStr">
        <is>
          <t>SR 1606</t>
        </is>
      </c>
      <c r="G105" t="inlineStr">
        <is>
          <t>NC 218</t>
        </is>
      </c>
      <c r="H105">
        <v>9.786</v>
      </c>
      <c r="J105">
        <v>105644334</v>
      </c>
      <c r="K105" t="inlineStr">
        <is>
          <t>10/21/2018</t>
        </is>
      </c>
      <c r="L105">
        <v>19</v>
      </c>
      <c r="M105">
        <v>1</v>
      </c>
      <c r="N105">
        <v>7</v>
      </c>
      <c r="O105">
        <v>1</v>
      </c>
      <c r="P105" t="inlineStr">
        <is>
          <t>O</t>
        </is>
      </c>
    </row>
    <row r="106">
      <c r="A106" t="inlineStr">
        <is>
          <t>558</t>
        </is>
      </c>
      <c r="B106" t="inlineStr">
        <is>
          <t>NC 218</t>
        </is>
      </c>
      <c r="C106">
        <v>0.0</v>
      </c>
      <c r="E106" t="inlineStr">
        <is>
          <t>SR 1001</t>
        </is>
      </c>
      <c r="F106" t="inlineStr">
        <is>
          <t>SR 1547</t>
        </is>
      </c>
      <c r="G106" t="inlineStr">
        <is>
          <t>NC 218</t>
        </is>
      </c>
      <c r="H106">
        <v>9.786</v>
      </c>
      <c r="J106">
        <v>105502400</v>
      </c>
      <c r="K106" t="inlineStr">
        <is>
          <t>6/6/2018</t>
        </is>
      </c>
      <c r="L106">
        <v>22</v>
      </c>
      <c r="M106">
        <v>1</v>
      </c>
      <c r="N106">
        <v>7</v>
      </c>
      <c r="O106">
        <v>1</v>
      </c>
      <c r="P106" t="inlineStr">
        <is>
          <t>O</t>
        </is>
      </c>
    </row>
    <row r="107">
      <c r="A107" t="inlineStr">
        <is>
          <t>0</t>
        </is>
      </c>
      <c r="B107" t="inlineStr">
        <is>
          <t>NC 218</t>
        </is>
      </c>
      <c r="C107">
        <v>0.0</v>
      </c>
      <c r="E107" t="inlineStr">
        <is>
          <t>SR 1001</t>
        </is>
      </c>
      <c r="F107" t="inlineStr">
        <is>
          <t>SR 1547</t>
        </is>
      </c>
      <c r="G107" t="inlineStr">
        <is>
          <t>NC 218</t>
        </is>
      </c>
      <c r="H107">
        <v>9.786</v>
      </c>
      <c r="J107">
        <v>105452058</v>
      </c>
      <c r="K107" t="inlineStr">
        <is>
          <t>4/18/2018</t>
        </is>
      </c>
      <c r="L107">
        <v>21</v>
      </c>
      <c r="M107">
        <v>1</v>
      </c>
      <c r="N107">
        <v>7</v>
      </c>
      <c r="O107">
        <v>1</v>
      </c>
      <c r="P107" t="inlineStr">
        <is>
          <t>O</t>
        </is>
      </c>
    </row>
    <row r="108">
      <c r="A108" t="inlineStr">
        <is>
          <t>0</t>
        </is>
      </c>
      <c r="B108" t="inlineStr">
        <is>
          <t>NC 218</t>
        </is>
      </c>
      <c r="C108">
        <v>0.0</v>
      </c>
      <c r="E108" t="inlineStr">
        <is>
          <t>SR 1001</t>
        </is>
      </c>
      <c r="F108" t="inlineStr">
        <is>
          <t>NC 200</t>
        </is>
      </c>
      <c r="G108" t="inlineStr">
        <is>
          <t>NC 218</t>
        </is>
      </c>
      <c r="H108">
        <v>9.786</v>
      </c>
      <c r="J108">
        <v>105283709</v>
      </c>
      <c r="K108" t="inlineStr">
        <is>
          <t>11/3/2017</t>
        </is>
      </c>
      <c r="L108">
        <v>28</v>
      </c>
      <c r="M108">
        <v>1</v>
      </c>
      <c r="N108">
        <v>0</v>
      </c>
      <c r="O108">
        <v>1</v>
      </c>
      <c r="P108" t="inlineStr">
        <is>
          <t>O</t>
        </is>
      </c>
    </row>
    <row r="109">
      <c r="A109" t="inlineStr">
        <is>
          <t>650</t>
        </is>
      </c>
      <c r="B109" t="inlineStr">
        <is>
          <t>NC 218</t>
        </is>
      </c>
      <c r="C109">
        <v>0.0</v>
      </c>
      <c r="E109" t="inlineStr">
        <is>
          <t>SR 1001</t>
        </is>
      </c>
      <c r="F109" t="inlineStr">
        <is>
          <t>SR 1547</t>
        </is>
      </c>
      <c r="G109" t="inlineStr">
        <is>
          <t>NC 218</t>
        </is>
      </c>
      <c r="H109">
        <v>9.786</v>
      </c>
      <c r="J109">
        <v>105326336</v>
      </c>
      <c r="K109" t="inlineStr">
        <is>
          <t>12/13/2017</t>
        </is>
      </c>
      <c r="L109">
        <v>21</v>
      </c>
      <c r="M109">
        <v>1</v>
      </c>
      <c r="N109">
        <v>7</v>
      </c>
      <c r="O109">
        <v>1</v>
      </c>
      <c r="P109" t="inlineStr">
        <is>
          <t>B</t>
        </is>
      </c>
    </row>
    <row r="110">
      <c r="A110" t="inlineStr">
        <is>
          <t>558</t>
        </is>
      </c>
      <c r="B110" t="inlineStr">
        <is>
          <t>NC 218</t>
        </is>
      </c>
      <c r="C110">
        <v>0.0</v>
      </c>
      <c r="E110" t="inlineStr">
        <is>
          <t>SR 1001</t>
        </is>
      </c>
      <c r="F110" t="inlineStr">
        <is>
          <t>NC 200</t>
        </is>
      </c>
      <c r="G110" t="inlineStr">
        <is>
          <t>NC 218</t>
        </is>
      </c>
      <c r="H110">
        <v>9.786</v>
      </c>
      <c r="J110">
        <v>105085947</v>
      </c>
      <c r="K110" t="inlineStr">
        <is>
          <t>4/20/2017</t>
        </is>
      </c>
      <c r="L110">
        <v>21</v>
      </c>
      <c r="M110">
        <v>1</v>
      </c>
      <c r="N110">
        <v>7</v>
      </c>
      <c r="O110">
        <v>1</v>
      </c>
      <c r="P110" t="inlineStr">
        <is>
          <t>C</t>
        </is>
      </c>
    </row>
    <row r="111">
      <c r="A111" t="inlineStr">
        <is>
          <t>0</t>
        </is>
      </c>
      <c r="B111" t="inlineStr">
        <is>
          <t>NC 218</t>
        </is>
      </c>
      <c r="C111">
        <v>0.0</v>
      </c>
      <c r="E111" t="inlineStr">
        <is>
          <t>SR 1001</t>
        </is>
      </c>
      <c r="F111" t="inlineStr">
        <is>
          <t>SR 1547</t>
        </is>
      </c>
      <c r="G111" t="inlineStr">
        <is>
          <t>NC 218</t>
        </is>
      </c>
      <c r="H111">
        <v>9.786</v>
      </c>
      <c r="J111">
        <v>105127353</v>
      </c>
      <c r="K111" t="inlineStr">
        <is>
          <t>6/8/2017</t>
        </is>
      </c>
      <c r="L111">
        <v>21</v>
      </c>
      <c r="M111">
        <v>1</v>
      </c>
      <c r="N111">
        <v>7</v>
      </c>
      <c r="O111">
        <v>1</v>
      </c>
      <c r="P111" t="inlineStr">
        <is>
          <t>B</t>
        </is>
      </c>
    </row>
    <row r="112">
      <c r="A112" t="inlineStr">
        <is>
          <t>650</t>
        </is>
      </c>
      <c r="B112" t="inlineStr">
        <is>
          <t>NC 218</t>
        </is>
      </c>
      <c r="C112">
        <v>0.0</v>
      </c>
      <c r="E112" t="inlineStr">
        <is>
          <t>SR 1001</t>
        </is>
      </c>
      <c r="F112" t="inlineStr">
        <is>
          <t>CYRUS LEE</t>
        </is>
      </c>
      <c r="G112" t="inlineStr">
        <is>
          <t>NC 218</t>
        </is>
      </c>
      <c r="H112">
        <v>9.786</v>
      </c>
      <c r="J112">
        <v>105125636</v>
      </c>
      <c r="K112" t="inlineStr">
        <is>
          <t>6/4/2017</t>
        </is>
      </c>
      <c r="L112">
        <v>21</v>
      </c>
      <c r="M112">
        <v>1</v>
      </c>
      <c r="N112">
        <v>12</v>
      </c>
      <c r="O112">
        <v>1</v>
      </c>
      <c r="P112" t="inlineStr">
        <is>
          <t>O</t>
        </is>
      </c>
    </row>
    <row r="113">
      <c r="A113" t="inlineStr">
        <is>
          <t>637</t>
        </is>
      </c>
      <c r="B113" t="inlineStr">
        <is>
          <t>NC 218</t>
        </is>
      </c>
      <c r="C113">
        <v>0.005</v>
      </c>
      <c r="D113" t="inlineStr">
        <is>
          <t>E</t>
        </is>
      </c>
      <c r="E113" t="inlineStr">
        <is>
          <t>LOVE MILL</t>
        </is>
      </c>
      <c r="F113" t="inlineStr">
        <is>
          <t>NC 200</t>
        </is>
      </c>
      <c r="G113" t="inlineStr">
        <is>
          <t>NC 218</t>
        </is>
      </c>
      <c r="H113">
        <v>9.791</v>
      </c>
      <c r="J113">
        <v>107609800</v>
      </c>
      <c r="K113" t="inlineStr">
        <is>
          <t>1/31/2024</t>
        </is>
      </c>
      <c r="L113">
        <v>21</v>
      </c>
      <c r="M113">
        <v>2</v>
      </c>
      <c r="N113">
        <v>7</v>
      </c>
      <c r="O113">
        <v>1</v>
      </c>
      <c r="P113" t="inlineStr">
        <is>
          <t>C</t>
        </is>
      </c>
    </row>
    <row r="114">
      <c r="A114" t="inlineStr">
        <is>
          <t>0</t>
        </is>
      </c>
      <c r="B114" t="inlineStr">
        <is>
          <t>NC 218</t>
        </is>
      </c>
      <c r="C114">
        <v>0.006</v>
      </c>
      <c r="D114" t="inlineStr">
        <is>
          <t>E</t>
        </is>
      </c>
      <c r="E114" t="inlineStr">
        <is>
          <t>SR 1001</t>
        </is>
      </c>
      <c r="F114" t="inlineStr">
        <is>
          <t>NC 200</t>
        </is>
      </c>
      <c r="G114" t="inlineStr">
        <is>
          <t>NC 218</t>
        </is>
      </c>
      <c r="H114">
        <v>9.792</v>
      </c>
      <c r="J114">
        <v>106370455</v>
      </c>
      <c r="K114" t="inlineStr">
        <is>
          <t>10/17/2020</t>
        </is>
      </c>
      <c r="L114">
        <v>23</v>
      </c>
      <c r="M114">
        <v>1</v>
      </c>
      <c r="N114">
        <v>7</v>
      </c>
      <c r="O114">
        <v>1</v>
      </c>
      <c r="P114" t="inlineStr">
        <is>
          <t>O</t>
        </is>
      </c>
    </row>
    <row r="115">
      <c r="A115" t="inlineStr">
        <is>
          <t>650</t>
        </is>
      </c>
      <c r="B115" t="inlineStr">
        <is>
          <t>NC 218</t>
        </is>
      </c>
      <c r="C115">
        <v>0.028</v>
      </c>
      <c r="D115" t="inlineStr">
        <is>
          <t>E</t>
        </is>
      </c>
      <c r="E115" t="inlineStr">
        <is>
          <t>SR 1001</t>
        </is>
      </c>
      <c r="F115" t="inlineStr">
        <is>
          <t>NC 200</t>
        </is>
      </c>
      <c r="G115" t="inlineStr">
        <is>
          <t>NC 218</t>
        </is>
      </c>
      <c r="H115">
        <v>9.814</v>
      </c>
      <c r="J115">
        <v>104859857</v>
      </c>
      <c r="K115" t="inlineStr">
        <is>
          <t>9/20/2016</t>
        </is>
      </c>
      <c r="L115">
        <v>21</v>
      </c>
      <c r="M115">
        <v>1</v>
      </c>
      <c r="N115">
        <v>0</v>
      </c>
      <c r="O115">
        <v>1</v>
      </c>
      <c r="P115" t="inlineStr">
        <is>
          <t>O</t>
        </is>
      </c>
    </row>
    <row r="116">
      <c r="A116" t="inlineStr">
        <is>
          <t>637</t>
        </is>
      </c>
      <c r="B116" t="inlineStr">
        <is>
          <t>SIKES MILL</t>
        </is>
      </c>
      <c r="C116">
        <v>0.095</v>
      </c>
      <c r="D116" t="inlineStr">
        <is>
          <t>N</t>
        </is>
      </c>
      <c r="E116" t="inlineStr">
        <is>
          <t>BRIEF</t>
        </is>
      </c>
      <c r="F116" t="inlineStr">
        <is>
          <t>OLD FERRY</t>
        </is>
      </c>
      <c r="G116" t="inlineStr">
        <is>
          <t>SIKES MILL</t>
        </is>
      </c>
      <c r="H116">
        <v>999.999</v>
      </c>
      <c r="J116">
        <v>105713579</v>
      </c>
      <c r="K116" t="inlineStr">
        <is>
          <t>12/18/2018</t>
        </is>
      </c>
      <c r="L116">
        <v>17</v>
      </c>
      <c r="M116">
        <v>1</v>
      </c>
      <c r="N116">
        <v>0</v>
      </c>
      <c r="O116">
        <v>1</v>
      </c>
      <c r="P116" t="inlineStr">
        <is>
          <t>O</t>
        </is>
      </c>
    </row>
    <row r="117">
      <c r="A117" t="inlineStr">
        <is>
          <t>637</t>
        </is>
      </c>
      <c r="B117" t="inlineStr">
        <is>
          <t>SIKES MILL</t>
        </is>
      </c>
      <c r="C117">
        <v>0.19</v>
      </c>
      <c r="D117" t="inlineStr">
        <is>
          <t>N</t>
        </is>
      </c>
      <c r="E117" t="inlineStr">
        <is>
          <t>BRIEF</t>
        </is>
      </c>
      <c r="F117" t="inlineStr">
        <is>
          <t>OLD FERRY</t>
        </is>
      </c>
      <c r="G117" t="inlineStr">
        <is>
          <t>SIKES MILL</t>
        </is>
      </c>
      <c r="H117">
        <v>999.999</v>
      </c>
      <c r="J117">
        <v>108485442</v>
      </c>
      <c r="K117" t="inlineStr">
        <is>
          <t>5/4/2026</t>
        </is>
      </c>
      <c r="L117">
        <v>17</v>
      </c>
      <c r="M117">
        <v>1</v>
      </c>
      <c r="O117">
        <v>1</v>
      </c>
      <c r="P117" t="inlineStr">
        <is>
          <t>O</t>
        </is>
      </c>
    </row>
    <row r="118">
      <c r="A118" t="inlineStr">
        <is>
          <t>637</t>
        </is>
      </c>
      <c r="B118" t="inlineStr">
        <is>
          <t>SIKES MILL</t>
        </is>
      </c>
      <c r="C118">
        <v>0.35</v>
      </c>
      <c r="D118" t="inlineStr">
        <is>
          <t>S</t>
        </is>
      </c>
      <c r="E118" t="inlineStr">
        <is>
          <t>BRIEF</t>
        </is>
      </c>
      <c r="F118" t="inlineStr">
        <is>
          <t>NC 218</t>
        </is>
      </c>
      <c r="G118" t="inlineStr">
        <is>
          <t>SIKES MILL</t>
        </is>
      </c>
      <c r="H118">
        <v>999.999</v>
      </c>
      <c r="J118">
        <v>107562589</v>
      </c>
      <c r="K118" t="inlineStr">
        <is>
          <t>12/14/2023</t>
        </is>
      </c>
      <c r="L118">
        <v>19</v>
      </c>
      <c r="M118">
        <v>1</v>
      </c>
      <c r="N118">
        <v>0</v>
      </c>
      <c r="O118">
        <v>1</v>
      </c>
      <c r="P118" t="inlineStr">
        <is>
          <t>O</t>
        </is>
      </c>
    </row>
    <row r="119">
      <c r="A119" t="inlineStr">
        <is>
          <t>558</t>
        </is>
      </c>
      <c r="B119" t="inlineStr">
        <is>
          <t>SIKES MILL</t>
        </is>
      </c>
      <c r="C119">
        <v>0.3</v>
      </c>
      <c r="D119" t="inlineStr">
        <is>
          <t>N</t>
        </is>
      </c>
      <c r="E119" t="inlineStr">
        <is>
          <t>CARRIKER</t>
        </is>
      </c>
      <c r="F119" t="inlineStr">
        <is>
          <t>*LCL OLD FISH RD</t>
        </is>
      </c>
      <c r="G119" t="inlineStr">
        <is>
          <t>SIKES MILL</t>
        </is>
      </c>
      <c r="H119">
        <v>999.999</v>
      </c>
      <c r="J119">
        <v>108496852</v>
      </c>
      <c r="K119" t="inlineStr">
        <is>
          <t>5/13/2026</t>
        </is>
      </c>
      <c r="L119">
        <v>17</v>
      </c>
      <c r="M119">
        <v>1</v>
      </c>
      <c r="N119">
        <v>0</v>
      </c>
      <c r="O119">
        <v>5</v>
      </c>
      <c r="P119" t="inlineStr">
        <is>
          <t>O</t>
        </is>
      </c>
    </row>
    <row r="120">
      <c r="A120" t="inlineStr">
        <is>
          <t>558</t>
        </is>
      </c>
      <c r="B120" t="inlineStr">
        <is>
          <t>SIKES MILL</t>
        </is>
      </c>
      <c r="C120">
        <v>0.038</v>
      </c>
      <c r="D120" t="inlineStr">
        <is>
          <t>N</t>
        </is>
      </c>
      <c r="E120" t="inlineStr">
        <is>
          <t>CLONTZ LONG</t>
        </is>
      </c>
      <c r="F120" t="inlineStr">
        <is>
          <t>*LCL TYLER RIDGE CT</t>
        </is>
      </c>
      <c r="G120" t="inlineStr">
        <is>
          <t>SIKES MILL</t>
        </is>
      </c>
      <c r="H120">
        <v>999.999</v>
      </c>
      <c r="J120">
        <v>107553868</v>
      </c>
      <c r="K120" t="inlineStr">
        <is>
          <t>12/2/2023</t>
        </is>
      </c>
      <c r="L120">
        <v>17</v>
      </c>
      <c r="M120">
        <v>1</v>
      </c>
      <c r="N120">
        <v>0</v>
      </c>
      <c r="O120">
        <v>5</v>
      </c>
      <c r="P120" t="inlineStr">
        <is>
          <t>O</t>
        </is>
      </c>
    </row>
    <row r="121">
      <c r="A121" t="inlineStr">
        <is>
          <t>558</t>
        </is>
      </c>
      <c r="B121" t="inlineStr">
        <is>
          <t>SIKES MILL</t>
        </is>
      </c>
      <c r="C121">
        <v>0.15</v>
      </c>
      <c r="D121" t="inlineStr">
        <is>
          <t>S</t>
        </is>
      </c>
      <c r="E121" t="inlineStr">
        <is>
          <t>CLONTZ LONG</t>
        </is>
      </c>
      <c r="F121" t="inlineStr">
        <is>
          <t>UNIONVILLE</t>
        </is>
      </c>
      <c r="G121" t="inlineStr">
        <is>
          <t>SIKES MILL</t>
        </is>
      </c>
      <c r="H121">
        <v>999.999</v>
      </c>
      <c r="J121">
        <v>107408108</v>
      </c>
      <c r="K121" t="inlineStr">
        <is>
          <t>7/27/2023</t>
        </is>
      </c>
      <c r="L121">
        <v>29</v>
      </c>
      <c r="M121">
        <v>1</v>
      </c>
      <c r="N121">
        <v>0</v>
      </c>
      <c r="O121">
        <v>1</v>
      </c>
      <c r="P121" t="inlineStr">
        <is>
          <t>O</t>
        </is>
      </c>
    </row>
    <row r="122">
      <c r="A122" t="inlineStr">
        <is>
          <t>558</t>
        </is>
      </c>
      <c r="B122" t="inlineStr">
        <is>
          <t>SIKES MILL</t>
        </is>
      </c>
      <c r="C122">
        <v>0.25</v>
      </c>
      <c r="D122" t="inlineStr">
        <is>
          <t>S</t>
        </is>
      </c>
      <c r="E122" t="inlineStr">
        <is>
          <t>CLONTZ LONG</t>
        </is>
      </c>
      <c r="F122" t="inlineStr">
        <is>
          <t>UNIONVILLE</t>
        </is>
      </c>
      <c r="G122" t="inlineStr">
        <is>
          <t>SIKES MILL</t>
        </is>
      </c>
      <c r="H122">
        <v>999.999</v>
      </c>
      <c r="J122">
        <v>107535602</v>
      </c>
      <c r="K122" t="inlineStr">
        <is>
          <t>11/20/2023</t>
        </is>
      </c>
      <c r="L122">
        <v>17</v>
      </c>
      <c r="M122">
        <v>1</v>
      </c>
      <c r="N122">
        <v>0</v>
      </c>
      <c r="O122">
        <v>5</v>
      </c>
      <c r="P122" t="inlineStr">
        <is>
          <t>O</t>
        </is>
      </c>
    </row>
    <row r="123">
      <c r="A123" t="inlineStr">
        <is>
          <t>558</t>
        </is>
      </c>
      <c r="B123" t="inlineStr">
        <is>
          <t>SIKES MILL</t>
        </is>
      </c>
      <c r="C123">
        <v>0.095</v>
      </c>
      <c r="D123" t="inlineStr">
        <is>
          <t>S</t>
        </is>
      </c>
      <c r="E123" t="inlineStr">
        <is>
          <t>HAIGLER BAUCOM</t>
        </is>
      </c>
      <c r="F123" t="inlineStr">
        <is>
          <t>HENRY SMITH</t>
        </is>
      </c>
      <c r="G123" t="inlineStr">
        <is>
          <t>SIKES MILL</t>
        </is>
      </c>
      <c r="H123">
        <v>999.999</v>
      </c>
      <c r="J123">
        <v>106918739</v>
      </c>
      <c r="K123" t="inlineStr">
        <is>
          <t>4/11/2022</t>
        </is>
      </c>
      <c r="L123">
        <v>19</v>
      </c>
      <c r="M123">
        <v>1</v>
      </c>
      <c r="N123">
        <v>0</v>
      </c>
      <c r="O123">
        <v>1</v>
      </c>
      <c r="P123" t="inlineStr">
        <is>
          <t>O</t>
        </is>
      </c>
    </row>
    <row r="124">
      <c r="A124" t="inlineStr">
        <is>
          <t>558</t>
        </is>
      </c>
      <c r="B124" t="inlineStr">
        <is>
          <t>SIKES MILL</t>
        </is>
      </c>
      <c r="C124">
        <v>0.17</v>
      </c>
      <c r="D124" t="inlineStr">
        <is>
          <t>S</t>
        </is>
      </c>
      <c r="E124" t="inlineStr">
        <is>
          <t>HAIGLER BAUCOM</t>
        </is>
      </c>
      <c r="F124" t="inlineStr">
        <is>
          <t>PIEDMONT SCHOOL</t>
        </is>
      </c>
      <c r="G124" t="inlineStr">
        <is>
          <t>SIKES MILL</t>
        </is>
      </c>
      <c r="H124">
        <v>999.999</v>
      </c>
      <c r="J124">
        <v>106479132</v>
      </c>
      <c r="K124" t="inlineStr">
        <is>
          <t>2/3/2021</t>
        </is>
      </c>
      <c r="L124">
        <v>19</v>
      </c>
      <c r="M124">
        <v>1</v>
      </c>
      <c r="N124">
        <v>0</v>
      </c>
      <c r="O124">
        <v>1</v>
      </c>
      <c r="P124" t="inlineStr">
        <is>
          <t>C</t>
        </is>
      </c>
    </row>
    <row r="125">
      <c r="A125" t="inlineStr">
        <is>
          <t>558</t>
        </is>
      </c>
      <c r="B125" t="inlineStr">
        <is>
          <t>SIKES MILL</t>
        </is>
      </c>
      <c r="C125">
        <v>0.057</v>
      </c>
      <c r="D125" t="inlineStr">
        <is>
          <t>N</t>
        </is>
      </c>
      <c r="E125" t="inlineStr">
        <is>
          <t>HENRY SMITH</t>
        </is>
      </c>
      <c r="F125" t="inlineStr">
        <is>
          <t>*LCL TOM HELMS ROAD</t>
        </is>
      </c>
      <c r="G125" t="inlineStr">
        <is>
          <t>SIKES MILL</t>
        </is>
      </c>
      <c r="H125">
        <v>999.999</v>
      </c>
      <c r="J125">
        <v>106910959</v>
      </c>
      <c r="K125" t="inlineStr">
        <is>
          <t>4/1/2022</t>
        </is>
      </c>
      <c r="L125">
        <v>24</v>
      </c>
      <c r="M125">
        <v>1</v>
      </c>
      <c r="N125">
        <v>4</v>
      </c>
      <c r="O125">
        <v>1</v>
      </c>
      <c r="P125" t="inlineStr">
        <is>
          <t>O</t>
        </is>
      </c>
    </row>
    <row r="126">
      <c r="A126" t="inlineStr">
        <is>
          <t>558</t>
        </is>
      </c>
      <c r="B126" t="inlineStr">
        <is>
          <t>SIKES MILL</t>
        </is>
      </c>
      <c r="C126">
        <v>0.095</v>
      </c>
      <c r="D126" t="inlineStr">
        <is>
          <t>S</t>
        </is>
      </c>
      <c r="E126" t="inlineStr">
        <is>
          <t>HENRY SMITH</t>
        </is>
      </c>
      <c r="F126" t="inlineStr">
        <is>
          <t>TOM HELMS</t>
        </is>
      </c>
      <c r="G126" t="inlineStr">
        <is>
          <t>SIKES MILL</t>
        </is>
      </c>
      <c r="H126">
        <v>999.999</v>
      </c>
      <c r="J126">
        <v>107217101</v>
      </c>
      <c r="K126" t="inlineStr">
        <is>
          <t>1/19/2023</t>
        </is>
      </c>
      <c r="L126">
        <v>24</v>
      </c>
      <c r="M126">
        <v>2</v>
      </c>
      <c r="N126">
        <v>4</v>
      </c>
      <c r="O126">
        <v>1</v>
      </c>
      <c r="P126" t="inlineStr">
        <is>
          <t>C</t>
        </is>
      </c>
    </row>
    <row r="127">
      <c r="A127" t="inlineStr">
        <is>
          <t>558</t>
        </is>
      </c>
      <c r="B127" t="inlineStr">
        <is>
          <t>SIKES MILL</t>
        </is>
      </c>
      <c r="C127">
        <v>0.19</v>
      </c>
      <c r="D127" t="inlineStr">
        <is>
          <t>S</t>
        </is>
      </c>
      <c r="E127" t="inlineStr">
        <is>
          <t>HENRY SMITH</t>
        </is>
      </c>
      <c r="F127" t="inlineStr">
        <is>
          <t>TOM HELMS</t>
        </is>
      </c>
      <c r="G127" t="inlineStr">
        <is>
          <t>SIKES MILL</t>
        </is>
      </c>
      <c r="H127">
        <v>999.999</v>
      </c>
      <c r="J127">
        <v>106612846</v>
      </c>
      <c r="K127" t="inlineStr">
        <is>
          <t>6/30/2021</t>
        </is>
      </c>
      <c r="L127">
        <v>21</v>
      </c>
      <c r="M127">
        <v>1</v>
      </c>
      <c r="N127">
        <v>0</v>
      </c>
      <c r="O127">
        <v>1</v>
      </c>
      <c r="P127" t="inlineStr">
        <is>
          <t>C</t>
        </is>
      </c>
    </row>
    <row r="128">
      <c r="A128" t="inlineStr">
        <is>
          <t>558</t>
        </is>
      </c>
      <c r="B128" t="inlineStr">
        <is>
          <t>SIKES MILL</t>
        </is>
      </c>
      <c r="C128">
        <v>0.21</v>
      </c>
      <c r="D128" t="inlineStr">
        <is>
          <t>N</t>
        </is>
      </c>
      <c r="E128" t="inlineStr">
        <is>
          <t>HENRY SMITH</t>
        </is>
      </c>
      <c r="F128" t="inlineStr">
        <is>
          <t>HAIGLER BAUCOM</t>
        </is>
      </c>
      <c r="G128" t="inlineStr">
        <is>
          <t>SIKES MILL</t>
        </is>
      </c>
      <c r="H128">
        <v>999.999</v>
      </c>
      <c r="J128">
        <v>107337337</v>
      </c>
      <c r="K128" t="inlineStr">
        <is>
          <t>5/16/2023</t>
        </is>
      </c>
      <c r="L128">
        <v>21</v>
      </c>
      <c r="M128">
        <v>1</v>
      </c>
      <c r="N128">
        <v>0</v>
      </c>
      <c r="O128">
        <v>1</v>
      </c>
      <c r="P128" t="inlineStr">
        <is>
          <t>O</t>
        </is>
      </c>
    </row>
    <row r="129">
      <c r="A129" t="inlineStr">
        <is>
          <t>0</t>
        </is>
      </c>
      <c r="B129" t="inlineStr">
        <is>
          <t>SIKES MILL</t>
        </is>
      </c>
      <c r="C129">
        <v>0.0</v>
      </c>
      <c r="E129" t="inlineStr">
        <is>
          <t>NC 218</t>
        </is>
      </c>
      <c r="F129" t="inlineStr">
        <is>
          <t>*LCL OLD FISH RD</t>
        </is>
      </c>
      <c r="G129" t="inlineStr">
        <is>
          <t>SIKES MILL</t>
        </is>
      </c>
      <c r="H129">
        <v>999.999</v>
      </c>
      <c r="J129">
        <v>106882446</v>
      </c>
      <c r="K129" t="inlineStr">
        <is>
          <t>2/27/2022</t>
        </is>
      </c>
      <c r="L129">
        <v>21</v>
      </c>
      <c r="M129">
        <v>2</v>
      </c>
      <c r="N129">
        <v>7</v>
      </c>
      <c r="O129">
        <v>1</v>
      </c>
      <c r="P129" t="inlineStr">
        <is>
          <t>O</t>
        </is>
      </c>
    </row>
    <row r="130">
      <c r="A130" t="inlineStr">
        <is>
          <t>637</t>
        </is>
      </c>
      <c r="B130" t="inlineStr">
        <is>
          <t>SIKES MILL</t>
        </is>
      </c>
      <c r="C130">
        <v>0.11</v>
      </c>
      <c r="D130" t="inlineStr">
        <is>
          <t>N</t>
        </is>
      </c>
      <c r="E130" t="inlineStr">
        <is>
          <t>NC 218</t>
        </is>
      </c>
      <c r="F130" t="inlineStr">
        <is>
          <t>BRIEF</t>
        </is>
      </c>
      <c r="G130" t="inlineStr">
        <is>
          <t>SIKES MILL</t>
        </is>
      </c>
      <c r="H130">
        <v>999.999</v>
      </c>
      <c r="J130">
        <v>107575353</v>
      </c>
      <c r="K130" t="inlineStr">
        <is>
          <t>12/26/2023</t>
        </is>
      </c>
      <c r="L130">
        <v>19</v>
      </c>
      <c r="M130">
        <v>2</v>
      </c>
      <c r="N130">
        <v>0</v>
      </c>
      <c r="O130">
        <v>1</v>
      </c>
      <c r="P130" t="inlineStr">
        <is>
          <t>O</t>
        </is>
      </c>
    </row>
    <row r="131">
      <c r="A131" t="inlineStr">
        <is>
          <t>637</t>
        </is>
      </c>
      <c r="B131" t="inlineStr">
        <is>
          <t>SIKES MILL</t>
        </is>
      </c>
      <c r="C131">
        <v>0.19</v>
      </c>
      <c r="D131" t="inlineStr">
        <is>
          <t>N</t>
        </is>
      </c>
      <c r="E131" t="inlineStr">
        <is>
          <t>NC 218</t>
        </is>
      </c>
      <c r="F131" t="inlineStr">
        <is>
          <t>BRIEF</t>
        </is>
      </c>
      <c r="G131" t="inlineStr">
        <is>
          <t>SIKES MILL</t>
        </is>
      </c>
      <c r="H131">
        <v>999.999</v>
      </c>
      <c r="J131">
        <v>107132496</v>
      </c>
      <c r="K131" t="inlineStr">
        <is>
          <t>11/3/2022</t>
        </is>
      </c>
      <c r="L131">
        <v>28</v>
      </c>
      <c r="M131">
        <v>1</v>
      </c>
      <c r="N131">
        <v>0</v>
      </c>
      <c r="O131">
        <v>1</v>
      </c>
      <c r="P131" t="inlineStr">
        <is>
          <t>O</t>
        </is>
      </c>
    </row>
    <row r="132">
      <c r="A132" t="inlineStr">
        <is>
          <t>637</t>
        </is>
      </c>
      <c r="B132" t="inlineStr">
        <is>
          <t>SIKES MILL</t>
        </is>
      </c>
      <c r="C132">
        <v>0.44</v>
      </c>
      <c r="D132" t="inlineStr">
        <is>
          <t>N</t>
        </is>
      </c>
      <c r="E132" t="inlineStr">
        <is>
          <t>NC 218</t>
        </is>
      </c>
      <c r="F132" t="inlineStr">
        <is>
          <t>BRIEF</t>
        </is>
      </c>
      <c r="G132" t="inlineStr">
        <is>
          <t>SIKES MILL</t>
        </is>
      </c>
      <c r="H132">
        <v>999.999</v>
      </c>
      <c r="J132">
        <v>108296735</v>
      </c>
      <c r="K132" t="inlineStr">
        <is>
          <t>11/6/2025</t>
        </is>
      </c>
      <c r="L132">
        <v>29</v>
      </c>
      <c r="M132">
        <v>1</v>
      </c>
      <c r="N132">
        <v>0</v>
      </c>
      <c r="O132">
        <v>5</v>
      </c>
      <c r="P132" t="inlineStr">
        <is>
          <t>O</t>
        </is>
      </c>
    </row>
    <row r="133">
      <c r="A133" t="inlineStr">
        <is>
          <t>637</t>
        </is>
      </c>
      <c r="B133" t="inlineStr">
        <is>
          <t>SIKES MILL</t>
        </is>
      </c>
      <c r="C133">
        <v>0.0</v>
      </c>
      <c r="E133" t="inlineStr">
        <is>
          <t>OLD FERRY</t>
        </is>
      </c>
      <c r="F133" t="inlineStr">
        <is>
          <t>*LCL BIGGERS CEMETERY RD</t>
        </is>
      </c>
      <c r="G133" t="inlineStr">
        <is>
          <t>SIKES MILL</t>
        </is>
      </c>
      <c r="H133">
        <v>999.999</v>
      </c>
      <c r="J133">
        <v>107885248</v>
      </c>
      <c r="K133" t="inlineStr">
        <is>
          <t>10/16/2024</t>
        </is>
      </c>
      <c r="L133">
        <v>23</v>
      </c>
      <c r="M133">
        <v>1</v>
      </c>
      <c r="N133">
        <v>7</v>
      </c>
      <c r="O133">
        <v>1</v>
      </c>
      <c r="P133" t="inlineStr">
        <is>
          <t>O</t>
        </is>
      </c>
    </row>
    <row r="134">
      <c r="A134" t="inlineStr">
        <is>
          <t>637</t>
        </is>
      </c>
      <c r="B134" t="inlineStr">
        <is>
          <t>SIKES MILL</t>
        </is>
      </c>
      <c r="C134">
        <v>0.019</v>
      </c>
      <c r="D134" t="inlineStr">
        <is>
          <t>S</t>
        </is>
      </c>
      <c r="E134" t="inlineStr">
        <is>
          <t>OLD FERRY</t>
        </is>
      </c>
      <c r="F134" t="inlineStr">
        <is>
          <t>BRIEF</t>
        </is>
      </c>
      <c r="G134" t="inlineStr">
        <is>
          <t>SIKES MILL</t>
        </is>
      </c>
      <c r="H134">
        <v>999.999</v>
      </c>
      <c r="J134">
        <v>106029162</v>
      </c>
      <c r="K134" t="inlineStr">
        <is>
          <t>10/18/2019</t>
        </is>
      </c>
      <c r="L134">
        <v>29</v>
      </c>
      <c r="M134">
        <v>1</v>
      </c>
      <c r="N134">
        <v>0</v>
      </c>
      <c r="O134">
        <v>3</v>
      </c>
      <c r="P134" t="inlineStr">
        <is>
          <t>C</t>
        </is>
      </c>
    </row>
    <row r="135">
      <c r="A135" t="inlineStr">
        <is>
          <t>637</t>
        </is>
      </c>
      <c r="B135" t="inlineStr">
        <is>
          <t>SIKES MILL</t>
        </is>
      </c>
      <c r="C135">
        <v>0.076</v>
      </c>
      <c r="D135" t="inlineStr">
        <is>
          <t>S</t>
        </is>
      </c>
      <c r="E135" t="inlineStr">
        <is>
          <t>OLD FERRY</t>
        </is>
      </c>
      <c r="F135" t="inlineStr">
        <is>
          <t>BRIEF</t>
        </is>
      </c>
      <c r="G135" t="inlineStr">
        <is>
          <t>SIKES MILL</t>
        </is>
      </c>
      <c r="H135">
        <v>999.999</v>
      </c>
      <c r="J135">
        <v>106285749</v>
      </c>
      <c r="K135" t="inlineStr">
        <is>
          <t>7/24/2020</t>
        </is>
      </c>
      <c r="L135">
        <v>29</v>
      </c>
      <c r="M135">
        <v>2</v>
      </c>
      <c r="N135">
        <v>0</v>
      </c>
      <c r="O135">
        <v>1</v>
      </c>
      <c r="P135" t="inlineStr">
        <is>
          <t>O</t>
        </is>
      </c>
    </row>
    <row r="136">
      <c r="A136" t="inlineStr">
        <is>
          <t>637</t>
        </is>
      </c>
      <c r="B136" t="inlineStr">
        <is>
          <t>SIKES MILL</t>
        </is>
      </c>
      <c r="C136">
        <v>0.085</v>
      </c>
      <c r="D136" t="inlineStr">
        <is>
          <t>N</t>
        </is>
      </c>
      <c r="E136" t="inlineStr">
        <is>
          <t>OLD FERRY</t>
        </is>
      </c>
      <c r="F136" t="inlineStr">
        <is>
          <t>*LCL BIGGERS CEMETRY RD</t>
        </is>
      </c>
      <c r="G136" t="inlineStr">
        <is>
          <t>SIKES MILL</t>
        </is>
      </c>
      <c r="H136">
        <v>999.999</v>
      </c>
      <c r="J136">
        <v>108310676</v>
      </c>
      <c r="K136" t="inlineStr">
        <is>
          <t>11/18/2025</t>
        </is>
      </c>
      <c r="L136">
        <v>19</v>
      </c>
      <c r="M136">
        <v>1</v>
      </c>
      <c r="N136">
        <v>0</v>
      </c>
      <c r="O136">
        <v>1</v>
      </c>
      <c r="P136" t="inlineStr">
        <is>
          <t>O</t>
        </is>
      </c>
    </row>
    <row r="137">
      <c r="A137" t="inlineStr">
        <is>
          <t>558</t>
        </is>
      </c>
      <c r="B137" t="inlineStr">
        <is>
          <t>SIKES MILL</t>
        </is>
      </c>
      <c r="C137">
        <v>0.19</v>
      </c>
      <c r="D137" t="inlineStr">
        <is>
          <t>N</t>
        </is>
      </c>
      <c r="E137" t="inlineStr">
        <is>
          <t>OLD FERRY</t>
        </is>
      </c>
      <c r="F137" t="inlineStr">
        <is>
          <t>*LCL BIGGERS CEMETERY RD</t>
        </is>
      </c>
      <c r="G137" t="inlineStr">
        <is>
          <t>SIKES MILL</t>
        </is>
      </c>
      <c r="H137">
        <v>999.999</v>
      </c>
      <c r="J137">
        <v>106626412</v>
      </c>
      <c r="K137" t="inlineStr">
        <is>
          <t>7/9/2021</t>
        </is>
      </c>
      <c r="L137">
        <v>29</v>
      </c>
      <c r="M137">
        <v>2</v>
      </c>
      <c r="N137">
        <v>0</v>
      </c>
      <c r="O137">
        <v>1</v>
      </c>
      <c r="P137" t="inlineStr">
        <is>
          <t>O</t>
        </is>
      </c>
    </row>
    <row r="138">
      <c r="A138" t="inlineStr">
        <is>
          <t>0</t>
        </is>
      </c>
      <c r="B138" t="inlineStr">
        <is>
          <t>SIKES MILL</t>
        </is>
      </c>
      <c r="C138">
        <v>0.2</v>
      </c>
      <c r="D138" t="inlineStr">
        <is>
          <t>S</t>
        </is>
      </c>
      <c r="E138" t="inlineStr">
        <is>
          <t>OLD FERRY</t>
        </is>
      </c>
      <c r="F138" t="inlineStr">
        <is>
          <t>BRIEF</t>
        </is>
      </c>
      <c r="G138" t="inlineStr">
        <is>
          <t>SIKES MILL</t>
        </is>
      </c>
      <c r="H138">
        <v>999.999</v>
      </c>
      <c r="J138">
        <v>106023012</v>
      </c>
      <c r="K138" t="inlineStr">
        <is>
          <t>10/15/2019</t>
        </is>
      </c>
      <c r="L138">
        <v>17</v>
      </c>
      <c r="M138">
        <v>1</v>
      </c>
      <c r="N138">
        <v>0</v>
      </c>
      <c r="O138">
        <v>5</v>
      </c>
      <c r="P138" t="inlineStr">
        <is>
          <t>O</t>
        </is>
      </c>
    </row>
    <row r="139">
      <c r="A139" t="inlineStr">
        <is>
          <t>637</t>
        </is>
      </c>
      <c r="B139" t="inlineStr">
        <is>
          <t>SIKES MILL</t>
        </is>
      </c>
      <c r="C139">
        <v>0.3</v>
      </c>
      <c r="D139" t="inlineStr">
        <is>
          <t>N</t>
        </is>
      </c>
      <c r="E139" t="inlineStr">
        <is>
          <t>OLD FERRY</t>
        </is>
      </c>
      <c r="F139" t="inlineStr">
        <is>
          <t>*LCL BIGGERS CEMETRY RD</t>
        </is>
      </c>
      <c r="G139" t="inlineStr">
        <is>
          <t>SIKES MILL</t>
        </is>
      </c>
      <c r="H139">
        <v>999.999</v>
      </c>
      <c r="J139">
        <v>107748214</v>
      </c>
      <c r="K139" t="inlineStr">
        <is>
          <t>6/12/2024</t>
        </is>
      </c>
      <c r="L139">
        <v>17</v>
      </c>
      <c r="M139">
        <v>1</v>
      </c>
      <c r="N139">
        <v>0</v>
      </c>
      <c r="O139">
        <v>1</v>
      </c>
      <c r="P139" t="inlineStr">
        <is>
          <t>O</t>
        </is>
      </c>
    </row>
    <row r="140">
      <c r="A140" t="inlineStr">
        <is>
          <t>558</t>
        </is>
      </c>
      <c r="B140" t="inlineStr">
        <is>
          <t>SIKES MILL</t>
        </is>
      </c>
      <c r="C140">
        <v>0.0</v>
      </c>
      <c r="E140" t="inlineStr">
        <is>
          <t>PIEDMONT SCHOOL</t>
        </is>
      </c>
      <c r="F140" t="inlineStr">
        <is>
          <t>HENRY SMITH</t>
        </is>
      </c>
      <c r="G140" t="inlineStr">
        <is>
          <t>SIKES MILL</t>
        </is>
      </c>
      <c r="H140">
        <v>999.999</v>
      </c>
      <c r="J140">
        <v>105787598</v>
      </c>
      <c r="K140" t="inlineStr">
        <is>
          <t>2/28/2019</t>
        </is>
      </c>
      <c r="L140">
        <v>24</v>
      </c>
      <c r="M140">
        <v>1</v>
      </c>
      <c r="N140">
        <v>8</v>
      </c>
      <c r="O140">
        <v>1</v>
      </c>
      <c r="P140" t="inlineStr">
        <is>
          <t>C</t>
        </is>
      </c>
    </row>
    <row r="141">
      <c r="A141" t="inlineStr">
        <is>
          <t>558</t>
        </is>
      </c>
      <c r="B141" t="inlineStr">
        <is>
          <t>SIKES MILL</t>
        </is>
      </c>
      <c r="C141">
        <v>0.22</v>
      </c>
      <c r="D141" t="inlineStr">
        <is>
          <t>N</t>
        </is>
      </c>
      <c r="E141" t="inlineStr">
        <is>
          <t>PIEDMONT SCHOOL</t>
        </is>
      </c>
      <c r="F141" t="inlineStr">
        <is>
          <t>HAIGLER BAUCOM</t>
        </is>
      </c>
      <c r="G141" t="inlineStr">
        <is>
          <t>SIKES MILL</t>
        </is>
      </c>
      <c r="H141">
        <v>999.999</v>
      </c>
      <c r="J141">
        <v>104745060</v>
      </c>
      <c r="K141" t="inlineStr">
        <is>
          <t>5/26/2016</t>
        </is>
      </c>
      <c r="L141">
        <v>21</v>
      </c>
      <c r="M141">
        <v>1</v>
      </c>
      <c r="N141">
        <v>0</v>
      </c>
      <c r="O141">
        <v>1</v>
      </c>
      <c r="P141" t="inlineStr">
        <is>
          <t>O</t>
        </is>
      </c>
    </row>
    <row r="142">
      <c r="A142" t="inlineStr">
        <is>
          <t>558</t>
        </is>
      </c>
      <c r="B142" t="inlineStr">
        <is>
          <t>SR 1001</t>
        </is>
      </c>
      <c r="C142">
        <v>0.0</v>
      </c>
      <c r="E142" t="inlineStr">
        <is>
          <t>US 601</t>
        </is>
      </c>
      <c r="F142" t="inlineStr">
        <is>
          <t>US 74</t>
        </is>
      </c>
      <c r="G142" t="inlineStr">
        <is>
          <t>SR 1001</t>
        </is>
      </c>
      <c r="H142">
        <v>0.0</v>
      </c>
      <c r="J142">
        <v>108010266</v>
      </c>
      <c r="K142" t="inlineStr">
        <is>
          <t>2/3/2025</t>
        </is>
      </c>
      <c r="L142">
        <v>21</v>
      </c>
      <c r="M142">
        <v>1</v>
      </c>
      <c r="N142">
        <v>8</v>
      </c>
      <c r="O142">
        <v>1</v>
      </c>
      <c r="P142" t="inlineStr">
        <is>
          <t>O</t>
        </is>
      </c>
      <c r="Q142">
        <v>35.04</v>
      </c>
      <c r="R142">
        <v>-80.53</v>
      </c>
      <c r="S142" t="inlineStr">
        <is>
          <t>DMV349</t>
        </is>
      </c>
    </row>
    <row r="143">
      <c r="A143" t="inlineStr">
        <is>
          <t>0</t>
        </is>
      </c>
      <c r="B143" t="inlineStr">
        <is>
          <t>SR 1001</t>
        </is>
      </c>
      <c r="C143">
        <v>0.0</v>
      </c>
      <c r="E143" t="inlineStr">
        <is>
          <t>US 601</t>
        </is>
      </c>
      <c r="F143" t="inlineStr">
        <is>
          <t>SR 1504</t>
        </is>
      </c>
      <c r="G143" t="inlineStr">
        <is>
          <t>SR 1001</t>
        </is>
      </c>
      <c r="H143">
        <v>0.0</v>
      </c>
      <c r="J143">
        <v>106852598</v>
      </c>
      <c r="K143" t="inlineStr">
        <is>
          <t>2/5/2022</t>
        </is>
      </c>
      <c r="L143">
        <v>19</v>
      </c>
      <c r="M143">
        <v>1</v>
      </c>
      <c r="N143">
        <v>8</v>
      </c>
      <c r="O143">
        <v>5</v>
      </c>
      <c r="P143" t="inlineStr">
        <is>
          <t>O</t>
        </is>
      </c>
    </row>
    <row r="144">
      <c r="A144" t="inlineStr">
        <is>
          <t>0</t>
        </is>
      </c>
      <c r="B144" t="inlineStr">
        <is>
          <t>SR 1001</t>
        </is>
      </c>
      <c r="C144">
        <v>0.0</v>
      </c>
      <c r="E144" t="inlineStr">
        <is>
          <t>US 601</t>
        </is>
      </c>
      <c r="F144" t="inlineStr">
        <is>
          <t>DEAD END</t>
        </is>
      </c>
      <c r="G144" t="inlineStr">
        <is>
          <t>SR 1001</t>
        </is>
      </c>
      <c r="H144">
        <v>0.0</v>
      </c>
      <c r="J144">
        <v>106345655</v>
      </c>
      <c r="K144" t="inlineStr">
        <is>
          <t>9/14/2020</t>
        </is>
      </c>
      <c r="L144">
        <v>30</v>
      </c>
      <c r="M144">
        <v>1</v>
      </c>
      <c r="N144">
        <v>8</v>
      </c>
      <c r="O144">
        <v>5</v>
      </c>
      <c r="P144" t="inlineStr">
        <is>
          <t>A</t>
        </is>
      </c>
    </row>
    <row r="145">
      <c r="A145" t="inlineStr">
        <is>
          <t>0</t>
        </is>
      </c>
      <c r="B145" t="inlineStr">
        <is>
          <t>SR 1001</t>
        </is>
      </c>
      <c r="C145">
        <v>0.0</v>
      </c>
      <c r="E145" t="inlineStr">
        <is>
          <t>US 601</t>
        </is>
      </c>
      <c r="F145" t="inlineStr">
        <is>
          <t>SR 1620</t>
        </is>
      </c>
      <c r="G145" t="inlineStr">
        <is>
          <t>SR 1001</t>
        </is>
      </c>
      <c r="H145">
        <v>0.0</v>
      </c>
      <c r="J145">
        <v>106219230</v>
      </c>
      <c r="K145" t="inlineStr">
        <is>
          <t>5/5/2020</t>
        </is>
      </c>
      <c r="L145">
        <v>19</v>
      </c>
      <c r="M145">
        <v>2</v>
      </c>
      <c r="N145">
        <v>8</v>
      </c>
      <c r="O145">
        <v>5</v>
      </c>
      <c r="P145" t="inlineStr">
        <is>
          <t>B</t>
        </is>
      </c>
    </row>
    <row r="146">
      <c r="A146" t="inlineStr">
        <is>
          <t>0</t>
        </is>
      </c>
      <c r="B146" t="inlineStr">
        <is>
          <t>SR 1001</t>
        </is>
      </c>
      <c r="C146">
        <v>0.0</v>
      </c>
      <c r="E146" t="inlineStr">
        <is>
          <t>US 601</t>
        </is>
      </c>
      <c r="G146" t="inlineStr">
        <is>
          <t>SR 1001</t>
        </is>
      </c>
      <c r="H146">
        <v>0.0</v>
      </c>
      <c r="J146">
        <v>105752124</v>
      </c>
      <c r="K146" t="inlineStr">
        <is>
          <t>1/23/2019</t>
        </is>
      </c>
      <c r="L146">
        <v>21</v>
      </c>
      <c r="M146">
        <v>2</v>
      </c>
      <c r="N146">
        <v>8</v>
      </c>
      <c r="O146">
        <v>5</v>
      </c>
      <c r="P146" t="inlineStr">
        <is>
          <t>C</t>
        </is>
      </c>
    </row>
    <row r="147">
      <c r="A147" t="inlineStr">
        <is>
          <t>0</t>
        </is>
      </c>
      <c r="B147" t="inlineStr">
        <is>
          <t>SR 1001</t>
        </is>
      </c>
      <c r="C147">
        <v>0.0</v>
      </c>
      <c r="E147" t="inlineStr">
        <is>
          <t>US 601</t>
        </is>
      </c>
      <c r="F147" t="inlineStr">
        <is>
          <t>SR 1460</t>
        </is>
      </c>
      <c r="G147" t="inlineStr">
        <is>
          <t>SR 1001</t>
        </is>
      </c>
      <c r="H147">
        <v>0.0</v>
      </c>
      <c r="J147">
        <v>105477289</v>
      </c>
      <c r="K147" t="inlineStr">
        <is>
          <t>5/11/2018</t>
        </is>
      </c>
      <c r="L147">
        <v>24</v>
      </c>
      <c r="M147">
        <v>1</v>
      </c>
      <c r="N147">
        <v>8</v>
      </c>
      <c r="O147">
        <v>5</v>
      </c>
      <c r="P147" t="inlineStr">
        <is>
          <t>C</t>
        </is>
      </c>
    </row>
    <row r="148">
      <c r="A148" t="inlineStr">
        <is>
          <t>0</t>
        </is>
      </c>
      <c r="B148" t="inlineStr">
        <is>
          <t>SIKES MILL</t>
        </is>
      </c>
      <c r="C148">
        <v>1.35</v>
      </c>
      <c r="D148" t="inlineStr">
        <is>
          <t>S</t>
        </is>
      </c>
      <c r="E148" t="inlineStr">
        <is>
          <t>BAUCOM</t>
        </is>
      </c>
      <c r="F148" t="inlineStr">
        <is>
          <t>US 601</t>
        </is>
      </c>
      <c r="G148" t="inlineStr">
        <is>
          <t>SR 1001</t>
        </is>
      </c>
      <c r="H148">
        <v>0.002</v>
      </c>
      <c r="J148">
        <v>106252525</v>
      </c>
      <c r="K148" t="inlineStr">
        <is>
          <t>6/7/2020</t>
        </is>
      </c>
      <c r="L148">
        <v>19</v>
      </c>
      <c r="M148">
        <v>1</v>
      </c>
      <c r="N148">
        <v>8</v>
      </c>
      <c r="O148">
        <v>5</v>
      </c>
      <c r="P148" t="inlineStr">
        <is>
          <t>O</t>
        </is>
      </c>
    </row>
    <row r="149">
      <c r="A149" t="inlineStr">
        <is>
          <t>558</t>
        </is>
      </c>
      <c r="B149" t="inlineStr">
        <is>
          <t>SR 1001</t>
        </is>
      </c>
      <c r="C149">
        <v>0.002</v>
      </c>
      <c r="D149" t="inlineStr">
        <is>
          <t>N</t>
        </is>
      </c>
      <c r="E149" t="inlineStr">
        <is>
          <t>US 601</t>
        </is>
      </c>
      <c r="F149" t="inlineStr">
        <is>
          <t>SPRING LAKE</t>
        </is>
      </c>
      <c r="G149" t="inlineStr">
        <is>
          <t>SR 1001</t>
        </is>
      </c>
      <c r="H149">
        <v>0.002</v>
      </c>
      <c r="J149">
        <v>105520586</v>
      </c>
      <c r="K149" t="inlineStr">
        <is>
          <t>5/23/2018</t>
        </is>
      </c>
      <c r="L149">
        <v>21</v>
      </c>
      <c r="M149">
        <v>1</v>
      </c>
      <c r="N149">
        <v>0</v>
      </c>
      <c r="O149">
        <v>1</v>
      </c>
      <c r="P149" t="inlineStr">
        <is>
          <t>O</t>
        </is>
      </c>
    </row>
    <row r="150">
      <c r="A150" t="inlineStr">
        <is>
          <t>0</t>
        </is>
      </c>
      <c r="B150" t="inlineStr">
        <is>
          <t>SR 1001</t>
        </is>
      </c>
      <c r="C150">
        <v>0.002</v>
      </c>
      <c r="D150" t="inlineStr">
        <is>
          <t>NE</t>
        </is>
      </c>
      <c r="E150" t="inlineStr">
        <is>
          <t>US 601</t>
        </is>
      </c>
      <c r="F150" t="inlineStr">
        <is>
          <t>SPRING LAKE</t>
        </is>
      </c>
      <c r="G150" t="inlineStr">
        <is>
          <t>SR 1001</t>
        </is>
      </c>
      <c r="H150">
        <v>0.002</v>
      </c>
      <c r="J150">
        <v>105326274</v>
      </c>
      <c r="K150" t="inlineStr">
        <is>
          <t>11/25/2017</t>
        </is>
      </c>
      <c r="L150">
        <v>21</v>
      </c>
      <c r="M150">
        <v>1</v>
      </c>
      <c r="N150">
        <v>9</v>
      </c>
      <c r="O150">
        <v>1</v>
      </c>
      <c r="P150" t="inlineStr">
        <is>
          <t>O</t>
        </is>
      </c>
    </row>
    <row r="151">
      <c r="A151" t="inlineStr">
        <is>
          <t>0</t>
        </is>
      </c>
      <c r="B151" t="inlineStr">
        <is>
          <t>SR 1001</t>
        </is>
      </c>
      <c r="C151">
        <v>0.003</v>
      </c>
      <c r="D151" t="inlineStr">
        <is>
          <t>E</t>
        </is>
      </c>
      <c r="E151" t="inlineStr">
        <is>
          <t>US 601</t>
        </is>
      </c>
      <c r="F151" t="inlineStr">
        <is>
          <t>SR 1620</t>
        </is>
      </c>
      <c r="G151" t="inlineStr">
        <is>
          <t>SR 1001</t>
        </is>
      </c>
      <c r="H151">
        <v>0.003</v>
      </c>
      <c r="J151">
        <v>105007511</v>
      </c>
      <c r="K151" t="inlineStr">
        <is>
          <t>2/11/2017</t>
        </is>
      </c>
      <c r="L151">
        <v>27</v>
      </c>
      <c r="M151">
        <v>1</v>
      </c>
      <c r="N151">
        <v>8</v>
      </c>
      <c r="O151">
        <v>5</v>
      </c>
      <c r="P151" t="inlineStr">
        <is>
          <t>B</t>
        </is>
      </c>
    </row>
    <row r="152">
      <c r="A152" t="inlineStr">
        <is>
          <t>558</t>
        </is>
      </c>
      <c r="B152" t="inlineStr">
        <is>
          <t>SR 1001</t>
        </is>
      </c>
      <c r="C152">
        <v>0.004</v>
      </c>
      <c r="D152" t="inlineStr">
        <is>
          <t>N</t>
        </is>
      </c>
      <c r="E152" t="inlineStr">
        <is>
          <t>US 601</t>
        </is>
      </c>
      <c r="F152" t="inlineStr">
        <is>
          <t>SR 1620</t>
        </is>
      </c>
      <c r="G152" t="inlineStr">
        <is>
          <t>SR 1001</t>
        </is>
      </c>
      <c r="H152">
        <v>0.004</v>
      </c>
      <c r="J152">
        <v>107405557</v>
      </c>
      <c r="K152" t="inlineStr">
        <is>
          <t>7/22/2023</t>
        </is>
      </c>
      <c r="L152">
        <v>21</v>
      </c>
      <c r="M152">
        <v>1</v>
      </c>
      <c r="N152">
        <v>9</v>
      </c>
      <c r="O152">
        <v>1</v>
      </c>
      <c r="P152" t="inlineStr">
        <is>
          <t>O</t>
        </is>
      </c>
    </row>
    <row r="153">
      <c r="A153" t="inlineStr">
        <is>
          <t>558</t>
        </is>
      </c>
      <c r="B153" t="inlineStr">
        <is>
          <t>SR 1001</t>
        </is>
      </c>
      <c r="C153">
        <v>0.004</v>
      </c>
      <c r="D153" t="inlineStr">
        <is>
          <t>NE</t>
        </is>
      </c>
      <c r="E153" t="inlineStr">
        <is>
          <t>US 601</t>
        </is>
      </c>
      <c r="F153" t="inlineStr">
        <is>
          <t>SR 1665</t>
        </is>
      </c>
      <c r="G153" t="inlineStr">
        <is>
          <t>SR 1001</t>
        </is>
      </c>
      <c r="H153">
        <v>0.004</v>
      </c>
      <c r="J153">
        <v>106020271</v>
      </c>
      <c r="K153" t="inlineStr">
        <is>
          <t>10/8/2019</t>
        </is>
      </c>
      <c r="L153">
        <v>21</v>
      </c>
      <c r="M153">
        <v>1</v>
      </c>
      <c r="N153">
        <v>0</v>
      </c>
      <c r="O153">
        <v>1</v>
      </c>
      <c r="P153" t="inlineStr">
        <is>
          <t>O</t>
        </is>
      </c>
    </row>
    <row r="154">
      <c r="A154" t="inlineStr">
        <is>
          <t>558</t>
        </is>
      </c>
      <c r="B154" t="inlineStr">
        <is>
          <t>SR 1001</t>
        </is>
      </c>
      <c r="C154">
        <v>0.005</v>
      </c>
      <c r="D154" t="inlineStr">
        <is>
          <t>N</t>
        </is>
      </c>
      <c r="E154" t="inlineStr">
        <is>
          <t>US 601</t>
        </is>
      </c>
      <c r="F154" t="inlineStr">
        <is>
          <t>SR 1620</t>
        </is>
      </c>
      <c r="G154" t="inlineStr">
        <is>
          <t>SR 1001</t>
        </is>
      </c>
      <c r="H154">
        <v>0.005</v>
      </c>
      <c r="J154">
        <v>107088923</v>
      </c>
      <c r="K154" t="inlineStr">
        <is>
          <t>9/21/2022</t>
        </is>
      </c>
      <c r="L154">
        <v>21</v>
      </c>
      <c r="M154">
        <v>1</v>
      </c>
      <c r="N154">
        <v>8</v>
      </c>
      <c r="O154">
        <v>1</v>
      </c>
      <c r="P154" t="inlineStr">
        <is>
          <t>O</t>
        </is>
      </c>
    </row>
    <row r="155">
      <c r="A155" t="inlineStr">
        <is>
          <t>0</t>
        </is>
      </c>
      <c r="B155" t="inlineStr">
        <is>
          <t>SR 1001</t>
        </is>
      </c>
      <c r="C155">
        <v>0.008</v>
      </c>
      <c r="D155" t="inlineStr">
        <is>
          <t>N</t>
        </is>
      </c>
      <c r="E155" t="inlineStr">
        <is>
          <t>US 601</t>
        </is>
      </c>
      <c r="F155" t="inlineStr">
        <is>
          <t>SR 1620</t>
        </is>
      </c>
      <c r="G155" t="inlineStr">
        <is>
          <t>SR 1001</t>
        </is>
      </c>
      <c r="H155">
        <v>0.008</v>
      </c>
      <c r="J155">
        <v>104867496</v>
      </c>
      <c r="K155" t="inlineStr">
        <is>
          <t>9/30/2016</t>
        </is>
      </c>
      <c r="L155">
        <v>19</v>
      </c>
      <c r="M155">
        <v>1</v>
      </c>
      <c r="N155">
        <v>8</v>
      </c>
      <c r="O155">
        <v>5</v>
      </c>
      <c r="P155" t="inlineStr">
        <is>
          <t>O</t>
        </is>
      </c>
    </row>
    <row r="156">
      <c r="A156" t="inlineStr">
        <is>
          <t>558</t>
        </is>
      </c>
      <c r="B156" t="inlineStr">
        <is>
          <t>SR 1001</t>
        </is>
      </c>
      <c r="C156">
        <v>0.01</v>
      </c>
      <c r="D156" t="inlineStr">
        <is>
          <t>NE</t>
        </is>
      </c>
      <c r="E156" t="inlineStr">
        <is>
          <t>US 601</t>
        </is>
      </c>
      <c r="F156" t="inlineStr">
        <is>
          <t>SR 1620</t>
        </is>
      </c>
      <c r="G156" t="inlineStr">
        <is>
          <t>SR 1001</t>
        </is>
      </c>
      <c r="H156">
        <v>0.01</v>
      </c>
      <c r="J156">
        <v>107615459</v>
      </c>
      <c r="K156" t="inlineStr">
        <is>
          <t>2/5/2024</t>
        </is>
      </c>
      <c r="L156">
        <v>29</v>
      </c>
      <c r="M156">
        <v>1</v>
      </c>
      <c r="N156">
        <v>0</v>
      </c>
      <c r="O156">
        <v>3</v>
      </c>
      <c r="P156" t="inlineStr">
        <is>
          <t>O</t>
        </is>
      </c>
      <c r="Q156">
        <v>35.04076</v>
      </c>
      <c r="R156">
        <v>-80.5309</v>
      </c>
      <c r="S156" t="inlineStr">
        <is>
          <t>DMV349CLEANED</t>
        </is>
      </c>
    </row>
    <row r="157">
      <c r="A157" t="inlineStr">
        <is>
          <t>558</t>
        </is>
      </c>
      <c r="B157" t="inlineStr">
        <is>
          <t>SIKES MILL</t>
        </is>
      </c>
      <c r="C157">
        <v>0.038</v>
      </c>
      <c r="D157" t="inlineStr">
        <is>
          <t>N</t>
        </is>
      </c>
      <c r="E157" t="inlineStr">
        <is>
          <t>US 601</t>
        </is>
      </c>
      <c r="F157" t="inlineStr">
        <is>
          <t>SPRING LAKE</t>
        </is>
      </c>
      <c r="G157" t="inlineStr">
        <is>
          <t>SR 1001</t>
        </is>
      </c>
      <c r="H157">
        <v>0.038</v>
      </c>
      <c r="J157">
        <v>107395905</v>
      </c>
      <c r="K157" t="inlineStr">
        <is>
          <t>7/14/2023</t>
        </is>
      </c>
      <c r="L157">
        <v>19</v>
      </c>
      <c r="M157">
        <v>1</v>
      </c>
      <c r="N157">
        <v>0</v>
      </c>
      <c r="O157">
        <v>1</v>
      </c>
      <c r="P157" t="inlineStr">
        <is>
          <t>O</t>
        </is>
      </c>
    </row>
    <row r="158">
      <c r="A158" t="inlineStr">
        <is>
          <t>0</t>
        </is>
      </c>
      <c r="B158" t="inlineStr">
        <is>
          <t>SIKES MILL</t>
        </is>
      </c>
      <c r="C158">
        <v>0.74</v>
      </c>
      <c r="D158" t="inlineStr">
        <is>
          <t>SW</t>
        </is>
      </c>
      <c r="E158" t="inlineStr">
        <is>
          <t>SPRING LAKE</t>
        </is>
      </c>
      <c r="F158" t="inlineStr">
        <is>
          <t>US 601</t>
        </is>
      </c>
      <c r="G158" t="inlineStr">
        <is>
          <t>SR 1001</t>
        </is>
      </c>
      <c r="H158">
        <v>0.145</v>
      </c>
      <c r="J158">
        <v>104717808</v>
      </c>
      <c r="K158" t="inlineStr">
        <is>
          <t>4/26/2016</t>
        </is>
      </c>
      <c r="L158">
        <v>21</v>
      </c>
      <c r="M158">
        <v>1</v>
      </c>
      <c r="N158">
        <v>12</v>
      </c>
      <c r="O158">
        <v>1</v>
      </c>
      <c r="P158" t="inlineStr">
        <is>
          <t>O</t>
        </is>
      </c>
    </row>
    <row r="159">
      <c r="A159" t="inlineStr">
        <is>
          <t>558</t>
        </is>
      </c>
      <c r="B159" t="inlineStr">
        <is>
          <t>SR 1001</t>
        </is>
      </c>
      <c r="C159">
        <v>0.2</v>
      </c>
      <c r="D159" t="inlineStr">
        <is>
          <t>N</t>
        </is>
      </c>
      <c r="E159" t="inlineStr">
        <is>
          <t>US 601</t>
        </is>
      </c>
      <c r="F159" t="inlineStr">
        <is>
          <t>SR 1620</t>
        </is>
      </c>
      <c r="G159" t="inlineStr">
        <is>
          <t>SR 1001</t>
        </is>
      </c>
      <c r="H159">
        <v>0.2</v>
      </c>
      <c r="J159">
        <v>107643542</v>
      </c>
      <c r="K159" t="inlineStr">
        <is>
          <t>3/2/2024</t>
        </is>
      </c>
      <c r="L159">
        <v>19</v>
      </c>
      <c r="M159">
        <v>1</v>
      </c>
      <c r="N159">
        <v>0</v>
      </c>
      <c r="O159">
        <v>2</v>
      </c>
      <c r="P159" t="inlineStr">
        <is>
          <t>C</t>
        </is>
      </c>
      <c r="Q159">
        <v>35.042236</v>
      </c>
      <c r="R159">
        <v>-80.52955</v>
      </c>
      <c r="S159" t="inlineStr">
        <is>
          <t>DMV349CLEANED</t>
        </is>
      </c>
    </row>
    <row r="160">
      <c r="A160" t="inlineStr">
        <is>
          <t>558</t>
        </is>
      </c>
      <c r="B160" t="inlineStr">
        <is>
          <t>SR 1001</t>
        </is>
      </c>
      <c r="C160">
        <v>0.23</v>
      </c>
      <c r="D160" t="inlineStr">
        <is>
          <t>E</t>
        </is>
      </c>
      <c r="E160" t="inlineStr">
        <is>
          <t>US 601</t>
        </is>
      </c>
      <c r="F160" t="inlineStr">
        <is>
          <t>SPRING LAKE</t>
        </is>
      </c>
      <c r="G160" t="inlineStr">
        <is>
          <t>SR 1001</t>
        </is>
      </c>
      <c r="H160">
        <v>0.23</v>
      </c>
      <c r="J160">
        <v>108184095</v>
      </c>
      <c r="K160" t="inlineStr">
        <is>
          <t>7/21/2025</t>
        </is>
      </c>
      <c r="L160">
        <v>19</v>
      </c>
      <c r="M160">
        <v>1</v>
      </c>
      <c r="N160">
        <v>0</v>
      </c>
      <c r="O160">
        <v>1</v>
      </c>
      <c r="P160" t="inlineStr">
        <is>
          <t>A</t>
        </is>
      </c>
      <c r="Q160">
        <v>35.045834</v>
      </c>
      <c r="R160">
        <v>-80.52664</v>
      </c>
      <c r="S160" t="inlineStr">
        <is>
          <t>DMV349CLEANED</t>
        </is>
      </c>
    </row>
    <row r="161">
      <c r="A161" t="inlineStr">
        <is>
          <t>558</t>
        </is>
      </c>
      <c r="B161" t="inlineStr">
        <is>
          <t>SR 1001</t>
        </is>
      </c>
      <c r="C161">
        <v>0.3</v>
      </c>
      <c r="D161" t="inlineStr">
        <is>
          <t>N</t>
        </is>
      </c>
      <c r="E161" t="inlineStr">
        <is>
          <t>US 601</t>
        </is>
      </c>
      <c r="F161" t="inlineStr">
        <is>
          <t>SR 1620</t>
        </is>
      </c>
      <c r="G161" t="inlineStr">
        <is>
          <t>SR 1001</t>
        </is>
      </c>
      <c r="H161">
        <v>0.3</v>
      </c>
      <c r="J161">
        <v>107224114</v>
      </c>
      <c r="K161" t="inlineStr">
        <is>
          <t>1/24/2023</t>
        </is>
      </c>
      <c r="L161">
        <v>19</v>
      </c>
      <c r="M161">
        <v>1</v>
      </c>
      <c r="N161">
        <v>0</v>
      </c>
      <c r="O161">
        <v>5</v>
      </c>
      <c r="P161" t="inlineStr">
        <is>
          <t>O</t>
        </is>
      </c>
    </row>
    <row r="162">
      <c r="A162" t="inlineStr">
        <is>
          <t>558</t>
        </is>
      </c>
      <c r="B162" t="inlineStr">
        <is>
          <t>SR 1001</t>
        </is>
      </c>
      <c r="C162">
        <v>0.35</v>
      </c>
      <c r="D162" t="inlineStr">
        <is>
          <t>N</t>
        </is>
      </c>
      <c r="E162" t="inlineStr">
        <is>
          <t>US 601</t>
        </is>
      </c>
      <c r="F162" t="inlineStr">
        <is>
          <t>SR 1620</t>
        </is>
      </c>
      <c r="G162" t="inlineStr">
        <is>
          <t>SR 1001</t>
        </is>
      </c>
      <c r="H162">
        <v>0.35</v>
      </c>
      <c r="J162">
        <v>105876758</v>
      </c>
      <c r="K162" t="inlineStr">
        <is>
          <t>5/27/2019</t>
        </is>
      </c>
      <c r="L162">
        <v>19</v>
      </c>
      <c r="M162">
        <v>1</v>
      </c>
      <c r="N162">
        <v>0</v>
      </c>
      <c r="O162">
        <v>1</v>
      </c>
      <c r="P162" t="inlineStr">
        <is>
          <t>A</t>
        </is>
      </c>
    </row>
    <row r="163">
      <c r="A163" t="inlineStr">
        <is>
          <t>558</t>
        </is>
      </c>
      <c r="B163" t="inlineStr">
        <is>
          <t>SR 1001</t>
        </is>
      </c>
      <c r="C163">
        <v>1.0</v>
      </c>
      <c r="D163" t="inlineStr">
        <is>
          <t>S</t>
        </is>
      </c>
      <c r="E163" t="inlineStr">
        <is>
          <t>SR 1620</t>
        </is>
      </c>
      <c r="F163" t="inlineStr">
        <is>
          <t>SPRING LAKE</t>
        </is>
      </c>
      <c r="G163" t="inlineStr">
        <is>
          <t>SR 1001</t>
        </is>
      </c>
      <c r="H163">
        <v>0.352</v>
      </c>
      <c r="J163">
        <v>107943300</v>
      </c>
      <c r="K163" t="inlineStr">
        <is>
          <t>12/1/2024</t>
        </is>
      </c>
      <c r="L163">
        <v>17</v>
      </c>
      <c r="M163">
        <v>1</v>
      </c>
      <c r="N163">
        <v>0</v>
      </c>
      <c r="O163">
        <v>5</v>
      </c>
      <c r="P163" t="inlineStr">
        <is>
          <t>O</t>
        </is>
      </c>
      <c r="Q163">
        <v>35.05371</v>
      </c>
      <c r="R163">
        <v>-80.52052</v>
      </c>
      <c r="S163" t="inlineStr">
        <is>
          <t>DMV349CLEANED</t>
        </is>
      </c>
    </row>
    <row r="164">
      <c r="A164" t="inlineStr">
        <is>
          <t>0</t>
        </is>
      </c>
      <c r="B164" t="inlineStr">
        <is>
          <t>SR 1001</t>
        </is>
      </c>
      <c r="C164">
        <v>1.0</v>
      </c>
      <c r="D164" t="inlineStr">
        <is>
          <t>S</t>
        </is>
      </c>
      <c r="E164" t="inlineStr">
        <is>
          <t>SR 1620</t>
        </is>
      </c>
      <c r="F164" t="inlineStr">
        <is>
          <t>SPRING LAKE</t>
        </is>
      </c>
      <c r="G164" t="inlineStr">
        <is>
          <t>SR 1001</t>
        </is>
      </c>
      <c r="H164">
        <v>0.352</v>
      </c>
      <c r="J164">
        <v>106392203</v>
      </c>
      <c r="K164" t="inlineStr">
        <is>
          <t>11/1/2020</t>
        </is>
      </c>
      <c r="L164">
        <v>19</v>
      </c>
      <c r="M164">
        <v>2</v>
      </c>
      <c r="N164">
        <v>0</v>
      </c>
      <c r="O164">
        <v>5</v>
      </c>
      <c r="P164" t="inlineStr">
        <is>
          <t>O</t>
        </is>
      </c>
    </row>
    <row r="165">
      <c r="A165" t="inlineStr">
        <is>
          <t>558</t>
        </is>
      </c>
      <c r="B165" t="inlineStr">
        <is>
          <t>SR 1001</t>
        </is>
      </c>
      <c r="C165">
        <v>0.5</v>
      </c>
      <c r="D165" t="inlineStr">
        <is>
          <t>E</t>
        </is>
      </c>
      <c r="E165" t="inlineStr">
        <is>
          <t>US 601</t>
        </is>
      </c>
      <c r="F165" t="inlineStr">
        <is>
          <t>SPRING LAKE</t>
        </is>
      </c>
      <c r="G165" t="inlineStr">
        <is>
          <t>SR 1001</t>
        </is>
      </c>
      <c r="H165">
        <v>0.5</v>
      </c>
      <c r="J165">
        <v>108339974</v>
      </c>
      <c r="K165" t="inlineStr">
        <is>
          <t>12/2/2025</t>
        </is>
      </c>
      <c r="L165">
        <v>17</v>
      </c>
      <c r="M165">
        <v>2</v>
      </c>
      <c r="N165">
        <v>0</v>
      </c>
      <c r="O165">
        <v>1</v>
      </c>
      <c r="P165" t="inlineStr">
        <is>
          <t>O</t>
        </is>
      </c>
      <c r="Q165">
        <v>35.03374</v>
      </c>
      <c r="R165">
        <v>-80.53659</v>
      </c>
      <c r="S165" t="inlineStr">
        <is>
          <t>DMV349CLEANED</t>
        </is>
      </c>
    </row>
    <row r="166">
      <c r="A166" t="inlineStr">
        <is>
          <t>0</t>
        </is>
      </c>
      <c r="B166" t="inlineStr">
        <is>
          <t>SR 1001</t>
        </is>
      </c>
      <c r="C166">
        <v>0.5</v>
      </c>
      <c r="D166" t="inlineStr">
        <is>
          <t>N</t>
        </is>
      </c>
      <c r="E166" t="inlineStr">
        <is>
          <t>US 601</t>
        </is>
      </c>
      <c r="F166" t="inlineStr">
        <is>
          <t>SR 1620</t>
        </is>
      </c>
      <c r="G166" t="inlineStr">
        <is>
          <t>SR 1001</t>
        </is>
      </c>
      <c r="H166">
        <v>0.5</v>
      </c>
      <c r="J166">
        <v>107466297</v>
      </c>
      <c r="K166" t="inlineStr">
        <is>
          <t>9/20/2023</t>
        </is>
      </c>
      <c r="L166">
        <v>29</v>
      </c>
      <c r="M166">
        <v>1</v>
      </c>
      <c r="N166">
        <v>0</v>
      </c>
      <c r="O166">
        <v>1</v>
      </c>
      <c r="P166" t="inlineStr">
        <is>
          <t>C</t>
        </is>
      </c>
    </row>
    <row r="167">
      <c r="A167" t="inlineStr">
        <is>
          <t>558</t>
        </is>
      </c>
      <c r="B167" t="inlineStr">
        <is>
          <t>SR 1001</t>
        </is>
      </c>
      <c r="C167">
        <v>0.68</v>
      </c>
      <c r="D167" t="inlineStr">
        <is>
          <t>N</t>
        </is>
      </c>
      <c r="E167" t="inlineStr">
        <is>
          <t>US 601</t>
        </is>
      </c>
      <c r="F167" t="inlineStr">
        <is>
          <t>SR 1620</t>
        </is>
      </c>
      <c r="G167" t="inlineStr">
        <is>
          <t>SR 1001</t>
        </is>
      </c>
      <c r="H167">
        <v>0.68</v>
      </c>
      <c r="J167">
        <v>105741595</v>
      </c>
      <c r="K167" t="inlineStr">
        <is>
          <t>1/14/2019</t>
        </is>
      </c>
      <c r="L167">
        <v>17</v>
      </c>
      <c r="M167">
        <v>1</v>
      </c>
      <c r="N167">
        <v>0</v>
      </c>
      <c r="O167">
        <v>3</v>
      </c>
      <c r="P167" t="inlineStr">
        <is>
          <t>O</t>
        </is>
      </c>
    </row>
    <row r="168">
      <c r="A168" t="inlineStr">
        <is>
          <t>558</t>
        </is>
      </c>
      <c r="B168" t="inlineStr">
        <is>
          <t>SIKES MILL</t>
        </is>
      </c>
      <c r="C168">
        <v>0.19</v>
      </c>
      <c r="D168" t="inlineStr">
        <is>
          <t>S</t>
        </is>
      </c>
      <c r="E168" t="inlineStr">
        <is>
          <t>SPRING LAKE</t>
        </is>
      </c>
      <c r="F168" t="inlineStr">
        <is>
          <t>US 601</t>
        </is>
      </c>
      <c r="G168" t="inlineStr">
        <is>
          <t>SR 1001</t>
        </is>
      </c>
      <c r="H168">
        <v>0.695</v>
      </c>
      <c r="J168">
        <v>107653448</v>
      </c>
      <c r="K168" t="inlineStr">
        <is>
          <t>3/12/2024</t>
        </is>
      </c>
      <c r="L168">
        <v>29</v>
      </c>
      <c r="M168">
        <v>1</v>
      </c>
      <c r="N168">
        <v>0</v>
      </c>
      <c r="O168">
        <v>5</v>
      </c>
      <c r="P168" t="inlineStr">
        <is>
          <t>O</t>
        </is>
      </c>
    </row>
    <row r="169">
      <c r="A169" t="inlineStr">
        <is>
          <t>0</t>
        </is>
      </c>
      <c r="B169" t="inlineStr">
        <is>
          <t>SR 1001</t>
        </is>
      </c>
      <c r="C169">
        <v>0.7</v>
      </c>
      <c r="D169" t="inlineStr">
        <is>
          <t>N</t>
        </is>
      </c>
      <c r="E169" t="inlineStr">
        <is>
          <t>US 601</t>
        </is>
      </c>
      <c r="F169" t="inlineStr">
        <is>
          <t>SR 1620</t>
        </is>
      </c>
      <c r="G169" t="inlineStr">
        <is>
          <t>SR 1001</t>
        </is>
      </c>
      <c r="H169">
        <v>0.7</v>
      </c>
      <c r="J169">
        <v>108424807</v>
      </c>
      <c r="K169" t="inlineStr">
        <is>
          <t>3/7/2026</t>
        </is>
      </c>
      <c r="L169">
        <v>29</v>
      </c>
      <c r="M169">
        <v>1</v>
      </c>
      <c r="N169">
        <v>0</v>
      </c>
      <c r="O169">
        <v>1</v>
      </c>
      <c r="P169" t="inlineStr">
        <is>
          <t>O</t>
        </is>
      </c>
      <c r="Q169">
        <v>35.049281</v>
      </c>
      <c r="R169">
        <v>-80.52564</v>
      </c>
      <c r="S169" t="inlineStr">
        <is>
          <t>DMV349CLEANED</t>
        </is>
      </c>
    </row>
    <row r="170">
      <c r="A170" t="inlineStr">
        <is>
          <t>558</t>
        </is>
      </c>
      <c r="B170" t="inlineStr">
        <is>
          <t>SR 1001</t>
        </is>
      </c>
      <c r="C170">
        <v>0.5</v>
      </c>
      <c r="D170" t="inlineStr">
        <is>
          <t>S</t>
        </is>
      </c>
      <c r="E170" t="inlineStr">
        <is>
          <t>BAUCOM</t>
        </is>
      </c>
      <c r="F170" t="inlineStr">
        <is>
          <t>US 601</t>
        </is>
      </c>
      <c r="G170" t="inlineStr">
        <is>
          <t>SR 1001</t>
        </is>
      </c>
      <c r="H170">
        <v>0.852</v>
      </c>
      <c r="J170">
        <v>104938752</v>
      </c>
      <c r="K170" t="inlineStr">
        <is>
          <t>12/6/2016</t>
        </is>
      </c>
      <c r="L170">
        <v>17</v>
      </c>
      <c r="M170">
        <v>1</v>
      </c>
      <c r="N170">
        <v>0</v>
      </c>
      <c r="O170">
        <v>5</v>
      </c>
      <c r="P170" t="inlineStr">
        <is>
          <t>O</t>
        </is>
      </c>
    </row>
    <row r="171">
      <c r="A171" t="inlineStr">
        <is>
          <t>0</t>
        </is>
      </c>
      <c r="B171" t="inlineStr">
        <is>
          <t>SIKES MILL</t>
        </is>
      </c>
      <c r="C171">
        <v>0.002</v>
      </c>
      <c r="D171" t="inlineStr">
        <is>
          <t>S</t>
        </is>
      </c>
      <c r="E171" t="inlineStr">
        <is>
          <t>SPRING LAKE</t>
        </is>
      </c>
      <c r="F171" t="inlineStr">
        <is>
          <t>US 601</t>
        </is>
      </c>
      <c r="G171" t="inlineStr">
        <is>
          <t>SR 1001</t>
        </is>
      </c>
      <c r="H171">
        <v>0.883</v>
      </c>
      <c r="J171">
        <v>106059402</v>
      </c>
      <c r="K171" t="inlineStr">
        <is>
          <t>11/8/2019</t>
        </is>
      </c>
      <c r="L171">
        <v>19</v>
      </c>
      <c r="M171">
        <v>2</v>
      </c>
      <c r="N171">
        <v>0</v>
      </c>
      <c r="O171">
        <v>4</v>
      </c>
      <c r="P171" t="inlineStr">
        <is>
          <t>B</t>
        </is>
      </c>
    </row>
    <row r="172">
      <c r="A172" t="inlineStr">
        <is>
          <t>558</t>
        </is>
      </c>
      <c r="B172" t="inlineStr">
        <is>
          <t>SR 1001</t>
        </is>
      </c>
      <c r="C172">
        <v>0.004</v>
      </c>
      <c r="D172" t="inlineStr">
        <is>
          <t>N</t>
        </is>
      </c>
      <c r="E172" t="inlineStr">
        <is>
          <t>SPRING LAKE</t>
        </is>
      </c>
      <c r="F172" t="inlineStr">
        <is>
          <t>SR 1620</t>
        </is>
      </c>
      <c r="G172" t="inlineStr">
        <is>
          <t>SR 1001</t>
        </is>
      </c>
      <c r="H172">
        <v>0.889</v>
      </c>
      <c r="J172">
        <v>106976262</v>
      </c>
      <c r="K172" t="inlineStr">
        <is>
          <t>6/2/2022</t>
        </is>
      </c>
      <c r="L172">
        <v>19</v>
      </c>
      <c r="M172">
        <v>1</v>
      </c>
      <c r="N172">
        <v>0</v>
      </c>
      <c r="O172">
        <v>5</v>
      </c>
      <c r="P172" t="inlineStr">
        <is>
          <t>C</t>
        </is>
      </c>
    </row>
    <row r="173">
      <c r="A173" t="inlineStr">
        <is>
          <t>558</t>
        </is>
      </c>
      <c r="B173" t="inlineStr">
        <is>
          <t>SIKES MILL</t>
        </is>
      </c>
      <c r="C173">
        <v>0.076</v>
      </c>
      <c r="D173" t="inlineStr">
        <is>
          <t>N</t>
        </is>
      </c>
      <c r="E173" t="inlineStr">
        <is>
          <t>SPRING LAKE</t>
        </is>
      </c>
      <c r="F173" t="inlineStr">
        <is>
          <t>BAUCOM</t>
        </is>
      </c>
      <c r="G173" t="inlineStr">
        <is>
          <t>SR 1001</t>
        </is>
      </c>
      <c r="H173">
        <v>0.961</v>
      </c>
      <c r="J173">
        <v>105442537</v>
      </c>
      <c r="K173" t="inlineStr">
        <is>
          <t>4/12/2018</t>
        </is>
      </c>
      <c r="L173">
        <v>19</v>
      </c>
      <c r="M173">
        <v>1</v>
      </c>
      <c r="N173">
        <v>0</v>
      </c>
      <c r="O173">
        <v>1</v>
      </c>
      <c r="P173" t="inlineStr">
        <is>
          <t>O</t>
        </is>
      </c>
    </row>
    <row r="174">
      <c r="A174" t="inlineStr">
        <is>
          <t>558</t>
        </is>
      </c>
      <c r="B174" t="inlineStr">
        <is>
          <t>SR 1001</t>
        </is>
      </c>
      <c r="C174">
        <v>1.0</v>
      </c>
      <c r="D174" t="inlineStr">
        <is>
          <t>N</t>
        </is>
      </c>
      <c r="E174" t="inlineStr">
        <is>
          <t>US 601</t>
        </is>
      </c>
      <c r="F174" t="inlineStr">
        <is>
          <t>SR 1620</t>
        </is>
      </c>
      <c r="G174" t="inlineStr">
        <is>
          <t>SR 1001</t>
        </is>
      </c>
      <c r="H174">
        <v>1.0</v>
      </c>
      <c r="J174">
        <v>107900538</v>
      </c>
      <c r="K174" t="inlineStr">
        <is>
          <t>10/21/2024</t>
        </is>
      </c>
      <c r="L174">
        <v>14</v>
      </c>
      <c r="M174">
        <v>1</v>
      </c>
      <c r="N174">
        <v>0</v>
      </c>
      <c r="O174">
        <v>1</v>
      </c>
      <c r="P174" t="inlineStr">
        <is>
          <t>C</t>
        </is>
      </c>
      <c r="Q174">
        <v>35.0539</v>
      </c>
      <c r="R174">
        <v>-80.523561</v>
      </c>
      <c r="S174" t="inlineStr">
        <is>
          <t>VHB_PEDBIKE</t>
        </is>
      </c>
    </row>
    <row r="175">
      <c r="A175" t="inlineStr">
        <is>
          <t>0</t>
        </is>
      </c>
      <c r="B175" t="inlineStr">
        <is>
          <t>SR 1001</t>
        </is>
      </c>
      <c r="C175">
        <v>1.0</v>
      </c>
      <c r="D175" t="inlineStr">
        <is>
          <t>N</t>
        </is>
      </c>
      <c r="E175" t="inlineStr">
        <is>
          <t>US 601</t>
        </is>
      </c>
      <c r="F175" t="inlineStr">
        <is>
          <t>SR 1620</t>
        </is>
      </c>
      <c r="G175" t="inlineStr">
        <is>
          <t>SR 1001</t>
        </is>
      </c>
      <c r="H175">
        <v>1.0</v>
      </c>
      <c r="J175">
        <v>106572928</v>
      </c>
      <c r="K175" t="inlineStr">
        <is>
          <t>5/11/2021</t>
        </is>
      </c>
      <c r="L175">
        <v>19</v>
      </c>
      <c r="M175">
        <v>1</v>
      </c>
      <c r="N175">
        <v>0</v>
      </c>
      <c r="O175">
        <v>1</v>
      </c>
      <c r="P175" t="inlineStr">
        <is>
          <t>C</t>
        </is>
      </c>
    </row>
    <row r="176">
      <c r="A176" t="inlineStr">
        <is>
          <t>0</t>
        </is>
      </c>
      <c r="B176" t="inlineStr">
        <is>
          <t>SIKES MILL</t>
        </is>
      </c>
      <c r="C176">
        <v>0.13</v>
      </c>
      <c r="D176" t="inlineStr">
        <is>
          <t>N</t>
        </is>
      </c>
      <c r="E176" t="inlineStr">
        <is>
          <t>SPRING LAKE</t>
        </is>
      </c>
      <c r="F176" t="inlineStr">
        <is>
          <t>CHANEY</t>
        </is>
      </c>
      <c r="G176" t="inlineStr">
        <is>
          <t>SR 1001</t>
        </is>
      </c>
      <c r="H176">
        <v>1.015</v>
      </c>
      <c r="J176">
        <v>107715447</v>
      </c>
      <c r="K176" t="inlineStr">
        <is>
          <t>5/7/2024</t>
        </is>
      </c>
      <c r="L176">
        <v>17</v>
      </c>
      <c r="M176">
        <v>1</v>
      </c>
      <c r="N176">
        <v>0</v>
      </c>
      <c r="O176">
        <v>5</v>
      </c>
      <c r="P176" t="inlineStr">
        <is>
          <t>O</t>
        </is>
      </c>
    </row>
    <row r="177">
      <c r="A177" t="inlineStr">
        <is>
          <t>0</t>
        </is>
      </c>
      <c r="B177" t="inlineStr">
        <is>
          <t>SR 1001</t>
        </is>
      </c>
      <c r="C177">
        <v>0.19</v>
      </c>
      <c r="D177" t="inlineStr">
        <is>
          <t>N</t>
        </is>
      </c>
      <c r="E177" t="inlineStr">
        <is>
          <t>SPRING LAKE</t>
        </is>
      </c>
      <c r="F177" t="inlineStr">
        <is>
          <t>SR 1620</t>
        </is>
      </c>
      <c r="G177" t="inlineStr">
        <is>
          <t>SR 1001</t>
        </is>
      </c>
      <c r="H177">
        <v>1.075</v>
      </c>
      <c r="J177">
        <v>108256185</v>
      </c>
      <c r="K177" t="inlineStr">
        <is>
          <t>10/5/2025</t>
        </is>
      </c>
      <c r="L177">
        <v>17</v>
      </c>
      <c r="M177">
        <v>1</v>
      </c>
      <c r="N177">
        <v>0</v>
      </c>
      <c r="O177">
        <v>1</v>
      </c>
      <c r="P177" t="inlineStr">
        <is>
          <t>O</t>
        </is>
      </c>
      <c r="Q177">
        <v>35.05456</v>
      </c>
      <c r="R177">
        <v>-80.52333</v>
      </c>
      <c r="S177" t="inlineStr">
        <is>
          <t>DMV349CLEANED</t>
        </is>
      </c>
    </row>
    <row r="178">
      <c r="A178" t="inlineStr">
        <is>
          <t>558</t>
        </is>
      </c>
      <c r="B178" t="inlineStr">
        <is>
          <t>SIKES MILL</t>
        </is>
      </c>
      <c r="C178">
        <v>0.26</v>
      </c>
      <c r="D178" t="inlineStr">
        <is>
          <t>S</t>
        </is>
      </c>
      <c r="E178" t="inlineStr">
        <is>
          <t>BAUCOM</t>
        </is>
      </c>
      <c r="F178" t="inlineStr">
        <is>
          <t>US 601</t>
        </is>
      </c>
      <c r="G178" t="inlineStr">
        <is>
          <t>SR 1001</t>
        </is>
      </c>
      <c r="H178">
        <v>1.092</v>
      </c>
      <c r="J178">
        <v>105898128</v>
      </c>
      <c r="K178" t="inlineStr">
        <is>
          <t>6/13/2019</t>
        </is>
      </c>
      <c r="L178">
        <v>17</v>
      </c>
      <c r="M178">
        <v>1</v>
      </c>
      <c r="N178">
        <v>0</v>
      </c>
      <c r="O178">
        <v>5</v>
      </c>
      <c r="P178" t="inlineStr">
        <is>
          <t>O</t>
        </is>
      </c>
    </row>
    <row r="179">
      <c r="A179" t="inlineStr">
        <is>
          <t>0</t>
        </is>
      </c>
      <c r="B179" t="inlineStr">
        <is>
          <t>SIKES MILL</t>
        </is>
      </c>
      <c r="C179">
        <v>1.1</v>
      </c>
      <c r="D179" t="inlineStr">
        <is>
          <t>N</t>
        </is>
      </c>
      <c r="E179" t="inlineStr">
        <is>
          <t>CONCORD</t>
        </is>
      </c>
      <c r="F179" t="inlineStr">
        <is>
          <t>BAUCOM</t>
        </is>
      </c>
      <c r="G179" t="inlineStr">
        <is>
          <t>SR 1001</t>
        </is>
      </c>
      <c r="H179">
        <v>1.1</v>
      </c>
      <c r="J179">
        <v>106028073</v>
      </c>
      <c r="K179" t="inlineStr">
        <is>
          <t>10/18/2019</t>
        </is>
      </c>
      <c r="L179">
        <v>17</v>
      </c>
      <c r="M179">
        <v>1</v>
      </c>
      <c r="N179">
        <v>0</v>
      </c>
      <c r="O179">
        <v>5</v>
      </c>
      <c r="P179" t="inlineStr">
        <is>
          <t>O</t>
        </is>
      </c>
    </row>
    <row r="180">
      <c r="A180" t="inlineStr">
        <is>
          <t>558</t>
        </is>
      </c>
      <c r="B180" t="inlineStr">
        <is>
          <t>SR 1001</t>
        </is>
      </c>
      <c r="C180">
        <v>0.24</v>
      </c>
      <c r="D180" t="inlineStr">
        <is>
          <t>S</t>
        </is>
      </c>
      <c r="E180" t="inlineStr">
        <is>
          <t>SR 1620</t>
        </is>
      </c>
      <c r="F180" t="inlineStr">
        <is>
          <t>US 601</t>
        </is>
      </c>
      <c r="G180" t="inlineStr">
        <is>
          <t>SR 1001</t>
        </is>
      </c>
      <c r="H180">
        <v>1.112</v>
      </c>
      <c r="J180">
        <v>108478263</v>
      </c>
      <c r="K180" t="inlineStr">
        <is>
          <t>4/24/2026</t>
        </is>
      </c>
      <c r="L180">
        <v>23</v>
      </c>
      <c r="M180">
        <v>1</v>
      </c>
      <c r="N180">
        <v>0</v>
      </c>
      <c r="O180">
        <v>1</v>
      </c>
      <c r="P180" t="inlineStr">
        <is>
          <t>O</t>
        </is>
      </c>
      <c r="Q180">
        <v>35.05437</v>
      </c>
      <c r="R180">
        <v>-80.52348</v>
      </c>
      <c r="S180" t="inlineStr">
        <is>
          <t>DMV349</t>
        </is>
      </c>
    </row>
    <row r="181">
      <c r="A181" t="inlineStr">
        <is>
          <t>558</t>
        </is>
      </c>
      <c r="B181" t="inlineStr">
        <is>
          <t>SIKES MILL</t>
        </is>
      </c>
      <c r="C181">
        <v>0.23</v>
      </c>
      <c r="D181" t="inlineStr">
        <is>
          <t>SW</t>
        </is>
      </c>
      <c r="E181" t="inlineStr">
        <is>
          <t>BAUCOM</t>
        </is>
      </c>
      <c r="F181" t="inlineStr">
        <is>
          <t>US 601</t>
        </is>
      </c>
      <c r="G181" t="inlineStr">
        <is>
          <t>SR 1001</t>
        </is>
      </c>
      <c r="H181">
        <v>1.122</v>
      </c>
      <c r="J181">
        <v>105934391</v>
      </c>
      <c r="K181" t="inlineStr">
        <is>
          <t>7/22/2019</t>
        </is>
      </c>
      <c r="L181">
        <v>19</v>
      </c>
      <c r="M181">
        <v>1</v>
      </c>
      <c r="N181">
        <v>0</v>
      </c>
      <c r="O181">
        <v>1</v>
      </c>
      <c r="P181" t="inlineStr">
        <is>
          <t>O</t>
        </is>
      </c>
    </row>
    <row r="182">
      <c r="A182" t="inlineStr">
        <is>
          <t>558</t>
        </is>
      </c>
      <c r="B182" t="inlineStr">
        <is>
          <t>SIKES MILL</t>
        </is>
      </c>
      <c r="C182">
        <v>1.16</v>
      </c>
      <c r="D182" t="inlineStr">
        <is>
          <t>N</t>
        </is>
      </c>
      <c r="E182" t="inlineStr">
        <is>
          <t>US 601</t>
        </is>
      </c>
      <c r="F182" t="inlineStr">
        <is>
          <t>BAUCOM</t>
        </is>
      </c>
      <c r="G182" t="inlineStr">
        <is>
          <t>SR 1001</t>
        </is>
      </c>
      <c r="H182">
        <v>1.16</v>
      </c>
      <c r="J182">
        <v>107470651</v>
      </c>
      <c r="K182" t="inlineStr">
        <is>
          <t>9/19/2023</t>
        </is>
      </c>
      <c r="L182">
        <v>17</v>
      </c>
      <c r="M182">
        <v>1</v>
      </c>
      <c r="N182">
        <v>0</v>
      </c>
      <c r="O182">
        <v>5</v>
      </c>
      <c r="P182" t="inlineStr">
        <is>
          <t>O</t>
        </is>
      </c>
    </row>
    <row r="183">
      <c r="A183" t="inlineStr">
        <is>
          <t>558</t>
        </is>
      </c>
      <c r="B183" t="inlineStr">
        <is>
          <t>SR 1001</t>
        </is>
      </c>
      <c r="C183">
        <v>0.1</v>
      </c>
      <c r="D183" t="inlineStr">
        <is>
          <t>W</t>
        </is>
      </c>
      <c r="E183" t="inlineStr">
        <is>
          <t>SR 1620</t>
        </is>
      </c>
      <c r="F183" t="inlineStr">
        <is>
          <t>NC 200</t>
        </is>
      </c>
      <c r="G183" t="inlineStr">
        <is>
          <t>SR 1001</t>
        </is>
      </c>
      <c r="H183">
        <v>1.252</v>
      </c>
      <c r="J183">
        <v>105723366</v>
      </c>
      <c r="K183" t="inlineStr">
        <is>
          <t>12/27/2018</t>
        </is>
      </c>
      <c r="L183">
        <v>28</v>
      </c>
      <c r="M183">
        <v>1</v>
      </c>
      <c r="N183">
        <v>0</v>
      </c>
      <c r="O183">
        <v>1</v>
      </c>
      <c r="P183" t="inlineStr">
        <is>
          <t>O</t>
        </is>
      </c>
    </row>
    <row r="184">
      <c r="A184" t="inlineStr">
        <is>
          <t>558</t>
        </is>
      </c>
      <c r="B184" t="inlineStr">
        <is>
          <t>SIKES MILL</t>
        </is>
      </c>
      <c r="C184">
        <v>0.019</v>
      </c>
      <c r="D184" t="inlineStr">
        <is>
          <t>S</t>
        </is>
      </c>
      <c r="E184" t="inlineStr">
        <is>
          <t>BAUCOM</t>
        </is>
      </c>
      <c r="F184" t="inlineStr">
        <is>
          <t>SPRING LAKE</t>
        </is>
      </c>
      <c r="G184" t="inlineStr">
        <is>
          <t>SR 1001</t>
        </is>
      </c>
      <c r="H184">
        <v>1.333</v>
      </c>
      <c r="J184">
        <v>106776645</v>
      </c>
      <c r="K184" t="inlineStr">
        <is>
          <t>11/19/2021</t>
        </is>
      </c>
      <c r="L184">
        <v>17</v>
      </c>
      <c r="M184">
        <v>1</v>
      </c>
      <c r="N184">
        <v>0</v>
      </c>
      <c r="O184">
        <v>5</v>
      </c>
      <c r="P184" t="inlineStr">
        <is>
          <t>O</t>
        </is>
      </c>
    </row>
    <row r="185">
      <c r="A185" t="inlineStr">
        <is>
          <t>558</t>
        </is>
      </c>
      <c r="B185" t="inlineStr">
        <is>
          <t>SIKES MILL</t>
        </is>
      </c>
      <c r="C185">
        <v>0.019</v>
      </c>
      <c r="D185" t="inlineStr">
        <is>
          <t>S</t>
        </is>
      </c>
      <c r="E185" t="inlineStr">
        <is>
          <t>BAUCOM</t>
        </is>
      </c>
      <c r="F185" t="inlineStr">
        <is>
          <t>US 601</t>
        </is>
      </c>
      <c r="G185" t="inlineStr">
        <is>
          <t>SR 1001</t>
        </is>
      </c>
      <c r="H185">
        <v>1.333</v>
      </c>
      <c r="J185">
        <v>108314414</v>
      </c>
      <c r="K185" t="inlineStr">
        <is>
          <t>11/21/2025</t>
        </is>
      </c>
      <c r="L185">
        <v>21</v>
      </c>
      <c r="M185">
        <v>2</v>
      </c>
      <c r="N185">
        <v>0</v>
      </c>
      <c r="O185">
        <v>1</v>
      </c>
      <c r="P185" t="inlineStr">
        <is>
          <t>O</t>
        </is>
      </c>
    </row>
    <row r="186">
      <c r="A186" t="inlineStr">
        <is>
          <t>558</t>
        </is>
      </c>
      <c r="B186" t="inlineStr">
        <is>
          <t>SR 1001</t>
        </is>
      </c>
      <c r="C186">
        <v>0.005</v>
      </c>
      <c r="D186" t="inlineStr">
        <is>
          <t>S</t>
        </is>
      </c>
      <c r="E186" t="inlineStr">
        <is>
          <t>SR 1620</t>
        </is>
      </c>
      <c r="F186" t="inlineStr">
        <is>
          <t>SPRING LAKE</t>
        </is>
      </c>
      <c r="G186" t="inlineStr">
        <is>
          <t>SR 1001</t>
        </is>
      </c>
      <c r="H186">
        <v>1.347</v>
      </c>
      <c r="J186">
        <v>105596512</v>
      </c>
      <c r="K186" t="inlineStr">
        <is>
          <t>8/15/2018</t>
        </is>
      </c>
      <c r="L186">
        <v>19</v>
      </c>
      <c r="M186">
        <v>1</v>
      </c>
      <c r="N186">
        <v>0</v>
      </c>
      <c r="O186">
        <v>1</v>
      </c>
      <c r="P186" t="inlineStr">
        <is>
          <t>O</t>
        </is>
      </c>
    </row>
    <row r="187">
      <c r="A187" t="inlineStr">
        <is>
          <t>558</t>
        </is>
      </c>
      <c r="B187" t="inlineStr">
        <is>
          <t>SIKES MILL</t>
        </is>
      </c>
      <c r="C187">
        <v>0.0</v>
      </c>
      <c r="E187" t="inlineStr">
        <is>
          <t>BAUCOM</t>
        </is>
      </c>
      <c r="F187" t="inlineStr">
        <is>
          <t>US 601</t>
        </is>
      </c>
      <c r="G187" t="inlineStr">
        <is>
          <t>SR 1001</t>
        </is>
      </c>
      <c r="H187">
        <v>1.352</v>
      </c>
      <c r="J187">
        <v>107030009</v>
      </c>
      <c r="K187" t="inlineStr">
        <is>
          <t>7/29/2022</t>
        </is>
      </c>
      <c r="L187">
        <v>13</v>
      </c>
      <c r="M187">
        <v>1</v>
      </c>
      <c r="N187">
        <v>8</v>
      </c>
      <c r="O187">
        <v>1</v>
      </c>
      <c r="P187" t="inlineStr">
        <is>
          <t>O</t>
        </is>
      </c>
    </row>
    <row r="188">
      <c r="A188" t="inlineStr">
        <is>
          <t>0</t>
        </is>
      </c>
      <c r="B188" t="inlineStr">
        <is>
          <t>SR 1001</t>
        </is>
      </c>
      <c r="C188">
        <v>0.0</v>
      </c>
      <c r="E188" t="inlineStr">
        <is>
          <t>SR 1620</t>
        </is>
      </c>
      <c r="F188" t="inlineStr">
        <is>
          <t>SR 1615</t>
        </is>
      </c>
      <c r="G188" t="inlineStr">
        <is>
          <t>SR 1001</t>
        </is>
      </c>
      <c r="H188">
        <v>1.352</v>
      </c>
      <c r="J188">
        <v>106971893</v>
      </c>
      <c r="K188" t="inlineStr">
        <is>
          <t>5/28/2022</t>
        </is>
      </c>
      <c r="L188">
        <v>23</v>
      </c>
      <c r="M188">
        <v>1</v>
      </c>
      <c r="N188">
        <v>8</v>
      </c>
      <c r="O188">
        <v>1</v>
      </c>
      <c r="P188" t="inlineStr">
        <is>
          <t>O</t>
        </is>
      </c>
    </row>
    <row r="189">
      <c r="A189" t="inlineStr">
        <is>
          <t>558</t>
        </is>
      </c>
      <c r="B189" t="inlineStr">
        <is>
          <t>SIKES MILL</t>
        </is>
      </c>
      <c r="C189">
        <v>0.009</v>
      </c>
      <c r="D189" t="inlineStr">
        <is>
          <t>N</t>
        </is>
      </c>
      <c r="E189" t="inlineStr">
        <is>
          <t>BAUCOM</t>
        </is>
      </c>
      <c r="F189" t="inlineStr">
        <is>
          <t>CHANEY</t>
        </is>
      </c>
      <c r="G189" t="inlineStr">
        <is>
          <t>SR 1001</t>
        </is>
      </c>
      <c r="H189">
        <v>1.361</v>
      </c>
      <c r="J189">
        <v>104780506</v>
      </c>
      <c r="K189" t="inlineStr">
        <is>
          <t>7/2/2016</t>
        </is>
      </c>
      <c r="L189">
        <v>21</v>
      </c>
      <c r="M189">
        <v>1</v>
      </c>
      <c r="N189">
        <v>8</v>
      </c>
      <c r="O189">
        <v>1</v>
      </c>
      <c r="P189" t="inlineStr">
        <is>
          <t>O</t>
        </is>
      </c>
    </row>
    <row r="190">
      <c r="A190" t="inlineStr">
        <is>
          <t>0</t>
        </is>
      </c>
      <c r="B190" t="inlineStr">
        <is>
          <t>SR 1001</t>
        </is>
      </c>
      <c r="C190">
        <v>0.019</v>
      </c>
      <c r="D190" t="inlineStr">
        <is>
          <t>E</t>
        </is>
      </c>
      <c r="E190" t="inlineStr">
        <is>
          <t>SR 1620</t>
        </is>
      </c>
      <c r="F190" t="inlineStr">
        <is>
          <t>US 601</t>
        </is>
      </c>
      <c r="G190" t="inlineStr">
        <is>
          <t>SR 1001</t>
        </is>
      </c>
      <c r="H190">
        <v>1.371</v>
      </c>
      <c r="J190">
        <v>106072796</v>
      </c>
      <c r="K190" t="inlineStr">
        <is>
          <t>11/23/2019</t>
        </is>
      </c>
      <c r="L190">
        <v>19</v>
      </c>
      <c r="M190">
        <v>1</v>
      </c>
      <c r="N190">
        <v>0</v>
      </c>
      <c r="O190">
        <v>1</v>
      </c>
      <c r="P190" t="inlineStr">
        <is>
          <t>O</t>
        </is>
      </c>
    </row>
    <row r="191">
      <c r="A191" t="inlineStr">
        <is>
          <t>558</t>
        </is>
      </c>
      <c r="B191" t="inlineStr">
        <is>
          <t>SR 1001</t>
        </is>
      </c>
      <c r="C191">
        <v>0.028</v>
      </c>
      <c r="D191" t="inlineStr">
        <is>
          <t>N</t>
        </is>
      </c>
      <c r="E191" t="inlineStr">
        <is>
          <t>SR 1620</t>
        </is>
      </c>
      <c r="F191" t="inlineStr">
        <is>
          <t>SR 1665</t>
        </is>
      </c>
      <c r="G191" t="inlineStr">
        <is>
          <t>SR 1001</t>
        </is>
      </c>
      <c r="H191">
        <v>1.38</v>
      </c>
      <c r="J191">
        <v>108296963</v>
      </c>
      <c r="K191" t="inlineStr">
        <is>
          <t>10/29/2025</t>
        </is>
      </c>
      <c r="L191">
        <v>21</v>
      </c>
      <c r="M191">
        <v>2</v>
      </c>
      <c r="N191">
        <v>0</v>
      </c>
      <c r="O191">
        <v>1</v>
      </c>
      <c r="P191" t="inlineStr">
        <is>
          <t>O</t>
        </is>
      </c>
      <c r="Q191">
        <v>35.05</v>
      </c>
      <c r="R191">
        <v>-80.52</v>
      </c>
      <c r="S191" t="inlineStr">
        <is>
          <t>DMV349</t>
        </is>
      </c>
    </row>
    <row r="192">
      <c r="A192" t="inlineStr">
        <is>
          <t>558</t>
        </is>
      </c>
      <c r="B192" t="inlineStr">
        <is>
          <t>SIKES MILL</t>
        </is>
      </c>
      <c r="C192">
        <v>0.029</v>
      </c>
      <c r="D192" t="inlineStr">
        <is>
          <t>N</t>
        </is>
      </c>
      <c r="E192" t="inlineStr">
        <is>
          <t>BAUCOM</t>
        </is>
      </c>
      <c r="F192" t="inlineStr">
        <is>
          <t>CHANEY</t>
        </is>
      </c>
      <c r="G192" t="inlineStr">
        <is>
          <t>SR 1001</t>
        </is>
      </c>
      <c r="H192">
        <v>1.381</v>
      </c>
      <c r="J192">
        <v>106254958</v>
      </c>
      <c r="K192" t="inlineStr">
        <is>
          <t>6/19/2020</t>
        </is>
      </c>
      <c r="L192">
        <v>19</v>
      </c>
      <c r="M192">
        <v>1</v>
      </c>
      <c r="N192">
        <v>8</v>
      </c>
      <c r="O192">
        <v>1</v>
      </c>
      <c r="P192" t="inlineStr">
        <is>
          <t>C</t>
        </is>
      </c>
    </row>
    <row r="193">
      <c r="A193" t="inlineStr">
        <is>
          <t>558</t>
        </is>
      </c>
      <c r="B193" t="inlineStr">
        <is>
          <t>SR 1001</t>
        </is>
      </c>
      <c r="C193">
        <v>0.053</v>
      </c>
      <c r="D193" t="inlineStr">
        <is>
          <t>N</t>
        </is>
      </c>
      <c r="E193" t="inlineStr">
        <is>
          <t>SR 1620</t>
        </is>
      </c>
      <c r="F193" t="inlineStr">
        <is>
          <t>SR 1665</t>
        </is>
      </c>
      <c r="G193" t="inlineStr">
        <is>
          <t>SR 1001</t>
        </is>
      </c>
      <c r="H193">
        <v>1.405</v>
      </c>
      <c r="J193">
        <v>108285791</v>
      </c>
      <c r="K193" t="inlineStr">
        <is>
          <t>10/29/2025</t>
        </is>
      </c>
      <c r="L193">
        <v>29</v>
      </c>
      <c r="M193">
        <v>2</v>
      </c>
      <c r="N193">
        <v>0</v>
      </c>
      <c r="O193">
        <v>1</v>
      </c>
      <c r="P193" t="inlineStr">
        <is>
          <t>O</t>
        </is>
      </c>
      <c r="Q193">
        <v>35.05844</v>
      </c>
      <c r="R193">
        <v>-80.52197</v>
      </c>
      <c r="S193" t="inlineStr">
        <is>
          <t>DMV349CLEANED</t>
        </is>
      </c>
    </row>
    <row r="194">
      <c r="A194" t="inlineStr">
        <is>
          <t>558</t>
        </is>
      </c>
      <c r="B194" t="inlineStr">
        <is>
          <t>SIKES MILL</t>
        </is>
      </c>
      <c r="C194">
        <v>0.057</v>
      </c>
      <c r="D194" t="inlineStr">
        <is>
          <t>E</t>
        </is>
      </c>
      <c r="E194" t="inlineStr">
        <is>
          <t>BAUCOM</t>
        </is>
      </c>
      <c r="F194" t="inlineStr">
        <is>
          <t>CHANEY</t>
        </is>
      </c>
      <c r="G194" t="inlineStr">
        <is>
          <t>SR 1001</t>
        </is>
      </c>
      <c r="H194">
        <v>1.409</v>
      </c>
      <c r="J194">
        <v>106790781</v>
      </c>
      <c r="K194" t="inlineStr">
        <is>
          <t>12/3/2021</t>
        </is>
      </c>
      <c r="L194">
        <v>28</v>
      </c>
      <c r="M194">
        <v>1</v>
      </c>
      <c r="N194">
        <v>0</v>
      </c>
      <c r="O194">
        <v>1</v>
      </c>
      <c r="P194" t="inlineStr">
        <is>
          <t>O</t>
        </is>
      </c>
    </row>
    <row r="195">
      <c r="A195" t="inlineStr">
        <is>
          <t>0</t>
        </is>
      </c>
      <c r="B195" t="inlineStr">
        <is>
          <t>SR 1001</t>
        </is>
      </c>
      <c r="C195">
        <v>0.076</v>
      </c>
      <c r="D195" t="inlineStr">
        <is>
          <t>N</t>
        </is>
      </c>
      <c r="E195" t="inlineStr">
        <is>
          <t>SR 1620</t>
        </is>
      </c>
      <c r="F195" t="inlineStr">
        <is>
          <t>SR 1645</t>
        </is>
      </c>
      <c r="G195" t="inlineStr">
        <is>
          <t>SR 1001</t>
        </is>
      </c>
      <c r="H195">
        <v>1.428</v>
      </c>
      <c r="J195">
        <v>107976497</v>
      </c>
      <c r="K195" t="inlineStr">
        <is>
          <t>12/29/2024</t>
        </is>
      </c>
      <c r="L195">
        <v>19</v>
      </c>
      <c r="M195">
        <v>2</v>
      </c>
      <c r="N195">
        <v>0</v>
      </c>
      <c r="O195">
        <v>5</v>
      </c>
      <c r="P195" t="inlineStr">
        <is>
          <t>O</t>
        </is>
      </c>
      <c r="Q195">
        <v>35.060048</v>
      </c>
      <c r="R195">
        <v>-80.52142</v>
      </c>
      <c r="S195" t="inlineStr">
        <is>
          <t>DMV349CLEANED</t>
        </is>
      </c>
    </row>
    <row r="196">
      <c r="A196" t="inlineStr">
        <is>
          <t>558</t>
        </is>
      </c>
      <c r="B196" t="inlineStr">
        <is>
          <t>SIKES MILL</t>
        </is>
      </c>
      <c r="C196">
        <v>0.095</v>
      </c>
      <c r="D196" t="inlineStr">
        <is>
          <t>N</t>
        </is>
      </c>
      <c r="E196" t="inlineStr">
        <is>
          <t>BAUCOM</t>
        </is>
      </c>
      <c r="F196" t="inlineStr">
        <is>
          <t>CHANEY</t>
        </is>
      </c>
      <c r="G196" t="inlineStr">
        <is>
          <t>SR 1001</t>
        </is>
      </c>
      <c r="H196">
        <v>1.447</v>
      </c>
      <c r="J196">
        <v>107319625</v>
      </c>
      <c r="K196" t="inlineStr">
        <is>
          <t>4/11/2023</t>
        </is>
      </c>
      <c r="L196">
        <v>29</v>
      </c>
      <c r="M196">
        <v>1</v>
      </c>
      <c r="N196">
        <v>0</v>
      </c>
      <c r="O196">
        <v>1</v>
      </c>
      <c r="P196" t="inlineStr">
        <is>
          <t>O</t>
        </is>
      </c>
    </row>
    <row r="197">
      <c r="A197" t="inlineStr">
        <is>
          <t>0</t>
        </is>
      </c>
      <c r="B197" t="inlineStr">
        <is>
          <t>SR 1001</t>
        </is>
      </c>
      <c r="C197">
        <v>0.7</v>
      </c>
      <c r="D197" t="inlineStr">
        <is>
          <t>S</t>
        </is>
      </c>
      <c r="E197" t="inlineStr">
        <is>
          <t>SR 1665</t>
        </is>
      </c>
      <c r="F197" t="inlineStr">
        <is>
          <t>SR 1620</t>
        </is>
      </c>
      <c r="G197" t="inlineStr">
        <is>
          <t>SR 1001</t>
        </is>
      </c>
      <c r="H197">
        <v>1.515</v>
      </c>
      <c r="J197">
        <v>105713041</v>
      </c>
      <c r="K197" t="inlineStr">
        <is>
          <t>12/10/2018</t>
        </is>
      </c>
      <c r="L197">
        <v>29</v>
      </c>
      <c r="M197">
        <v>2</v>
      </c>
      <c r="N197">
        <v>0</v>
      </c>
      <c r="O197">
        <v>1</v>
      </c>
      <c r="P197" t="inlineStr">
        <is>
          <t>O</t>
        </is>
      </c>
    </row>
    <row r="198">
      <c r="A198" t="inlineStr">
        <is>
          <t>0</t>
        </is>
      </c>
      <c r="B198" t="inlineStr">
        <is>
          <t>SR 1001</t>
        </is>
      </c>
      <c r="C198">
        <v>0.19</v>
      </c>
      <c r="D198" t="inlineStr">
        <is>
          <t>N</t>
        </is>
      </c>
      <c r="E198" t="inlineStr">
        <is>
          <t>SR 1620</t>
        </is>
      </c>
      <c r="F198" t="inlineStr">
        <is>
          <t>SR 1665</t>
        </is>
      </c>
      <c r="G198" t="inlineStr">
        <is>
          <t>SR 1001</t>
        </is>
      </c>
      <c r="H198">
        <v>1.542</v>
      </c>
      <c r="J198">
        <v>106844875</v>
      </c>
      <c r="K198" t="inlineStr">
        <is>
          <t>1/27/2022</t>
        </is>
      </c>
      <c r="L198">
        <v>17</v>
      </c>
      <c r="M198">
        <v>1</v>
      </c>
      <c r="N198">
        <v>0</v>
      </c>
      <c r="O198">
        <v>5</v>
      </c>
      <c r="P198" t="inlineStr">
        <is>
          <t>O</t>
        </is>
      </c>
    </row>
    <row r="199">
      <c r="A199" t="inlineStr">
        <is>
          <t>558</t>
        </is>
      </c>
      <c r="B199" t="inlineStr">
        <is>
          <t>SR 1001</t>
        </is>
      </c>
      <c r="C199">
        <v>0.25</v>
      </c>
      <c r="D199" t="inlineStr">
        <is>
          <t>N</t>
        </is>
      </c>
      <c r="E199" t="inlineStr">
        <is>
          <t>BAUCOM</t>
        </is>
      </c>
      <c r="F199" t="inlineStr">
        <is>
          <t>SPRING LAKE</t>
        </is>
      </c>
      <c r="G199" t="inlineStr">
        <is>
          <t>SR 1001</t>
        </is>
      </c>
      <c r="H199">
        <v>1.602</v>
      </c>
      <c r="J199">
        <v>107128674</v>
      </c>
      <c r="K199" t="inlineStr">
        <is>
          <t>10/31/2022</t>
        </is>
      </c>
      <c r="L199">
        <v>21</v>
      </c>
      <c r="M199">
        <v>1</v>
      </c>
      <c r="N199">
        <v>0</v>
      </c>
      <c r="O199">
        <v>1</v>
      </c>
      <c r="P199" t="inlineStr">
        <is>
          <t>C</t>
        </is>
      </c>
    </row>
    <row r="200">
      <c r="A200" t="inlineStr">
        <is>
          <t>558</t>
        </is>
      </c>
      <c r="B200" t="inlineStr">
        <is>
          <t>SR 1001</t>
        </is>
      </c>
      <c r="C200">
        <v>0.25</v>
      </c>
      <c r="D200" t="inlineStr">
        <is>
          <t>N</t>
        </is>
      </c>
      <c r="E200" t="inlineStr">
        <is>
          <t>SR 1620</t>
        </is>
      </c>
      <c r="F200" t="inlineStr">
        <is>
          <t>SR 1665</t>
        </is>
      </c>
      <c r="G200" t="inlineStr">
        <is>
          <t>SR 1001</t>
        </is>
      </c>
      <c r="H200">
        <v>1.602</v>
      </c>
      <c r="J200">
        <v>107595975</v>
      </c>
      <c r="K200" t="inlineStr">
        <is>
          <t>1/15/2024</t>
        </is>
      </c>
      <c r="L200">
        <v>19</v>
      </c>
      <c r="M200">
        <v>1</v>
      </c>
      <c r="N200">
        <v>0</v>
      </c>
      <c r="O200">
        <v>1</v>
      </c>
      <c r="P200" t="inlineStr">
        <is>
          <t>O</t>
        </is>
      </c>
      <c r="Q200">
        <v>35.06</v>
      </c>
      <c r="R200">
        <v>-80.52</v>
      </c>
      <c r="S200" t="inlineStr">
        <is>
          <t>DMV349</t>
        </is>
      </c>
    </row>
    <row r="201">
      <c r="A201" t="inlineStr">
        <is>
          <t>0</t>
        </is>
      </c>
      <c r="B201" t="inlineStr">
        <is>
          <t>SR 1001</t>
        </is>
      </c>
      <c r="C201">
        <v>0.3</v>
      </c>
      <c r="D201" t="inlineStr">
        <is>
          <t>N</t>
        </is>
      </c>
      <c r="E201" t="inlineStr">
        <is>
          <t>SR 1620</t>
        </is>
      </c>
      <c r="F201" t="inlineStr">
        <is>
          <t>SR 1665</t>
        </is>
      </c>
      <c r="G201" t="inlineStr">
        <is>
          <t>SR 1001</t>
        </is>
      </c>
      <c r="H201">
        <v>1.652</v>
      </c>
      <c r="J201">
        <v>107125512</v>
      </c>
      <c r="K201" t="inlineStr">
        <is>
          <t>10/27/2022</t>
        </is>
      </c>
      <c r="L201">
        <v>27</v>
      </c>
      <c r="M201">
        <v>1</v>
      </c>
      <c r="N201">
        <v>0</v>
      </c>
      <c r="O201">
        <v>5</v>
      </c>
      <c r="P201" t="inlineStr">
        <is>
          <t>C</t>
        </is>
      </c>
    </row>
    <row r="202">
      <c r="A202" t="inlineStr">
        <is>
          <t>558</t>
        </is>
      </c>
      <c r="B202" t="inlineStr">
        <is>
          <t>SR 1001</t>
        </is>
      </c>
      <c r="C202">
        <v>0.5</v>
      </c>
      <c r="D202" t="inlineStr">
        <is>
          <t>S</t>
        </is>
      </c>
      <c r="E202" t="inlineStr">
        <is>
          <t>SR 1665</t>
        </is>
      </c>
      <c r="F202" t="inlineStr">
        <is>
          <t>SR 1620</t>
        </is>
      </c>
      <c r="G202" t="inlineStr">
        <is>
          <t>SR 1001</t>
        </is>
      </c>
      <c r="H202">
        <v>1.715</v>
      </c>
      <c r="J202">
        <v>105778678</v>
      </c>
      <c r="K202" t="inlineStr">
        <is>
          <t>2/13/2019</t>
        </is>
      </c>
      <c r="L202">
        <v>17</v>
      </c>
      <c r="M202">
        <v>1</v>
      </c>
      <c r="N202">
        <v>0</v>
      </c>
      <c r="O202">
        <v>1</v>
      </c>
      <c r="P202" t="inlineStr">
        <is>
          <t>O</t>
        </is>
      </c>
    </row>
    <row r="203">
      <c r="A203" t="inlineStr">
        <is>
          <t>0</t>
        </is>
      </c>
      <c r="B203" t="inlineStr">
        <is>
          <t>SR 1001</t>
        </is>
      </c>
      <c r="C203">
        <v>0.5</v>
      </c>
      <c r="D203" t="inlineStr">
        <is>
          <t>S</t>
        </is>
      </c>
      <c r="E203" t="inlineStr">
        <is>
          <t>SR 1665</t>
        </is>
      </c>
      <c r="F203" t="inlineStr">
        <is>
          <t>SR 1620</t>
        </is>
      </c>
      <c r="G203" t="inlineStr">
        <is>
          <t>SR 1001</t>
        </is>
      </c>
      <c r="H203">
        <v>1.715</v>
      </c>
      <c r="J203">
        <v>105554071</v>
      </c>
      <c r="K203" t="inlineStr">
        <is>
          <t>7/25/2018</t>
        </is>
      </c>
      <c r="L203">
        <v>19</v>
      </c>
      <c r="M203">
        <v>1</v>
      </c>
      <c r="N203">
        <v>0</v>
      </c>
      <c r="O203">
        <v>5</v>
      </c>
    </row>
    <row r="204">
      <c r="A204" t="inlineStr">
        <is>
          <t>366</t>
        </is>
      </c>
      <c r="B204" t="inlineStr">
        <is>
          <t>SR 1001</t>
        </is>
      </c>
      <c r="C204">
        <v>0.37</v>
      </c>
      <c r="D204" t="inlineStr">
        <is>
          <t>NE</t>
        </is>
      </c>
      <c r="E204" t="inlineStr">
        <is>
          <t>SR 1620</t>
        </is>
      </c>
      <c r="F204" t="inlineStr">
        <is>
          <t>SR 1665</t>
        </is>
      </c>
      <c r="G204" t="inlineStr">
        <is>
          <t>SR 1001</t>
        </is>
      </c>
      <c r="H204">
        <v>1.722</v>
      </c>
      <c r="J204">
        <v>106547429</v>
      </c>
      <c r="K204" t="inlineStr">
        <is>
          <t>4/16/2021</t>
        </is>
      </c>
      <c r="L204">
        <v>19</v>
      </c>
      <c r="M204">
        <v>1</v>
      </c>
      <c r="N204">
        <v>0</v>
      </c>
      <c r="O204">
        <v>1</v>
      </c>
      <c r="P204" t="inlineStr">
        <is>
          <t>O</t>
        </is>
      </c>
    </row>
    <row r="205">
      <c r="A205" t="inlineStr">
        <is>
          <t>558</t>
        </is>
      </c>
      <c r="B205" t="inlineStr">
        <is>
          <t>SIKES MILL</t>
        </is>
      </c>
      <c r="C205">
        <v>0.38</v>
      </c>
      <c r="D205" t="inlineStr">
        <is>
          <t>NE</t>
        </is>
      </c>
      <c r="E205" t="inlineStr">
        <is>
          <t>BAUCOM</t>
        </is>
      </c>
      <c r="F205" t="inlineStr">
        <is>
          <t>CHANEY</t>
        </is>
      </c>
      <c r="G205" t="inlineStr">
        <is>
          <t>SR 1001</t>
        </is>
      </c>
      <c r="H205">
        <v>1.732</v>
      </c>
      <c r="J205">
        <v>107720690</v>
      </c>
      <c r="K205" t="inlineStr">
        <is>
          <t>5/16/2024</t>
        </is>
      </c>
      <c r="L205">
        <v>19</v>
      </c>
      <c r="M205">
        <v>1</v>
      </c>
      <c r="N205">
        <v>0</v>
      </c>
      <c r="O205">
        <v>3</v>
      </c>
      <c r="P205" t="inlineStr">
        <is>
          <t>O</t>
        </is>
      </c>
    </row>
    <row r="206">
      <c r="A206" t="inlineStr">
        <is>
          <t>558</t>
        </is>
      </c>
      <c r="B206" t="inlineStr">
        <is>
          <t>SR 1001</t>
        </is>
      </c>
      <c r="C206">
        <v>0.4</v>
      </c>
      <c r="D206" t="inlineStr">
        <is>
          <t>SE</t>
        </is>
      </c>
      <c r="E206" t="inlineStr">
        <is>
          <t>SR 1665</t>
        </is>
      </c>
      <c r="F206" t="inlineStr">
        <is>
          <t>SR 1620</t>
        </is>
      </c>
      <c r="G206" t="inlineStr">
        <is>
          <t>SR 1001</t>
        </is>
      </c>
      <c r="H206">
        <v>1.815</v>
      </c>
      <c r="J206">
        <v>107984794</v>
      </c>
      <c r="K206" t="inlineStr">
        <is>
          <t>1/7/2025</t>
        </is>
      </c>
      <c r="L206">
        <v>18</v>
      </c>
      <c r="M206">
        <v>1</v>
      </c>
      <c r="N206">
        <v>0</v>
      </c>
      <c r="O206">
        <v>5</v>
      </c>
      <c r="P206" t="inlineStr">
        <is>
          <t>O</t>
        </is>
      </c>
      <c r="Q206">
        <v>35.064187</v>
      </c>
      <c r="R206">
        <v>-80.51922</v>
      </c>
      <c r="S206" t="inlineStr">
        <is>
          <t>DMV349CLEANED</t>
        </is>
      </c>
    </row>
    <row r="207">
      <c r="A207" t="inlineStr">
        <is>
          <t>558</t>
        </is>
      </c>
      <c r="B207" t="inlineStr">
        <is>
          <t>SIKES MILL</t>
        </is>
      </c>
      <c r="C207">
        <v>0.28</v>
      </c>
      <c r="D207" t="inlineStr">
        <is>
          <t>S</t>
        </is>
      </c>
      <c r="E207" t="inlineStr">
        <is>
          <t>CHANEY</t>
        </is>
      </c>
      <c r="F207" t="inlineStr">
        <is>
          <t>BAUCOM</t>
        </is>
      </c>
      <c r="G207" t="inlineStr">
        <is>
          <t>SR 1001</t>
        </is>
      </c>
      <c r="H207">
        <v>1.935</v>
      </c>
      <c r="J207">
        <v>106961419</v>
      </c>
      <c r="K207" t="inlineStr">
        <is>
          <t>5/19/2022</t>
        </is>
      </c>
      <c r="L207">
        <v>21</v>
      </c>
      <c r="M207">
        <v>1</v>
      </c>
      <c r="N207">
        <v>0</v>
      </c>
      <c r="O207">
        <v>1</v>
      </c>
      <c r="P207" t="inlineStr">
        <is>
          <t>O</t>
        </is>
      </c>
    </row>
    <row r="208">
      <c r="A208" t="inlineStr">
        <is>
          <t>558</t>
        </is>
      </c>
      <c r="B208" t="inlineStr">
        <is>
          <t>SR 1001</t>
        </is>
      </c>
      <c r="C208">
        <v>0.25</v>
      </c>
      <c r="D208" t="inlineStr">
        <is>
          <t>S</t>
        </is>
      </c>
      <c r="E208" t="inlineStr">
        <is>
          <t>SR 1665</t>
        </is>
      </c>
      <c r="F208" t="inlineStr">
        <is>
          <t>SR 1620</t>
        </is>
      </c>
      <c r="G208" t="inlineStr">
        <is>
          <t>SR 1001</t>
        </is>
      </c>
      <c r="H208">
        <v>1.965</v>
      </c>
      <c r="J208">
        <v>106709721</v>
      </c>
      <c r="K208" t="inlineStr">
        <is>
          <t>9/21/2021</t>
        </is>
      </c>
      <c r="L208">
        <v>27</v>
      </c>
      <c r="M208">
        <v>3</v>
      </c>
      <c r="N208">
        <v>4</v>
      </c>
      <c r="O208">
        <v>1</v>
      </c>
      <c r="P208" t="inlineStr">
        <is>
          <t>B</t>
        </is>
      </c>
    </row>
    <row r="209">
      <c r="A209" t="inlineStr">
        <is>
          <t>0</t>
        </is>
      </c>
      <c r="B209" t="inlineStr">
        <is>
          <t>SIKES MILL</t>
        </is>
      </c>
      <c r="C209">
        <v>0.24</v>
      </c>
      <c r="D209" t="inlineStr">
        <is>
          <t>S</t>
        </is>
      </c>
      <c r="E209" t="inlineStr">
        <is>
          <t>CHANEY</t>
        </is>
      </c>
      <c r="F209" t="inlineStr">
        <is>
          <t>BAUCOM</t>
        </is>
      </c>
      <c r="G209" t="inlineStr">
        <is>
          <t>SR 1001</t>
        </is>
      </c>
      <c r="H209">
        <v>1.975</v>
      </c>
      <c r="J209">
        <v>105178227</v>
      </c>
      <c r="K209" t="inlineStr">
        <is>
          <t>7/31/2017</t>
        </is>
      </c>
      <c r="L209">
        <v>19</v>
      </c>
      <c r="M209">
        <v>1</v>
      </c>
      <c r="N209">
        <v>0</v>
      </c>
      <c r="O209">
        <v>5</v>
      </c>
      <c r="P209" t="inlineStr">
        <is>
          <t>O</t>
        </is>
      </c>
    </row>
    <row r="210">
      <c r="A210" t="inlineStr">
        <is>
          <t>558</t>
        </is>
      </c>
      <c r="B210" t="inlineStr">
        <is>
          <t>SR 1001</t>
        </is>
      </c>
      <c r="C210">
        <v>0.2</v>
      </c>
      <c r="D210" t="inlineStr">
        <is>
          <t>S</t>
        </is>
      </c>
      <c r="E210" t="inlineStr">
        <is>
          <t>SR 1665</t>
        </is>
      </c>
      <c r="F210" t="inlineStr">
        <is>
          <t>SR 1620</t>
        </is>
      </c>
      <c r="G210" t="inlineStr">
        <is>
          <t>SR 1001</t>
        </is>
      </c>
      <c r="H210">
        <v>2.015</v>
      </c>
      <c r="J210">
        <v>105912752</v>
      </c>
      <c r="K210" t="inlineStr">
        <is>
          <t>6/30/2019</t>
        </is>
      </c>
      <c r="L210">
        <v>17</v>
      </c>
      <c r="M210">
        <v>2</v>
      </c>
      <c r="N210">
        <v>0</v>
      </c>
      <c r="O210">
        <v>5</v>
      </c>
      <c r="P210" t="inlineStr">
        <is>
          <t>O</t>
        </is>
      </c>
    </row>
    <row r="211">
      <c r="A211" t="inlineStr">
        <is>
          <t>558</t>
        </is>
      </c>
      <c r="B211" t="inlineStr">
        <is>
          <t>SR 1001</t>
        </is>
      </c>
      <c r="C211">
        <v>0.1</v>
      </c>
      <c r="D211" t="inlineStr">
        <is>
          <t>S</t>
        </is>
      </c>
      <c r="E211" t="inlineStr">
        <is>
          <t>SR 1665</t>
        </is>
      </c>
      <c r="F211" t="inlineStr">
        <is>
          <t>US 601</t>
        </is>
      </c>
      <c r="G211" t="inlineStr">
        <is>
          <t>SR 1001</t>
        </is>
      </c>
      <c r="H211">
        <v>2.115</v>
      </c>
      <c r="J211">
        <v>105707364</v>
      </c>
      <c r="K211" t="inlineStr">
        <is>
          <t>12/10/2018</t>
        </is>
      </c>
      <c r="L211">
        <v>29</v>
      </c>
      <c r="M211">
        <v>4</v>
      </c>
      <c r="N211">
        <v>0</v>
      </c>
      <c r="O211">
        <v>1</v>
      </c>
      <c r="P211" t="inlineStr">
        <is>
          <t>O</t>
        </is>
      </c>
    </row>
    <row r="212">
      <c r="A212" t="inlineStr">
        <is>
          <t>558</t>
        </is>
      </c>
      <c r="B212" t="inlineStr">
        <is>
          <t>SR 1001</t>
        </is>
      </c>
      <c r="C212">
        <v>0.1</v>
      </c>
      <c r="D212" t="inlineStr">
        <is>
          <t>SW</t>
        </is>
      </c>
      <c r="E212" t="inlineStr">
        <is>
          <t>SR 1665</t>
        </is>
      </c>
      <c r="F212" t="inlineStr">
        <is>
          <t>SR 1620</t>
        </is>
      </c>
      <c r="G212" t="inlineStr">
        <is>
          <t>SR 1001</t>
        </is>
      </c>
      <c r="H212">
        <v>2.115</v>
      </c>
      <c r="J212">
        <v>107412806</v>
      </c>
      <c r="K212" t="inlineStr">
        <is>
          <t>7/31/2023</t>
        </is>
      </c>
      <c r="L212">
        <v>29</v>
      </c>
      <c r="M212">
        <v>1</v>
      </c>
      <c r="N212">
        <v>0</v>
      </c>
      <c r="O212">
        <v>1</v>
      </c>
      <c r="P212" t="inlineStr">
        <is>
          <t>C</t>
        </is>
      </c>
    </row>
    <row r="213">
      <c r="A213" t="inlineStr">
        <is>
          <t>0</t>
        </is>
      </c>
      <c r="B213" t="inlineStr">
        <is>
          <t>SIKES MILL</t>
        </is>
      </c>
      <c r="C213">
        <v>0.095</v>
      </c>
      <c r="D213" t="inlineStr">
        <is>
          <t>S</t>
        </is>
      </c>
      <c r="E213" t="inlineStr">
        <is>
          <t>CHANEY</t>
        </is>
      </c>
      <c r="F213" t="inlineStr">
        <is>
          <t>BAUCOM</t>
        </is>
      </c>
      <c r="G213" t="inlineStr">
        <is>
          <t>SR 1001</t>
        </is>
      </c>
      <c r="H213">
        <v>2.12</v>
      </c>
      <c r="J213">
        <v>105302586</v>
      </c>
      <c r="K213" t="inlineStr">
        <is>
          <t>11/28/2017</t>
        </is>
      </c>
      <c r="L213">
        <v>17</v>
      </c>
      <c r="M213">
        <v>1</v>
      </c>
      <c r="N213">
        <v>0</v>
      </c>
      <c r="O213">
        <v>5</v>
      </c>
      <c r="P213" t="inlineStr">
        <is>
          <t>O</t>
        </is>
      </c>
    </row>
    <row r="214">
      <c r="A214" t="inlineStr">
        <is>
          <t>0</t>
        </is>
      </c>
      <c r="B214" t="inlineStr">
        <is>
          <t>SR 1001</t>
        </is>
      </c>
      <c r="C214">
        <v>0.038</v>
      </c>
      <c r="D214" t="inlineStr">
        <is>
          <t>S</t>
        </is>
      </c>
      <c r="E214" t="inlineStr">
        <is>
          <t>SR 1665</t>
        </is>
      </c>
      <c r="F214" t="inlineStr">
        <is>
          <t>SR 1620</t>
        </is>
      </c>
      <c r="G214" t="inlineStr">
        <is>
          <t>SR 1001</t>
        </is>
      </c>
      <c r="H214">
        <v>2.177</v>
      </c>
      <c r="J214">
        <v>107935833</v>
      </c>
      <c r="K214" t="inlineStr">
        <is>
          <t>11/25/2024</t>
        </is>
      </c>
      <c r="L214">
        <v>17</v>
      </c>
      <c r="M214">
        <v>1</v>
      </c>
      <c r="N214">
        <v>0</v>
      </c>
      <c r="O214">
        <v>5</v>
      </c>
      <c r="P214" t="inlineStr">
        <is>
          <t>O</t>
        </is>
      </c>
      <c r="Q214">
        <v>35.06681</v>
      </c>
      <c r="R214">
        <v>-80.51741</v>
      </c>
      <c r="S214" t="inlineStr">
        <is>
          <t>DMV349CLEANED</t>
        </is>
      </c>
    </row>
    <row r="215">
      <c r="A215" t="inlineStr">
        <is>
          <t>558</t>
        </is>
      </c>
      <c r="B215" t="inlineStr">
        <is>
          <t>SR 1001</t>
        </is>
      </c>
      <c r="C215">
        <v>0.0</v>
      </c>
      <c r="E215" t="inlineStr">
        <is>
          <t>SR 1665</t>
        </is>
      </c>
      <c r="F215" t="inlineStr">
        <is>
          <t>SR 1615</t>
        </is>
      </c>
      <c r="G215" t="inlineStr">
        <is>
          <t>SR 1001</t>
        </is>
      </c>
      <c r="H215">
        <v>2.215</v>
      </c>
      <c r="J215">
        <v>105137812</v>
      </c>
      <c r="K215" t="inlineStr">
        <is>
          <t>6/19/2017</t>
        </is>
      </c>
      <c r="L215">
        <v>19</v>
      </c>
      <c r="M215">
        <v>1</v>
      </c>
      <c r="N215">
        <v>8</v>
      </c>
      <c r="O215">
        <v>1</v>
      </c>
      <c r="P215" t="inlineStr">
        <is>
          <t>O</t>
        </is>
      </c>
    </row>
    <row r="216">
      <c r="A216" t="inlineStr">
        <is>
          <t>558</t>
        </is>
      </c>
      <c r="B216" t="inlineStr">
        <is>
          <t>SR 1001</t>
        </is>
      </c>
      <c r="C216">
        <v>0.01</v>
      </c>
      <c r="D216" t="inlineStr">
        <is>
          <t>N</t>
        </is>
      </c>
      <c r="E216" t="inlineStr">
        <is>
          <t>SR 1665</t>
        </is>
      </c>
      <c r="F216" t="inlineStr">
        <is>
          <t>SR 1615</t>
        </is>
      </c>
      <c r="G216" t="inlineStr">
        <is>
          <t>SR 1001</t>
        </is>
      </c>
      <c r="H216">
        <v>2.225</v>
      </c>
      <c r="J216">
        <v>107059684</v>
      </c>
      <c r="K216" t="inlineStr">
        <is>
          <t>8/28/2022</t>
        </is>
      </c>
      <c r="L216">
        <v>19</v>
      </c>
      <c r="M216">
        <v>1</v>
      </c>
      <c r="N216">
        <v>0</v>
      </c>
      <c r="O216">
        <v>1</v>
      </c>
    </row>
    <row r="217">
      <c r="A217" t="inlineStr">
        <is>
          <t>0</t>
        </is>
      </c>
      <c r="B217" t="inlineStr">
        <is>
          <t>SR 1001</t>
        </is>
      </c>
      <c r="C217">
        <v>0.052</v>
      </c>
      <c r="D217" t="inlineStr">
        <is>
          <t>N</t>
        </is>
      </c>
      <c r="E217" t="inlineStr">
        <is>
          <t>SR 1665</t>
        </is>
      </c>
      <c r="F217" t="inlineStr">
        <is>
          <t>SR 2713</t>
        </is>
      </c>
      <c r="G217" t="inlineStr">
        <is>
          <t>SR 1001</t>
        </is>
      </c>
      <c r="H217">
        <v>2.267</v>
      </c>
      <c r="J217">
        <v>106807050</v>
      </c>
      <c r="K217" t="inlineStr">
        <is>
          <t>12/18/2021</t>
        </is>
      </c>
      <c r="L217">
        <v>5</v>
      </c>
      <c r="M217">
        <v>1</v>
      </c>
      <c r="N217">
        <v>0</v>
      </c>
      <c r="O217">
        <v>5</v>
      </c>
      <c r="P217" t="inlineStr">
        <is>
          <t>C</t>
        </is>
      </c>
    </row>
    <row r="218">
      <c r="A218" t="inlineStr">
        <is>
          <t>558</t>
        </is>
      </c>
      <c r="B218" t="inlineStr">
        <is>
          <t>SR 1001</t>
        </is>
      </c>
      <c r="C218">
        <v>0.1</v>
      </c>
      <c r="D218" t="inlineStr">
        <is>
          <t>N</t>
        </is>
      </c>
      <c r="E218" t="inlineStr">
        <is>
          <t>SR 1665</t>
        </is>
      </c>
      <c r="F218" t="inlineStr">
        <is>
          <t>SR 2713</t>
        </is>
      </c>
      <c r="G218" t="inlineStr">
        <is>
          <t>SR 1001</t>
        </is>
      </c>
      <c r="H218">
        <v>2.315</v>
      </c>
      <c r="J218">
        <v>106678989</v>
      </c>
      <c r="K218" t="inlineStr">
        <is>
          <t>8/29/2021</t>
        </is>
      </c>
      <c r="L218">
        <v>29</v>
      </c>
      <c r="M218">
        <v>1</v>
      </c>
      <c r="N218">
        <v>0</v>
      </c>
      <c r="O218">
        <v>1</v>
      </c>
      <c r="P218" t="inlineStr">
        <is>
          <t>O</t>
        </is>
      </c>
    </row>
    <row r="219">
      <c r="A219" t="inlineStr">
        <is>
          <t>558</t>
        </is>
      </c>
      <c r="B219" t="inlineStr">
        <is>
          <t>SR 1001</t>
        </is>
      </c>
      <c r="C219">
        <v>0.1</v>
      </c>
      <c r="D219" t="inlineStr">
        <is>
          <t>N</t>
        </is>
      </c>
      <c r="E219" t="inlineStr">
        <is>
          <t>SR 1665</t>
        </is>
      </c>
      <c r="F219" t="inlineStr">
        <is>
          <t>SR 2713</t>
        </is>
      </c>
      <c r="G219" t="inlineStr">
        <is>
          <t>SR 1001</t>
        </is>
      </c>
      <c r="H219">
        <v>2.315</v>
      </c>
      <c r="J219">
        <v>106572777</v>
      </c>
      <c r="K219" t="inlineStr">
        <is>
          <t>5/11/2021</t>
        </is>
      </c>
      <c r="L219">
        <v>29</v>
      </c>
      <c r="M219">
        <v>1</v>
      </c>
      <c r="N219">
        <v>0</v>
      </c>
      <c r="O219">
        <v>1</v>
      </c>
      <c r="P219" t="inlineStr">
        <is>
          <t>C</t>
        </is>
      </c>
    </row>
    <row r="220">
      <c r="A220" t="inlineStr">
        <is>
          <t>558</t>
        </is>
      </c>
      <c r="B220" t="inlineStr">
        <is>
          <t>SR 1001</t>
        </is>
      </c>
      <c r="C220">
        <v>0.1</v>
      </c>
      <c r="D220" t="inlineStr">
        <is>
          <t>N</t>
        </is>
      </c>
      <c r="E220" t="inlineStr">
        <is>
          <t>SR 1665</t>
        </is>
      </c>
      <c r="F220" t="inlineStr">
        <is>
          <t>SR 2713</t>
        </is>
      </c>
      <c r="G220" t="inlineStr">
        <is>
          <t>SR 1001</t>
        </is>
      </c>
      <c r="H220">
        <v>2.315</v>
      </c>
      <c r="J220">
        <v>105183265</v>
      </c>
      <c r="K220" t="inlineStr">
        <is>
          <t>8/7/2017</t>
        </is>
      </c>
      <c r="L220">
        <v>23</v>
      </c>
      <c r="M220">
        <v>1</v>
      </c>
      <c r="N220">
        <v>0</v>
      </c>
      <c r="O220">
        <v>1</v>
      </c>
      <c r="P220" t="inlineStr">
        <is>
          <t>B</t>
        </is>
      </c>
    </row>
    <row r="221">
      <c r="A221" t="inlineStr">
        <is>
          <t>0</t>
        </is>
      </c>
      <c r="B221" t="inlineStr">
        <is>
          <t>SR 1001</t>
        </is>
      </c>
      <c r="C221">
        <v>0.1</v>
      </c>
      <c r="D221" t="inlineStr">
        <is>
          <t>N</t>
        </is>
      </c>
      <c r="E221" t="inlineStr">
        <is>
          <t>SR 1665</t>
        </is>
      </c>
      <c r="F221" t="inlineStr">
        <is>
          <t>SR 2713</t>
        </is>
      </c>
      <c r="G221" t="inlineStr">
        <is>
          <t>SR 1001</t>
        </is>
      </c>
      <c r="H221">
        <v>2.315</v>
      </c>
      <c r="J221">
        <v>104942809</v>
      </c>
      <c r="K221" t="inlineStr">
        <is>
          <t>12/7/2016</t>
        </is>
      </c>
      <c r="L221">
        <v>1</v>
      </c>
      <c r="M221">
        <v>1</v>
      </c>
      <c r="N221">
        <v>5</v>
      </c>
      <c r="O221">
        <v>5</v>
      </c>
      <c r="P221" t="inlineStr">
        <is>
          <t>O</t>
        </is>
      </c>
    </row>
    <row r="222">
      <c r="A222" t="inlineStr">
        <is>
          <t>0</t>
        </is>
      </c>
      <c r="B222" t="inlineStr">
        <is>
          <t>SR 1001</t>
        </is>
      </c>
      <c r="C222">
        <v>0.4</v>
      </c>
      <c r="D222" t="inlineStr">
        <is>
          <t>S</t>
        </is>
      </c>
      <c r="E222" t="inlineStr">
        <is>
          <t>SR 1615</t>
        </is>
      </c>
      <c r="F222" t="inlineStr">
        <is>
          <t>SR 1638</t>
        </is>
      </c>
      <c r="G222" t="inlineStr">
        <is>
          <t>SR 1001</t>
        </is>
      </c>
      <c r="H222">
        <v>2.471</v>
      </c>
      <c r="J222">
        <v>104946035</v>
      </c>
      <c r="K222" t="inlineStr">
        <is>
          <t>12/10/2016</t>
        </is>
      </c>
      <c r="L222">
        <v>21</v>
      </c>
      <c r="M222">
        <v>1</v>
      </c>
      <c r="N222">
        <v>0</v>
      </c>
      <c r="O222">
        <v>5</v>
      </c>
      <c r="P222" t="inlineStr">
        <is>
          <t>C</t>
        </is>
      </c>
    </row>
    <row r="223">
      <c r="A223" t="inlineStr">
        <is>
          <t>558</t>
        </is>
      </c>
      <c r="B223" t="inlineStr">
        <is>
          <t>SR 1001</t>
        </is>
      </c>
      <c r="C223">
        <v>0.031</v>
      </c>
      <c r="D223" t="inlineStr">
        <is>
          <t>S</t>
        </is>
      </c>
      <c r="E223" t="inlineStr">
        <is>
          <t>SR 2713</t>
        </is>
      </c>
      <c r="F223" t="inlineStr">
        <is>
          <t>SR 1665</t>
        </is>
      </c>
      <c r="G223" t="inlineStr">
        <is>
          <t>SR 1001</t>
        </is>
      </c>
      <c r="H223">
        <v>2.494</v>
      </c>
      <c r="J223">
        <v>107743856</v>
      </c>
      <c r="K223" t="inlineStr">
        <is>
          <t>6/4/2024</t>
        </is>
      </c>
      <c r="L223">
        <v>5</v>
      </c>
      <c r="M223">
        <v>1</v>
      </c>
      <c r="N223">
        <v>0</v>
      </c>
      <c r="O223">
        <v>1</v>
      </c>
      <c r="P223" t="inlineStr">
        <is>
          <t>A</t>
        </is>
      </c>
      <c r="Q223">
        <v>35.068813</v>
      </c>
      <c r="R223">
        <v>-80.51643</v>
      </c>
      <c r="S223" t="inlineStr">
        <is>
          <t>DMV349CLEANED</t>
        </is>
      </c>
    </row>
    <row r="224">
      <c r="A224" t="inlineStr">
        <is>
          <t>558</t>
        </is>
      </c>
      <c r="B224" t="inlineStr">
        <is>
          <t>SR 1001</t>
        </is>
      </c>
      <c r="C224">
        <v>0.006</v>
      </c>
      <c r="D224" t="inlineStr">
        <is>
          <t>S</t>
        </is>
      </c>
      <c r="E224" t="inlineStr">
        <is>
          <t>SR 2713</t>
        </is>
      </c>
      <c r="F224" t="inlineStr">
        <is>
          <t>SR 1665</t>
        </is>
      </c>
      <c r="G224" t="inlineStr">
        <is>
          <t>SR 1001</t>
        </is>
      </c>
      <c r="H224">
        <v>2.519</v>
      </c>
      <c r="J224">
        <v>108208937</v>
      </c>
      <c r="K224" t="inlineStr">
        <is>
          <t>8/14/2025</t>
        </is>
      </c>
      <c r="L224">
        <v>19</v>
      </c>
      <c r="M224">
        <v>1</v>
      </c>
      <c r="N224">
        <v>0</v>
      </c>
      <c r="O224">
        <v>1</v>
      </c>
      <c r="P224" t="inlineStr">
        <is>
          <t>A</t>
        </is>
      </c>
      <c r="Q224">
        <v>35.072535</v>
      </c>
      <c r="R224">
        <v>-80.51289</v>
      </c>
      <c r="S224" t="inlineStr">
        <is>
          <t>DMV349CLEANED</t>
        </is>
      </c>
    </row>
    <row r="225">
      <c r="A225" t="inlineStr">
        <is>
          <t>558</t>
        </is>
      </c>
      <c r="B225" t="inlineStr">
        <is>
          <t>SR 1001</t>
        </is>
      </c>
      <c r="C225">
        <v>0.0</v>
      </c>
      <c r="E225" t="inlineStr">
        <is>
          <t>SR 2713</t>
        </is>
      </c>
      <c r="F225" t="inlineStr">
        <is>
          <t>SR 1615</t>
        </is>
      </c>
      <c r="G225" t="inlineStr">
        <is>
          <t>SR 1001</t>
        </is>
      </c>
      <c r="H225">
        <v>2.525</v>
      </c>
      <c r="J225">
        <v>108377777</v>
      </c>
      <c r="K225" t="inlineStr">
        <is>
          <t>1/19/2026</t>
        </is>
      </c>
      <c r="L225">
        <v>23</v>
      </c>
      <c r="M225">
        <v>1</v>
      </c>
      <c r="N225">
        <v>8</v>
      </c>
      <c r="O225">
        <v>1</v>
      </c>
      <c r="P225" t="inlineStr">
        <is>
          <t>O</t>
        </is>
      </c>
      <c r="Q225">
        <v>35.072702</v>
      </c>
      <c r="R225">
        <v>-80.51262</v>
      </c>
      <c r="S225" t="inlineStr">
        <is>
          <t>DMV349CLEANED</t>
        </is>
      </c>
    </row>
    <row r="226">
      <c r="A226" t="inlineStr">
        <is>
          <t>558</t>
        </is>
      </c>
      <c r="B226" t="inlineStr">
        <is>
          <t>SR 1001</t>
        </is>
      </c>
      <c r="C226">
        <v>0.0</v>
      </c>
      <c r="E226" t="inlineStr">
        <is>
          <t>SR 2713</t>
        </is>
      </c>
      <c r="F226" t="inlineStr">
        <is>
          <t>SR 1665</t>
        </is>
      </c>
      <c r="G226" t="inlineStr">
        <is>
          <t>SR 1001</t>
        </is>
      </c>
      <c r="H226">
        <v>2.525</v>
      </c>
      <c r="J226">
        <v>106017149</v>
      </c>
      <c r="K226" t="inlineStr">
        <is>
          <t>10/8/2019</t>
        </is>
      </c>
      <c r="L226">
        <v>24</v>
      </c>
      <c r="M226">
        <v>1</v>
      </c>
      <c r="N226">
        <v>8</v>
      </c>
      <c r="O226">
        <v>1</v>
      </c>
      <c r="P226" t="inlineStr">
        <is>
          <t>B</t>
        </is>
      </c>
    </row>
    <row r="227">
      <c r="A227" t="inlineStr">
        <is>
          <t>558</t>
        </is>
      </c>
      <c r="B227" t="inlineStr">
        <is>
          <t>SR 1001</t>
        </is>
      </c>
      <c r="C227">
        <v>0.009</v>
      </c>
      <c r="D227" t="inlineStr">
        <is>
          <t>N</t>
        </is>
      </c>
      <c r="E227" t="inlineStr">
        <is>
          <t>SR 2713</t>
        </is>
      </c>
      <c r="F227" t="inlineStr">
        <is>
          <t>SR 1615</t>
        </is>
      </c>
      <c r="G227" t="inlineStr">
        <is>
          <t>SR 1001</t>
        </is>
      </c>
      <c r="H227">
        <v>2.534</v>
      </c>
      <c r="J227">
        <v>106393731</v>
      </c>
      <c r="K227" t="inlineStr">
        <is>
          <t>11/4/2020</t>
        </is>
      </c>
      <c r="L227">
        <v>17</v>
      </c>
      <c r="M227">
        <v>1</v>
      </c>
      <c r="N227">
        <v>0</v>
      </c>
      <c r="O227">
        <v>3</v>
      </c>
      <c r="P227" t="inlineStr">
        <is>
          <t>O</t>
        </is>
      </c>
    </row>
    <row r="228">
      <c r="A228" t="inlineStr">
        <is>
          <t>558</t>
        </is>
      </c>
      <c r="B228" t="inlineStr">
        <is>
          <t>SR 1001</t>
        </is>
      </c>
      <c r="C228">
        <v>0.3</v>
      </c>
      <c r="D228" t="inlineStr">
        <is>
          <t>S</t>
        </is>
      </c>
      <c r="E228" t="inlineStr">
        <is>
          <t>SR 1615</t>
        </is>
      </c>
      <c r="F228" t="inlineStr">
        <is>
          <t>SR 2713</t>
        </is>
      </c>
      <c r="G228" t="inlineStr">
        <is>
          <t>SR 1001</t>
        </is>
      </c>
      <c r="H228">
        <v>2.571</v>
      </c>
      <c r="J228">
        <v>107054448</v>
      </c>
      <c r="K228" t="inlineStr">
        <is>
          <t>8/16/2022</t>
        </is>
      </c>
      <c r="L228">
        <v>29</v>
      </c>
      <c r="M228">
        <v>1</v>
      </c>
      <c r="N228">
        <v>0</v>
      </c>
      <c r="O228">
        <v>1</v>
      </c>
      <c r="P228" t="inlineStr">
        <is>
          <t>O</t>
        </is>
      </c>
    </row>
    <row r="229">
      <c r="A229" t="inlineStr">
        <is>
          <t>558</t>
        </is>
      </c>
      <c r="B229" t="inlineStr">
        <is>
          <t>SR 1001</t>
        </is>
      </c>
      <c r="C229">
        <v>0.25</v>
      </c>
      <c r="D229" t="inlineStr">
        <is>
          <t>S</t>
        </is>
      </c>
      <c r="E229" t="inlineStr">
        <is>
          <t>SR 1615</t>
        </is>
      </c>
      <c r="F229" t="inlineStr">
        <is>
          <t>SR 2713</t>
        </is>
      </c>
      <c r="G229" t="inlineStr">
        <is>
          <t>SR 1001</t>
        </is>
      </c>
      <c r="H229">
        <v>2.621</v>
      </c>
      <c r="J229">
        <v>106146785</v>
      </c>
      <c r="K229" t="inlineStr">
        <is>
          <t>2/3/2020</t>
        </is>
      </c>
      <c r="L229">
        <v>17</v>
      </c>
      <c r="M229">
        <v>1</v>
      </c>
      <c r="N229">
        <v>0</v>
      </c>
      <c r="O229">
        <v>5</v>
      </c>
      <c r="P229" t="inlineStr">
        <is>
          <t>O</t>
        </is>
      </c>
    </row>
    <row r="230">
      <c r="A230" t="inlineStr">
        <is>
          <t>558</t>
        </is>
      </c>
      <c r="B230" t="inlineStr">
        <is>
          <t>SR 1001</t>
        </is>
      </c>
      <c r="C230">
        <v>0.2</v>
      </c>
      <c r="D230" t="inlineStr">
        <is>
          <t>S</t>
        </is>
      </c>
      <c r="E230" t="inlineStr">
        <is>
          <t>SR 1615</t>
        </is>
      </c>
      <c r="F230" t="inlineStr">
        <is>
          <t>SR 2713</t>
        </is>
      </c>
      <c r="G230" t="inlineStr">
        <is>
          <t>SR 1001</t>
        </is>
      </c>
      <c r="H230">
        <v>2.671</v>
      </c>
      <c r="J230">
        <v>107693734</v>
      </c>
      <c r="K230" t="inlineStr">
        <is>
          <t>4/19/2024</t>
        </is>
      </c>
      <c r="L230">
        <v>17</v>
      </c>
      <c r="M230">
        <v>1</v>
      </c>
      <c r="N230">
        <v>0</v>
      </c>
      <c r="O230">
        <v>1</v>
      </c>
      <c r="P230" t="inlineStr">
        <is>
          <t>O</t>
        </is>
      </c>
      <c r="Q230">
        <v>35.07412</v>
      </c>
      <c r="R230">
        <v>-80.5104</v>
      </c>
      <c r="S230" t="inlineStr">
        <is>
          <t>DMV349CLEANED</t>
        </is>
      </c>
    </row>
    <row r="231">
      <c r="A231" t="inlineStr">
        <is>
          <t>0</t>
        </is>
      </c>
      <c r="B231" t="inlineStr">
        <is>
          <t>SR 1001</t>
        </is>
      </c>
      <c r="C231">
        <v>0.5</v>
      </c>
      <c r="D231" t="inlineStr">
        <is>
          <t>N</t>
        </is>
      </c>
      <c r="E231" t="inlineStr">
        <is>
          <t>SR 1665</t>
        </is>
      </c>
      <c r="F231" t="inlineStr">
        <is>
          <t>SR 2713</t>
        </is>
      </c>
      <c r="G231" t="inlineStr">
        <is>
          <t>SR 1001</t>
        </is>
      </c>
      <c r="H231">
        <v>2.715</v>
      </c>
      <c r="J231">
        <v>108271610</v>
      </c>
      <c r="K231" t="inlineStr">
        <is>
          <t>10/13/2025</t>
        </is>
      </c>
      <c r="L231">
        <v>29</v>
      </c>
      <c r="M231">
        <v>1</v>
      </c>
      <c r="N231">
        <v>0</v>
      </c>
      <c r="O231">
        <v>1</v>
      </c>
      <c r="P231" t="inlineStr">
        <is>
          <t>O</t>
        </is>
      </c>
      <c r="Q231">
        <v>35.071635</v>
      </c>
      <c r="R231">
        <v>-80.51358</v>
      </c>
      <c r="S231" t="inlineStr">
        <is>
          <t>DMV349CLEANED</t>
        </is>
      </c>
    </row>
    <row r="232">
      <c r="A232" t="inlineStr">
        <is>
          <t>0</t>
        </is>
      </c>
      <c r="B232" t="inlineStr">
        <is>
          <t>SR 1001</t>
        </is>
      </c>
      <c r="C232">
        <v>0.5</v>
      </c>
      <c r="D232" t="inlineStr">
        <is>
          <t>N</t>
        </is>
      </c>
      <c r="E232" t="inlineStr">
        <is>
          <t>SR 1665</t>
        </is>
      </c>
      <c r="F232" t="inlineStr">
        <is>
          <t>SR 1615</t>
        </is>
      </c>
      <c r="G232" t="inlineStr">
        <is>
          <t>SR 1001</t>
        </is>
      </c>
      <c r="H232">
        <v>2.715</v>
      </c>
      <c r="J232">
        <v>107158545</v>
      </c>
      <c r="K232" t="inlineStr">
        <is>
          <t>11/24/2022</t>
        </is>
      </c>
      <c r="L232">
        <v>17</v>
      </c>
      <c r="M232">
        <v>1</v>
      </c>
      <c r="N232">
        <v>0</v>
      </c>
      <c r="O232">
        <v>5</v>
      </c>
      <c r="P232" t="inlineStr">
        <is>
          <t>O</t>
        </is>
      </c>
    </row>
    <row r="233">
      <c r="A233" t="inlineStr">
        <is>
          <t>558</t>
        </is>
      </c>
      <c r="B233" t="inlineStr">
        <is>
          <t>SR 1001</t>
        </is>
      </c>
      <c r="C233">
        <v>0.5</v>
      </c>
      <c r="D233" t="inlineStr">
        <is>
          <t>N</t>
        </is>
      </c>
      <c r="E233" t="inlineStr">
        <is>
          <t>SR 1665</t>
        </is>
      </c>
      <c r="F233" t="inlineStr">
        <is>
          <t>SR 1615</t>
        </is>
      </c>
      <c r="G233" t="inlineStr">
        <is>
          <t>SR 1001</t>
        </is>
      </c>
      <c r="H233">
        <v>2.715</v>
      </c>
      <c r="J233">
        <v>108436731</v>
      </c>
      <c r="K233" t="inlineStr">
        <is>
          <t>3/13/2026</t>
        </is>
      </c>
      <c r="L233">
        <v>19</v>
      </c>
      <c r="M233">
        <v>1</v>
      </c>
      <c r="N233">
        <v>0</v>
      </c>
      <c r="O233">
        <v>1</v>
      </c>
      <c r="P233" t="inlineStr">
        <is>
          <t>B</t>
        </is>
      </c>
      <c r="Q233">
        <v>35.07</v>
      </c>
      <c r="R233">
        <v>-80.51</v>
      </c>
      <c r="S233" t="inlineStr">
        <is>
          <t>DMV349</t>
        </is>
      </c>
    </row>
    <row r="234">
      <c r="A234" t="inlineStr">
        <is>
          <t>558</t>
        </is>
      </c>
      <c r="B234" t="inlineStr">
        <is>
          <t>SR 1001</t>
        </is>
      </c>
      <c r="C234">
        <v>0.2</v>
      </c>
      <c r="D234" t="inlineStr">
        <is>
          <t>NE</t>
        </is>
      </c>
      <c r="E234" t="inlineStr">
        <is>
          <t>SR 2713</t>
        </is>
      </c>
      <c r="F234" t="inlineStr">
        <is>
          <t>SR 1615</t>
        </is>
      </c>
      <c r="G234" t="inlineStr">
        <is>
          <t>SR 1001</t>
        </is>
      </c>
      <c r="H234">
        <v>2.725</v>
      </c>
      <c r="J234">
        <v>105512829</v>
      </c>
      <c r="K234" t="inlineStr">
        <is>
          <t>6/15/2018</t>
        </is>
      </c>
      <c r="L234">
        <v>19</v>
      </c>
      <c r="M234">
        <v>1</v>
      </c>
      <c r="N234">
        <v>0</v>
      </c>
      <c r="O234">
        <v>5</v>
      </c>
      <c r="P234" t="inlineStr">
        <is>
          <t>O</t>
        </is>
      </c>
    </row>
    <row r="235">
      <c r="A235" t="inlineStr">
        <is>
          <t>558</t>
        </is>
      </c>
      <c r="B235" t="inlineStr">
        <is>
          <t>SR 1001</t>
        </is>
      </c>
      <c r="C235">
        <v>0.1</v>
      </c>
      <c r="D235" t="inlineStr">
        <is>
          <t>S</t>
        </is>
      </c>
      <c r="E235" t="inlineStr">
        <is>
          <t>SR 1615</t>
        </is>
      </c>
      <c r="F235" t="inlineStr">
        <is>
          <t>SR 1638</t>
        </is>
      </c>
      <c r="G235" t="inlineStr">
        <is>
          <t>SR 1001</t>
        </is>
      </c>
      <c r="H235">
        <v>2.771</v>
      </c>
      <c r="J235">
        <v>105353604</v>
      </c>
      <c r="K235" t="inlineStr">
        <is>
          <t>1/16/2018</t>
        </is>
      </c>
      <c r="L235">
        <v>23</v>
      </c>
      <c r="M235">
        <v>1</v>
      </c>
      <c r="N235">
        <v>5</v>
      </c>
      <c r="O235">
        <v>1</v>
      </c>
      <c r="P235" t="inlineStr">
        <is>
          <t>O</t>
        </is>
      </c>
    </row>
    <row r="236">
      <c r="A236" t="inlineStr">
        <is>
          <t>558</t>
        </is>
      </c>
      <c r="B236" t="inlineStr">
        <is>
          <t>SIKES MILL</t>
        </is>
      </c>
      <c r="C236">
        <v>0.25</v>
      </c>
      <c r="D236" t="inlineStr">
        <is>
          <t>N</t>
        </is>
      </c>
      <c r="E236" t="inlineStr">
        <is>
          <t>BRIARCLIFF</t>
        </is>
      </c>
      <c r="F236" t="inlineStr">
        <is>
          <t>UNIONVILLE</t>
        </is>
      </c>
      <c r="G236" t="inlineStr">
        <is>
          <t>SR 1001</t>
        </is>
      </c>
      <c r="H236">
        <v>2.775</v>
      </c>
      <c r="J236">
        <v>106042505</v>
      </c>
      <c r="K236" t="inlineStr">
        <is>
          <t>10/16/2019</t>
        </is>
      </c>
      <c r="L236">
        <v>1</v>
      </c>
      <c r="M236">
        <v>3</v>
      </c>
      <c r="N236">
        <v>0</v>
      </c>
      <c r="O236">
        <v>1</v>
      </c>
      <c r="P236" t="inlineStr">
        <is>
          <t>O</t>
        </is>
      </c>
    </row>
    <row r="237">
      <c r="A237" t="inlineStr">
        <is>
          <t>558</t>
        </is>
      </c>
      <c r="B237" t="inlineStr">
        <is>
          <t>SIKES MILL</t>
        </is>
      </c>
      <c r="C237">
        <v>0.0</v>
      </c>
      <c r="E237" t="inlineStr">
        <is>
          <t>UNIONVILLE</t>
        </is>
      </c>
      <c r="F237" t="inlineStr">
        <is>
          <t>HAIGLER BAUCOM</t>
        </is>
      </c>
      <c r="G237" t="inlineStr">
        <is>
          <t>SR 1001</t>
        </is>
      </c>
      <c r="H237">
        <v>2.871</v>
      </c>
      <c r="J237">
        <v>108179130</v>
      </c>
      <c r="K237" t="inlineStr">
        <is>
          <t>7/22/2025</t>
        </is>
      </c>
      <c r="L237">
        <v>19</v>
      </c>
      <c r="M237">
        <v>1</v>
      </c>
      <c r="N237">
        <v>0</v>
      </c>
      <c r="O237">
        <v>1</v>
      </c>
      <c r="P237" t="inlineStr">
        <is>
          <t>C</t>
        </is>
      </c>
    </row>
    <row r="238">
      <c r="A238" t="inlineStr">
        <is>
          <t>558</t>
        </is>
      </c>
      <c r="B238" t="inlineStr">
        <is>
          <t>SR 1001</t>
        </is>
      </c>
      <c r="C238">
        <v>0.0</v>
      </c>
      <c r="E238" t="inlineStr">
        <is>
          <t>SR 1615</t>
        </is>
      </c>
      <c r="F238" t="inlineStr">
        <is>
          <t>SR 1619</t>
        </is>
      </c>
      <c r="G238" t="inlineStr">
        <is>
          <t>SR 1001</t>
        </is>
      </c>
      <c r="H238">
        <v>2.871</v>
      </c>
      <c r="J238">
        <v>106467658</v>
      </c>
      <c r="K238" t="inlineStr">
        <is>
          <t>1/18/2021</t>
        </is>
      </c>
      <c r="L238">
        <v>23</v>
      </c>
      <c r="M238">
        <v>1</v>
      </c>
      <c r="N238">
        <v>8</v>
      </c>
      <c r="O238">
        <v>1</v>
      </c>
      <c r="P238" t="inlineStr">
        <is>
          <t>O</t>
        </is>
      </c>
    </row>
    <row r="239">
      <c r="A239" t="inlineStr">
        <is>
          <t>558</t>
        </is>
      </c>
      <c r="B239" t="inlineStr">
        <is>
          <t>SR 1001</t>
        </is>
      </c>
      <c r="C239">
        <v>0.0</v>
      </c>
      <c r="E239" t="inlineStr">
        <is>
          <t>SR 1615</t>
        </is>
      </c>
      <c r="F239" t="inlineStr">
        <is>
          <t>SR 1617</t>
        </is>
      </c>
      <c r="G239" t="inlineStr">
        <is>
          <t>SR 1001</t>
        </is>
      </c>
      <c r="H239">
        <v>2.871</v>
      </c>
      <c r="J239">
        <v>106006697</v>
      </c>
      <c r="K239" t="inlineStr">
        <is>
          <t>9/27/2019</t>
        </is>
      </c>
      <c r="L239">
        <v>23</v>
      </c>
      <c r="M239">
        <v>1</v>
      </c>
      <c r="N239">
        <v>8</v>
      </c>
      <c r="O239">
        <v>1</v>
      </c>
      <c r="P239" t="inlineStr">
        <is>
          <t>B</t>
        </is>
      </c>
    </row>
    <row r="240">
      <c r="A240" t="inlineStr">
        <is>
          <t>558</t>
        </is>
      </c>
      <c r="B240" t="inlineStr">
        <is>
          <t>SIKES MILL</t>
        </is>
      </c>
      <c r="C240">
        <v>0.5</v>
      </c>
      <c r="D240" t="inlineStr">
        <is>
          <t>S</t>
        </is>
      </c>
      <c r="E240" t="inlineStr">
        <is>
          <t>TOM BOYD</t>
        </is>
      </c>
      <c r="F240" t="inlineStr">
        <is>
          <t>UNIONVILLE</t>
        </is>
      </c>
      <c r="G240" t="inlineStr">
        <is>
          <t>SR 1001</t>
        </is>
      </c>
      <c r="H240">
        <v>2.961</v>
      </c>
      <c r="J240">
        <v>106582879</v>
      </c>
      <c r="K240" t="inlineStr">
        <is>
          <t>5/24/2021</t>
        </is>
      </c>
      <c r="L240">
        <v>17</v>
      </c>
      <c r="M240">
        <v>1</v>
      </c>
      <c r="N240">
        <v>0</v>
      </c>
      <c r="O240">
        <v>1</v>
      </c>
      <c r="P240" t="inlineStr">
        <is>
          <t>O</t>
        </is>
      </c>
    </row>
    <row r="241">
      <c r="A241" t="inlineStr">
        <is>
          <t>0</t>
        </is>
      </c>
      <c r="B241" t="inlineStr">
        <is>
          <t>SR 1001</t>
        </is>
      </c>
      <c r="C241">
        <v>0.5</v>
      </c>
      <c r="D241" t="inlineStr">
        <is>
          <t>S</t>
        </is>
      </c>
      <c r="E241" t="inlineStr">
        <is>
          <t>SR 1617</t>
        </is>
      </c>
      <c r="F241" t="inlineStr">
        <is>
          <t>SR 1615</t>
        </is>
      </c>
      <c r="G241" t="inlineStr">
        <is>
          <t>SR 1001</t>
        </is>
      </c>
      <c r="H241">
        <v>2.961</v>
      </c>
      <c r="J241">
        <v>105477494</v>
      </c>
      <c r="K241" t="inlineStr">
        <is>
          <t>5/12/2018</t>
        </is>
      </c>
      <c r="L241">
        <v>19</v>
      </c>
      <c r="M241">
        <v>1</v>
      </c>
      <c r="N241">
        <v>0</v>
      </c>
      <c r="O241">
        <v>5</v>
      </c>
      <c r="P241" t="inlineStr">
        <is>
          <t>A</t>
        </is>
      </c>
    </row>
    <row r="242">
      <c r="A242" t="inlineStr">
        <is>
          <t>558</t>
        </is>
      </c>
      <c r="B242" t="inlineStr">
        <is>
          <t>SR 1001</t>
        </is>
      </c>
      <c r="C242">
        <v>0.1</v>
      </c>
      <c r="D242" t="inlineStr">
        <is>
          <t>N</t>
        </is>
      </c>
      <c r="E242" t="inlineStr">
        <is>
          <t>SR 1615</t>
        </is>
      </c>
      <c r="F242" t="inlineStr">
        <is>
          <t>SR 1617</t>
        </is>
      </c>
      <c r="G242" t="inlineStr">
        <is>
          <t>SR 1001</t>
        </is>
      </c>
      <c r="H242">
        <v>2.971</v>
      </c>
      <c r="J242">
        <v>108184887</v>
      </c>
      <c r="K242" t="inlineStr">
        <is>
          <t>7/27/2025</t>
        </is>
      </c>
      <c r="L242">
        <v>19</v>
      </c>
      <c r="M242">
        <v>1</v>
      </c>
      <c r="N242">
        <v>0</v>
      </c>
      <c r="O242">
        <v>1</v>
      </c>
      <c r="P242" t="inlineStr">
        <is>
          <t>A</t>
        </is>
      </c>
      <c r="Q242">
        <v>35.08039</v>
      </c>
      <c r="R242">
        <v>-80.50271</v>
      </c>
      <c r="S242" t="inlineStr">
        <is>
          <t>DMV349CLEANED</t>
        </is>
      </c>
    </row>
    <row r="243">
      <c r="A243" t="inlineStr">
        <is>
          <t>0</t>
        </is>
      </c>
      <c r="B243" t="inlineStr">
        <is>
          <t>SR 1001</t>
        </is>
      </c>
      <c r="C243">
        <v>0.1</v>
      </c>
      <c r="D243" t="inlineStr">
        <is>
          <t>N</t>
        </is>
      </c>
      <c r="E243" t="inlineStr">
        <is>
          <t>SR 1615</t>
        </is>
      </c>
      <c r="F243" t="inlineStr">
        <is>
          <t>SR 1619</t>
        </is>
      </c>
      <c r="G243" t="inlineStr">
        <is>
          <t>SR 1001</t>
        </is>
      </c>
      <c r="H243">
        <v>2.971</v>
      </c>
      <c r="J243">
        <v>107410107</v>
      </c>
      <c r="K243" t="inlineStr">
        <is>
          <t>7/29/2023</t>
        </is>
      </c>
      <c r="L243">
        <v>17</v>
      </c>
      <c r="M243">
        <v>1</v>
      </c>
      <c r="N243">
        <v>0</v>
      </c>
      <c r="O243">
        <v>1</v>
      </c>
      <c r="P243" t="inlineStr">
        <is>
          <t>O</t>
        </is>
      </c>
    </row>
    <row r="244">
      <c r="A244" t="inlineStr">
        <is>
          <t>558</t>
        </is>
      </c>
      <c r="B244" t="inlineStr">
        <is>
          <t>SIKES MILL</t>
        </is>
      </c>
      <c r="C244">
        <v>0.12</v>
      </c>
      <c r="D244" t="inlineStr">
        <is>
          <t>NE</t>
        </is>
      </c>
      <c r="E244" t="inlineStr">
        <is>
          <t>UNIONVILLE</t>
        </is>
      </c>
      <c r="F244" t="inlineStr">
        <is>
          <t>TOM BOYD</t>
        </is>
      </c>
      <c r="G244" t="inlineStr">
        <is>
          <t>SR 1001</t>
        </is>
      </c>
      <c r="H244">
        <v>2.991</v>
      </c>
      <c r="J244">
        <v>106000270</v>
      </c>
      <c r="K244" t="inlineStr">
        <is>
          <t>9/21/2019</t>
        </is>
      </c>
      <c r="L244">
        <v>19</v>
      </c>
      <c r="M244">
        <v>1</v>
      </c>
      <c r="N244">
        <v>0</v>
      </c>
      <c r="O244">
        <v>1</v>
      </c>
      <c r="P244" t="inlineStr">
        <is>
          <t>O</t>
        </is>
      </c>
    </row>
    <row r="245">
      <c r="A245" t="inlineStr">
        <is>
          <t>0</t>
        </is>
      </c>
      <c r="B245" t="inlineStr">
        <is>
          <t>SR 1001</t>
        </is>
      </c>
      <c r="C245">
        <v>0.5</v>
      </c>
      <c r="D245" t="inlineStr">
        <is>
          <t>N</t>
        </is>
      </c>
      <c r="E245" t="inlineStr">
        <is>
          <t>SR 2713</t>
        </is>
      </c>
      <c r="F245" t="inlineStr">
        <is>
          <t>SR 1615</t>
        </is>
      </c>
      <c r="G245" t="inlineStr">
        <is>
          <t>SR 1001</t>
        </is>
      </c>
      <c r="H245">
        <v>3.025</v>
      </c>
      <c r="J245">
        <v>104716998</v>
      </c>
      <c r="K245" t="inlineStr">
        <is>
          <t>4/22/2016</t>
        </is>
      </c>
      <c r="L245">
        <v>17</v>
      </c>
      <c r="M245">
        <v>1</v>
      </c>
      <c r="N245">
        <v>0</v>
      </c>
      <c r="O245">
        <v>5</v>
      </c>
      <c r="P245" t="inlineStr">
        <is>
          <t>O</t>
        </is>
      </c>
    </row>
    <row r="246">
      <c r="A246" t="inlineStr">
        <is>
          <t>558</t>
        </is>
      </c>
      <c r="B246" t="inlineStr">
        <is>
          <t>SR 1001</t>
        </is>
      </c>
      <c r="C246">
        <v>0.4</v>
      </c>
      <c r="D246" t="inlineStr">
        <is>
          <t>S</t>
        </is>
      </c>
      <c r="E246" t="inlineStr">
        <is>
          <t>SR 1617</t>
        </is>
      </c>
      <c r="F246" t="inlineStr">
        <is>
          <t>SR 1665</t>
        </is>
      </c>
      <c r="G246" t="inlineStr">
        <is>
          <t>SR 1001</t>
        </is>
      </c>
      <c r="H246">
        <v>3.061</v>
      </c>
      <c r="J246">
        <v>105456064</v>
      </c>
      <c r="K246" t="inlineStr">
        <is>
          <t>4/19/2018</t>
        </is>
      </c>
      <c r="L246">
        <v>31</v>
      </c>
      <c r="M246">
        <v>1</v>
      </c>
      <c r="N246">
        <v>0</v>
      </c>
      <c r="O246">
        <v>1</v>
      </c>
      <c r="P246" t="inlineStr">
        <is>
          <t>O</t>
        </is>
      </c>
    </row>
    <row r="247">
      <c r="A247" t="inlineStr">
        <is>
          <t>558</t>
        </is>
      </c>
      <c r="B247" t="inlineStr">
        <is>
          <t>SR 1001</t>
        </is>
      </c>
      <c r="C247">
        <v>0.2</v>
      </c>
      <c r="D247" t="inlineStr">
        <is>
          <t>N</t>
        </is>
      </c>
      <c r="E247" t="inlineStr">
        <is>
          <t>SR 1615</t>
        </is>
      </c>
      <c r="F247" t="inlineStr">
        <is>
          <t>SR 1617</t>
        </is>
      </c>
      <c r="G247" t="inlineStr">
        <is>
          <t>SR 1001</t>
        </is>
      </c>
      <c r="H247">
        <v>3.071</v>
      </c>
      <c r="J247">
        <v>105245689</v>
      </c>
      <c r="K247" t="inlineStr">
        <is>
          <t>10/7/2017</t>
        </is>
      </c>
      <c r="L247">
        <v>17</v>
      </c>
      <c r="M247">
        <v>2</v>
      </c>
      <c r="O247">
        <v>1</v>
      </c>
      <c r="P247" t="inlineStr">
        <is>
          <t>O</t>
        </is>
      </c>
    </row>
    <row r="248">
      <c r="A248" t="inlineStr">
        <is>
          <t>558</t>
        </is>
      </c>
      <c r="B248" t="inlineStr">
        <is>
          <t>SR 1001</t>
        </is>
      </c>
      <c r="C248">
        <v>0.2</v>
      </c>
      <c r="D248" t="inlineStr">
        <is>
          <t>N</t>
        </is>
      </c>
      <c r="E248" t="inlineStr">
        <is>
          <t>SR 1615</t>
        </is>
      </c>
      <c r="F248" t="inlineStr">
        <is>
          <t>SR 1617</t>
        </is>
      </c>
      <c r="G248" t="inlineStr">
        <is>
          <t>SR 1001</t>
        </is>
      </c>
      <c r="H248">
        <v>3.071</v>
      </c>
      <c r="J248">
        <v>105257437</v>
      </c>
      <c r="K248" t="inlineStr">
        <is>
          <t>10/16/2017</t>
        </is>
      </c>
      <c r="L248">
        <v>17</v>
      </c>
      <c r="M248">
        <v>1</v>
      </c>
      <c r="N248">
        <v>0</v>
      </c>
      <c r="O248">
        <v>5</v>
      </c>
      <c r="P248" t="inlineStr">
        <is>
          <t>O</t>
        </is>
      </c>
    </row>
    <row r="249">
      <c r="A249" t="inlineStr">
        <is>
          <t>558</t>
        </is>
      </c>
      <c r="B249" t="inlineStr">
        <is>
          <t>SR 1001</t>
        </is>
      </c>
      <c r="C249">
        <v>0.2</v>
      </c>
      <c r="D249" t="inlineStr">
        <is>
          <t>NE</t>
        </is>
      </c>
      <c r="E249" t="inlineStr">
        <is>
          <t>SR 1615</t>
        </is>
      </c>
      <c r="F249" t="inlineStr">
        <is>
          <t>SR 1619</t>
        </is>
      </c>
      <c r="G249" t="inlineStr">
        <is>
          <t>SR 1001</t>
        </is>
      </c>
      <c r="H249">
        <v>3.071</v>
      </c>
      <c r="J249">
        <v>107287148</v>
      </c>
      <c r="K249" t="inlineStr">
        <is>
          <t>3/21/2023</t>
        </is>
      </c>
      <c r="L249">
        <v>18</v>
      </c>
      <c r="M249">
        <v>1</v>
      </c>
      <c r="N249">
        <v>0</v>
      </c>
      <c r="O249">
        <v>5</v>
      </c>
      <c r="P249" t="inlineStr">
        <is>
          <t>O</t>
        </is>
      </c>
    </row>
    <row r="250">
      <c r="A250" t="inlineStr">
        <is>
          <t>558</t>
        </is>
      </c>
      <c r="B250" t="inlineStr">
        <is>
          <t>SIKES MILL</t>
        </is>
      </c>
      <c r="C250">
        <v>0.21</v>
      </c>
      <c r="D250" t="inlineStr">
        <is>
          <t>N</t>
        </is>
      </c>
      <c r="E250" t="inlineStr">
        <is>
          <t>UNIONVILLE</t>
        </is>
      </c>
      <c r="F250" t="inlineStr">
        <is>
          <t>CLONTZ LONG</t>
        </is>
      </c>
      <c r="G250" t="inlineStr">
        <is>
          <t>SR 1001</t>
        </is>
      </c>
      <c r="H250">
        <v>3.081</v>
      </c>
      <c r="J250">
        <v>106523220</v>
      </c>
      <c r="K250" t="inlineStr">
        <is>
          <t>3/20/2021</t>
        </is>
      </c>
      <c r="L250">
        <v>19</v>
      </c>
      <c r="M250">
        <v>2</v>
      </c>
      <c r="N250">
        <v>0</v>
      </c>
      <c r="O250">
        <v>5</v>
      </c>
      <c r="P250" t="inlineStr">
        <is>
          <t>O</t>
        </is>
      </c>
    </row>
    <row r="251">
      <c r="A251" t="inlineStr">
        <is>
          <t>558</t>
        </is>
      </c>
      <c r="B251" t="inlineStr">
        <is>
          <t>SIKES MILL</t>
        </is>
      </c>
      <c r="C251">
        <v>0.21</v>
      </c>
      <c r="D251" t="inlineStr">
        <is>
          <t>N</t>
        </is>
      </c>
      <c r="E251" t="inlineStr">
        <is>
          <t>UNIONVILLE</t>
        </is>
      </c>
      <c r="F251" t="inlineStr">
        <is>
          <t>TOM BOYD</t>
        </is>
      </c>
      <c r="G251" t="inlineStr">
        <is>
          <t>SR 1001</t>
        </is>
      </c>
      <c r="H251">
        <v>3.081</v>
      </c>
      <c r="J251">
        <v>107483858</v>
      </c>
      <c r="K251" t="inlineStr">
        <is>
          <t>10/6/2023</t>
        </is>
      </c>
      <c r="L251">
        <v>17</v>
      </c>
      <c r="M251">
        <v>1</v>
      </c>
      <c r="N251">
        <v>0</v>
      </c>
      <c r="O251">
        <v>2</v>
      </c>
      <c r="P251" t="inlineStr">
        <is>
          <t>O</t>
        </is>
      </c>
    </row>
    <row r="252">
      <c r="A252" t="inlineStr">
        <is>
          <t>558</t>
        </is>
      </c>
      <c r="B252" t="inlineStr">
        <is>
          <t>SIKES MILL</t>
        </is>
      </c>
      <c r="C252">
        <v>0.36</v>
      </c>
      <c r="D252" t="inlineStr">
        <is>
          <t>S</t>
        </is>
      </c>
      <c r="E252" t="inlineStr">
        <is>
          <t>TOM BOYD</t>
        </is>
      </c>
      <c r="F252" t="inlineStr">
        <is>
          <t>UNIONVILLE</t>
        </is>
      </c>
      <c r="G252" t="inlineStr">
        <is>
          <t>SR 1001</t>
        </is>
      </c>
      <c r="H252">
        <v>3.101</v>
      </c>
      <c r="J252">
        <v>108539563</v>
      </c>
      <c r="K252" t="inlineStr">
        <is>
          <t>6/21/2026</t>
        </is>
      </c>
      <c r="L252">
        <v>17</v>
      </c>
      <c r="M252">
        <v>1</v>
      </c>
      <c r="N252">
        <v>0</v>
      </c>
      <c r="O252">
        <v>2</v>
      </c>
      <c r="P252" t="inlineStr">
        <is>
          <t>B</t>
        </is>
      </c>
    </row>
    <row r="253">
      <c r="A253" t="inlineStr">
        <is>
          <t>558</t>
        </is>
      </c>
      <c r="B253" t="inlineStr">
        <is>
          <t>SR 1001</t>
        </is>
      </c>
      <c r="C253">
        <v>0.3</v>
      </c>
      <c r="D253" t="inlineStr">
        <is>
          <t>S</t>
        </is>
      </c>
      <c r="E253" t="inlineStr">
        <is>
          <t>SR 1617</t>
        </is>
      </c>
      <c r="F253" t="inlineStr">
        <is>
          <t>SR 1615</t>
        </is>
      </c>
      <c r="G253" t="inlineStr">
        <is>
          <t>SR 1001</t>
        </is>
      </c>
      <c r="H253">
        <v>3.161</v>
      </c>
      <c r="J253">
        <v>107634836</v>
      </c>
      <c r="K253" t="inlineStr">
        <is>
          <t>2/24/2024</t>
        </is>
      </c>
      <c r="L253">
        <v>29</v>
      </c>
      <c r="M253">
        <v>1</v>
      </c>
      <c r="N253">
        <v>0</v>
      </c>
      <c r="O253">
        <v>5</v>
      </c>
      <c r="P253" t="inlineStr">
        <is>
          <t>O</t>
        </is>
      </c>
      <c r="Q253">
        <v>35.07842</v>
      </c>
      <c r="R253">
        <v>-80.50516</v>
      </c>
      <c r="S253" t="inlineStr">
        <is>
          <t>DMV349CLEANED</t>
        </is>
      </c>
    </row>
    <row r="254">
      <c r="A254" t="inlineStr">
        <is>
          <t>558</t>
        </is>
      </c>
      <c r="B254" t="inlineStr">
        <is>
          <t>SR 1001</t>
        </is>
      </c>
      <c r="C254">
        <v>0.3</v>
      </c>
      <c r="D254" t="inlineStr">
        <is>
          <t>S</t>
        </is>
      </c>
      <c r="E254" t="inlineStr">
        <is>
          <t>SR 1619</t>
        </is>
      </c>
      <c r="F254" t="inlineStr">
        <is>
          <t>SR 1615</t>
        </is>
      </c>
      <c r="G254" t="inlineStr">
        <is>
          <t>SR 1001</t>
        </is>
      </c>
      <c r="H254">
        <v>3.161</v>
      </c>
      <c r="J254">
        <v>106019966</v>
      </c>
      <c r="K254" t="inlineStr">
        <is>
          <t>10/9/2019</t>
        </is>
      </c>
      <c r="L254">
        <v>17</v>
      </c>
      <c r="M254">
        <v>1</v>
      </c>
      <c r="N254">
        <v>0</v>
      </c>
      <c r="O254">
        <v>5</v>
      </c>
      <c r="P254" t="inlineStr">
        <is>
          <t>O</t>
        </is>
      </c>
    </row>
    <row r="255">
      <c r="A255" t="inlineStr">
        <is>
          <t>558</t>
        </is>
      </c>
      <c r="B255" t="inlineStr">
        <is>
          <t>SR 1001</t>
        </is>
      </c>
      <c r="C255">
        <v>0.3</v>
      </c>
      <c r="D255" t="inlineStr">
        <is>
          <t>W</t>
        </is>
      </c>
      <c r="E255" t="inlineStr">
        <is>
          <t>SR 1619</t>
        </is>
      </c>
      <c r="F255" t="inlineStr">
        <is>
          <t>SR 1615</t>
        </is>
      </c>
      <c r="G255" t="inlineStr">
        <is>
          <t>SR 1001</t>
        </is>
      </c>
      <c r="H255">
        <v>3.161</v>
      </c>
      <c r="J255">
        <v>106922517</v>
      </c>
      <c r="K255" t="inlineStr">
        <is>
          <t>4/15/2022</t>
        </is>
      </c>
      <c r="L255">
        <v>17</v>
      </c>
      <c r="M255">
        <v>1</v>
      </c>
      <c r="N255">
        <v>0</v>
      </c>
      <c r="O255">
        <v>5</v>
      </c>
      <c r="P255" t="inlineStr">
        <is>
          <t>O</t>
        </is>
      </c>
    </row>
    <row r="256">
      <c r="A256" t="inlineStr">
        <is>
          <t>558</t>
        </is>
      </c>
      <c r="B256" t="inlineStr">
        <is>
          <t>SR 1001</t>
        </is>
      </c>
      <c r="C256">
        <v>0.3</v>
      </c>
      <c r="D256" t="inlineStr">
        <is>
          <t>N</t>
        </is>
      </c>
      <c r="E256" t="inlineStr">
        <is>
          <t>SR 1615</t>
        </is>
      </c>
      <c r="F256" t="inlineStr">
        <is>
          <t>SR 1619</t>
        </is>
      </c>
      <c r="G256" t="inlineStr">
        <is>
          <t>SR 1001</t>
        </is>
      </c>
      <c r="H256">
        <v>3.171</v>
      </c>
      <c r="J256">
        <v>106019965</v>
      </c>
      <c r="K256" t="inlineStr">
        <is>
          <t>10/9/2019</t>
        </is>
      </c>
      <c r="L256">
        <v>17</v>
      </c>
      <c r="M256">
        <v>1</v>
      </c>
      <c r="N256">
        <v>0</v>
      </c>
      <c r="O256">
        <v>5</v>
      </c>
      <c r="P256" t="inlineStr">
        <is>
          <t>O</t>
        </is>
      </c>
    </row>
    <row r="257">
      <c r="A257" t="inlineStr">
        <is>
          <t>558</t>
        </is>
      </c>
      <c r="B257" t="inlineStr">
        <is>
          <t>SIKES MILL</t>
        </is>
      </c>
      <c r="C257">
        <v>0.24</v>
      </c>
      <c r="D257" t="inlineStr">
        <is>
          <t>SW</t>
        </is>
      </c>
      <c r="E257" t="inlineStr">
        <is>
          <t>TOM BOYD</t>
        </is>
      </c>
      <c r="F257" t="inlineStr">
        <is>
          <t>UNIONVILLE</t>
        </is>
      </c>
      <c r="G257" t="inlineStr">
        <is>
          <t>SR 1001</t>
        </is>
      </c>
      <c r="H257">
        <v>3.221</v>
      </c>
      <c r="J257">
        <v>108025090</v>
      </c>
      <c r="K257" t="inlineStr">
        <is>
          <t>2/11/2025</t>
        </is>
      </c>
      <c r="L257">
        <v>19</v>
      </c>
      <c r="M257">
        <v>2</v>
      </c>
      <c r="N257">
        <v>0</v>
      </c>
      <c r="O257">
        <v>5</v>
      </c>
      <c r="P257" t="inlineStr">
        <is>
          <t>O</t>
        </is>
      </c>
    </row>
    <row r="258">
      <c r="A258" t="inlineStr">
        <is>
          <t>558</t>
        </is>
      </c>
      <c r="B258" t="inlineStr">
        <is>
          <t>SIKES MILL</t>
        </is>
      </c>
      <c r="C258">
        <v>0.38</v>
      </c>
      <c r="D258" t="inlineStr">
        <is>
          <t>NE</t>
        </is>
      </c>
      <c r="E258" t="inlineStr">
        <is>
          <t>UNIONVILLE</t>
        </is>
      </c>
      <c r="F258" t="inlineStr">
        <is>
          <t>CLONTZ LONG</t>
        </is>
      </c>
      <c r="G258" t="inlineStr">
        <is>
          <t>SR 1001</t>
        </is>
      </c>
      <c r="H258">
        <v>3.251</v>
      </c>
      <c r="J258">
        <v>105310167</v>
      </c>
      <c r="K258" t="inlineStr">
        <is>
          <t>12/3/2017</t>
        </is>
      </c>
      <c r="L258">
        <v>17</v>
      </c>
      <c r="M258">
        <v>1</v>
      </c>
      <c r="N258">
        <v>0</v>
      </c>
      <c r="O258">
        <v>5</v>
      </c>
      <c r="P258" t="inlineStr">
        <is>
          <t>O</t>
        </is>
      </c>
    </row>
    <row r="259">
      <c r="A259" t="inlineStr">
        <is>
          <t>558</t>
        </is>
      </c>
      <c r="B259" t="inlineStr">
        <is>
          <t>SR 1001</t>
        </is>
      </c>
      <c r="C259">
        <v>0.2</v>
      </c>
      <c r="D259" t="inlineStr">
        <is>
          <t>S</t>
        </is>
      </c>
      <c r="E259" t="inlineStr">
        <is>
          <t>SR 1619</t>
        </is>
      </c>
      <c r="F259" t="inlineStr">
        <is>
          <t>SR 1615</t>
        </is>
      </c>
      <c r="G259" t="inlineStr">
        <is>
          <t>SR 1001</t>
        </is>
      </c>
      <c r="H259">
        <v>3.261</v>
      </c>
      <c r="J259">
        <v>105276432</v>
      </c>
      <c r="K259" t="inlineStr">
        <is>
          <t>10/31/2017</t>
        </is>
      </c>
      <c r="L259">
        <v>17</v>
      </c>
      <c r="M259">
        <v>1</v>
      </c>
      <c r="N259">
        <v>0</v>
      </c>
      <c r="O259">
        <v>5</v>
      </c>
      <c r="P259" t="inlineStr">
        <is>
          <t>O</t>
        </is>
      </c>
    </row>
    <row r="260">
      <c r="A260" t="inlineStr">
        <is>
          <t>558</t>
        </is>
      </c>
      <c r="B260" t="inlineStr">
        <is>
          <t>SR 1001</t>
        </is>
      </c>
      <c r="C260">
        <v>0.2</v>
      </c>
      <c r="D260" t="inlineStr">
        <is>
          <t>S</t>
        </is>
      </c>
      <c r="E260" t="inlineStr">
        <is>
          <t>SR 1619</t>
        </is>
      </c>
      <c r="F260" t="inlineStr">
        <is>
          <t>SR 1617</t>
        </is>
      </c>
      <c r="G260" t="inlineStr">
        <is>
          <t>SR 1001</t>
        </is>
      </c>
      <c r="H260">
        <v>3.261</v>
      </c>
      <c r="J260">
        <v>105360672</v>
      </c>
      <c r="K260" t="inlineStr">
        <is>
          <t>1/23/2018</t>
        </is>
      </c>
      <c r="L260">
        <v>17</v>
      </c>
      <c r="M260">
        <v>1</v>
      </c>
      <c r="O260">
        <v>5</v>
      </c>
      <c r="P260" t="inlineStr">
        <is>
          <t>O</t>
        </is>
      </c>
    </row>
    <row r="261">
      <c r="A261" t="inlineStr">
        <is>
          <t>0</t>
        </is>
      </c>
      <c r="B261" t="inlineStr">
        <is>
          <t>SR 1001</t>
        </is>
      </c>
      <c r="C261">
        <v>0.2</v>
      </c>
      <c r="D261" t="inlineStr">
        <is>
          <t>S</t>
        </is>
      </c>
      <c r="E261" t="inlineStr">
        <is>
          <t>SR 1619</t>
        </is>
      </c>
      <c r="F261" t="inlineStr">
        <is>
          <t>SR 1615</t>
        </is>
      </c>
      <c r="G261" t="inlineStr">
        <is>
          <t>SR 1001</t>
        </is>
      </c>
      <c r="H261">
        <v>3.261</v>
      </c>
      <c r="J261">
        <v>107272200</v>
      </c>
      <c r="K261" t="inlineStr">
        <is>
          <t>3/14/2023</t>
        </is>
      </c>
      <c r="L261">
        <v>17</v>
      </c>
      <c r="M261">
        <v>1</v>
      </c>
      <c r="N261">
        <v>0</v>
      </c>
      <c r="O261">
        <v>5</v>
      </c>
      <c r="P261" t="inlineStr">
        <is>
          <t>O</t>
        </is>
      </c>
    </row>
    <row r="262">
      <c r="A262" t="inlineStr">
        <is>
          <t>558</t>
        </is>
      </c>
      <c r="B262" t="inlineStr">
        <is>
          <t>SIKES MILL</t>
        </is>
      </c>
      <c r="C262">
        <v>0.19</v>
      </c>
      <c r="D262" t="inlineStr">
        <is>
          <t>S</t>
        </is>
      </c>
      <c r="E262" t="inlineStr">
        <is>
          <t>TOM BOYD</t>
        </is>
      </c>
      <c r="F262" t="inlineStr">
        <is>
          <t>UNIONVILLE</t>
        </is>
      </c>
      <c r="G262" t="inlineStr">
        <is>
          <t>SR 1001</t>
        </is>
      </c>
      <c r="H262">
        <v>3.271</v>
      </c>
      <c r="J262">
        <v>107653449</v>
      </c>
      <c r="K262" t="inlineStr">
        <is>
          <t>3/13/2024</t>
        </is>
      </c>
      <c r="L262">
        <v>29</v>
      </c>
      <c r="M262">
        <v>1</v>
      </c>
      <c r="N262">
        <v>0</v>
      </c>
      <c r="O262">
        <v>1</v>
      </c>
      <c r="P262" t="inlineStr">
        <is>
          <t>O</t>
        </is>
      </c>
    </row>
    <row r="263">
      <c r="A263" t="inlineStr">
        <is>
          <t>558</t>
        </is>
      </c>
      <c r="B263" t="inlineStr">
        <is>
          <t>SIKES MILL</t>
        </is>
      </c>
      <c r="C263">
        <v>0.19</v>
      </c>
      <c r="D263" t="inlineStr">
        <is>
          <t>S</t>
        </is>
      </c>
      <c r="E263" t="inlineStr">
        <is>
          <t>TOM BOYD</t>
        </is>
      </c>
      <c r="F263" t="inlineStr">
        <is>
          <t>SIKES MILL</t>
        </is>
      </c>
      <c r="G263" t="inlineStr">
        <is>
          <t>SR 1001</t>
        </is>
      </c>
      <c r="H263">
        <v>3.271</v>
      </c>
      <c r="J263">
        <v>104712202</v>
      </c>
      <c r="K263" t="inlineStr">
        <is>
          <t>4/23/2016</t>
        </is>
      </c>
      <c r="L263">
        <v>19</v>
      </c>
      <c r="M263">
        <v>2</v>
      </c>
      <c r="N263">
        <v>0</v>
      </c>
      <c r="O263">
        <v>5</v>
      </c>
      <c r="P263" t="inlineStr">
        <is>
          <t>O</t>
        </is>
      </c>
    </row>
    <row r="264">
      <c r="A264" t="inlineStr">
        <is>
          <t>0</t>
        </is>
      </c>
      <c r="B264" t="inlineStr">
        <is>
          <t>SR 1001</t>
        </is>
      </c>
      <c r="C264">
        <v>0.4</v>
      </c>
      <c r="D264" t="inlineStr">
        <is>
          <t>N</t>
        </is>
      </c>
      <c r="E264" t="inlineStr">
        <is>
          <t>SR 1615</t>
        </is>
      </c>
      <c r="F264" t="inlineStr">
        <is>
          <t>SR 1617</t>
        </is>
      </c>
      <c r="G264" t="inlineStr">
        <is>
          <t>SR 1001</t>
        </is>
      </c>
      <c r="H264">
        <v>3.271</v>
      </c>
      <c r="J264">
        <v>105781091</v>
      </c>
      <c r="K264" t="inlineStr">
        <is>
          <t>2/21/2019</t>
        </is>
      </c>
      <c r="L264">
        <v>19</v>
      </c>
      <c r="M264">
        <v>2</v>
      </c>
      <c r="N264">
        <v>0</v>
      </c>
      <c r="O264">
        <v>1</v>
      </c>
      <c r="P264" t="inlineStr">
        <is>
          <t>O</t>
        </is>
      </c>
    </row>
    <row r="265">
      <c r="A265" t="inlineStr">
        <is>
          <t>558</t>
        </is>
      </c>
      <c r="B265" t="inlineStr">
        <is>
          <t>SR 1001</t>
        </is>
      </c>
      <c r="C265">
        <v>0.19</v>
      </c>
      <c r="D265" t="inlineStr">
        <is>
          <t>S</t>
        </is>
      </c>
      <c r="E265" t="inlineStr">
        <is>
          <t>SR 1617</t>
        </is>
      </c>
      <c r="F265" t="inlineStr">
        <is>
          <t>SR 1615</t>
        </is>
      </c>
      <c r="G265" t="inlineStr">
        <is>
          <t>SR 1001</t>
        </is>
      </c>
      <c r="H265">
        <v>3.271</v>
      </c>
      <c r="J265">
        <v>105178491</v>
      </c>
      <c r="K265" t="inlineStr">
        <is>
          <t>8/1/2017</t>
        </is>
      </c>
      <c r="L265">
        <v>18</v>
      </c>
      <c r="M265">
        <v>1</v>
      </c>
      <c r="N265">
        <v>0</v>
      </c>
      <c r="O265">
        <v>1</v>
      </c>
      <c r="P265" t="inlineStr">
        <is>
          <t>B</t>
        </is>
      </c>
    </row>
    <row r="266">
      <c r="A266" t="inlineStr">
        <is>
          <t>558</t>
        </is>
      </c>
      <c r="B266" t="inlineStr">
        <is>
          <t>SIKES MILL</t>
        </is>
      </c>
      <c r="C266">
        <v>0.18</v>
      </c>
      <c r="D266" t="inlineStr">
        <is>
          <t>S</t>
        </is>
      </c>
      <c r="E266" t="inlineStr">
        <is>
          <t>TOM BOYD</t>
        </is>
      </c>
      <c r="F266" t="inlineStr">
        <is>
          <t>UNIONVILLE</t>
        </is>
      </c>
      <c r="G266" t="inlineStr">
        <is>
          <t>SR 1001</t>
        </is>
      </c>
      <c r="H266">
        <v>3.281</v>
      </c>
      <c r="J266">
        <v>107631164</v>
      </c>
      <c r="K266" t="inlineStr">
        <is>
          <t>2/22/2024</t>
        </is>
      </c>
      <c r="L266">
        <v>17</v>
      </c>
      <c r="M266">
        <v>1</v>
      </c>
      <c r="N266">
        <v>0</v>
      </c>
      <c r="O266">
        <v>3</v>
      </c>
      <c r="P266" t="inlineStr">
        <is>
          <t>O</t>
        </is>
      </c>
    </row>
    <row r="267">
      <c r="A267" t="inlineStr">
        <is>
          <t>558</t>
        </is>
      </c>
      <c r="B267" t="inlineStr">
        <is>
          <t>SR 1001</t>
        </is>
      </c>
      <c r="C267">
        <v>0.1</v>
      </c>
      <c r="D267" t="inlineStr">
        <is>
          <t>S</t>
        </is>
      </c>
      <c r="E267" t="inlineStr">
        <is>
          <t>SR 1617</t>
        </is>
      </c>
      <c r="F267" t="inlineStr">
        <is>
          <t>SR 1615</t>
        </is>
      </c>
      <c r="G267" t="inlineStr">
        <is>
          <t>SR 1001</t>
        </is>
      </c>
      <c r="H267">
        <v>3.361</v>
      </c>
      <c r="J267">
        <v>105324665</v>
      </c>
      <c r="K267" t="inlineStr">
        <is>
          <t>12/13/2017</t>
        </is>
      </c>
      <c r="L267">
        <v>17</v>
      </c>
      <c r="M267">
        <v>1</v>
      </c>
      <c r="N267">
        <v>0</v>
      </c>
      <c r="O267">
        <v>5</v>
      </c>
      <c r="P267" t="inlineStr">
        <is>
          <t>O</t>
        </is>
      </c>
    </row>
    <row r="268">
      <c r="A268" t="inlineStr">
        <is>
          <t>558</t>
        </is>
      </c>
      <c r="B268" t="inlineStr">
        <is>
          <t>SR 1001</t>
        </is>
      </c>
      <c r="C268">
        <v>0.1</v>
      </c>
      <c r="D268" t="inlineStr">
        <is>
          <t>S</t>
        </is>
      </c>
      <c r="E268" t="inlineStr">
        <is>
          <t>SR 1619</t>
        </is>
      </c>
      <c r="F268" t="inlineStr">
        <is>
          <t>SR 1615</t>
        </is>
      </c>
      <c r="G268" t="inlineStr">
        <is>
          <t>SR 1001</t>
        </is>
      </c>
      <c r="H268">
        <v>3.361</v>
      </c>
      <c r="J268">
        <v>104793661</v>
      </c>
      <c r="K268" t="inlineStr">
        <is>
          <t>7/12/2016</t>
        </is>
      </c>
      <c r="L268">
        <v>19</v>
      </c>
      <c r="M268">
        <v>1</v>
      </c>
      <c r="N268">
        <v>0</v>
      </c>
      <c r="O268">
        <v>1</v>
      </c>
      <c r="P268" t="inlineStr">
        <is>
          <t>B</t>
        </is>
      </c>
    </row>
    <row r="269">
      <c r="A269" t="inlineStr">
        <is>
          <t>0</t>
        </is>
      </c>
      <c r="B269" t="inlineStr">
        <is>
          <t>SR 1001</t>
        </is>
      </c>
      <c r="C269">
        <v>0.5</v>
      </c>
      <c r="D269" t="inlineStr">
        <is>
          <t>E</t>
        </is>
      </c>
      <c r="E269" t="inlineStr">
        <is>
          <t>SR 1615</t>
        </is>
      </c>
      <c r="F269" t="inlineStr">
        <is>
          <t>SR 1611</t>
        </is>
      </c>
      <c r="G269" t="inlineStr">
        <is>
          <t>SR 1001</t>
        </is>
      </c>
      <c r="H269">
        <v>3.371</v>
      </c>
      <c r="J269">
        <v>107210295</v>
      </c>
      <c r="K269" t="inlineStr">
        <is>
          <t>1/9/2023</t>
        </is>
      </c>
      <c r="L269">
        <v>17</v>
      </c>
      <c r="M269">
        <v>1</v>
      </c>
      <c r="N269">
        <v>0</v>
      </c>
      <c r="O269">
        <v>1</v>
      </c>
      <c r="P269" t="inlineStr">
        <is>
          <t>O</t>
        </is>
      </c>
    </row>
    <row r="270">
      <c r="A270" t="inlineStr">
        <is>
          <t>558</t>
        </is>
      </c>
      <c r="B270" t="inlineStr">
        <is>
          <t>SR 1001</t>
        </is>
      </c>
      <c r="C270">
        <v>0.5</v>
      </c>
      <c r="D270" t="inlineStr">
        <is>
          <t>E</t>
        </is>
      </c>
      <c r="E270" t="inlineStr">
        <is>
          <t>SR 1615</t>
        </is>
      </c>
      <c r="F270" t="inlineStr">
        <is>
          <t>SR 1617</t>
        </is>
      </c>
      <c r="G270" t="inlineStr">
        <is>
          <t>SR 1001</t>
        </is>
      </c>
      <c r="H270">
        <v>3.371</v>
      </c>
      <c r="J270">
        <v>107011153</v>
      </c>
      <c r="K270" t="inlineStr">
        <is>
          <t>7/7/2022</t>
        </is>
      </c>
      <c r="L270">
        <v>19</v>
      </c>
      <c r="M270">
        <v>1</v>
      </c>
      <c r="N270">
        <v>0</v>
      </c>
      <c r="O270">
        <v>1</v>
      </c>
      <c r="P270" t="inlineStr">
        <is>
          <t>O</t>
        </is>
      </c>
    </row>
    <row r="271">
      <c r="A271" t="inlineStr">
        <is>
          <t>0</t>
        </is>
      </c>
      <c r="B271" t="inlineStr">
        <is>
          <t>SR 1001</t>
        </is>
      </c>
      <c r="C271">
        <v>0.7</v>
      </c>
      <c r="D271" t="inlineStr">
        <is>
          <t>S</t>
        </is>
      </c>
      <c r="E271" t="inlineStr">
        <is>
          <t>SR 1606</t>
        </is>
      </c>
      <c r="F271" t="inlineStr">
        <is>
          <t>SR 1640</t>
        </is>
      </c>
      <c r="G271" t="inlineStr">
        <is>
          <t>SR 1001</t>
        </is>
      </c>
      <c r="H271">
        <v>3.394</v>
      </c>
      <c r="J271">
        <v>106325966</v>
      </c>
      <c r="K271" t="inlineStr">
        <is>
          <t>8/19/2020</t>
        </is>
      </c>
      <c r="L271">
        <v>29</v>
      </c>
      <c r="M271">
        <v>1</v>
      </c>
      <c r="N271">
        <v>2</v>
      </c>
      <c r="O271">
        <v>1</v>
      </c>
      <c r="P271" t="inlineStr">
        <is>
          <t>O</t>
        </is>
      </c>
    </row>
    <row r="272">
      <c r="A272" t="inlineStr">
        <is>
          <t>558</t>
        </is>
      </c>
      <c r="B272" t="inlineStr">
        <is>
          <t>SR 1001</t>
        </is>
      </c>
      <c r="C272">
        <v>0.066</v>
      </c>
      <c r="D272" t="inlineStr">
        <is>
          <t>S</t>
        </is>
      </c>
      <c r="E272" t="inlineStr">
        <is>
          <t>SR 1617</t>
        </is>
      </c>
      <c r="F272" t="inlineStr">
        <is>
          <t>SR 1615</t>
        </is>
      </c>
      <c r="G272" t="inlineStr">
        <is>
          <t>SR 1001</t>
        </is>
      </c>
      <c r="H272">
        <v>3.395</v>
      </c>
      <c r="J272">
        <v>107405320</v>
      </c>
      <c r="K272" t="inlineStr">
        <is>
          <t>7/21/2023</t>
        </is>
      </c>
      <c r="L272">
        <v>17</v>
      </c>
      <c r="M272">
        <v>1</v>
      </c>
      <c r="N272">
        <v>0</v>
      </c>
      <c r="O272">
        <v>1</v>
      </c>
      <c r="P272" t="inlineStr">
        <is>
          <t>O</t>
        </is>
      </c>
    </row>
    <row r="273">
      <c r="A273" t="inlineStr">
        <is>
          <t>558</t>
        </is>
      </c>
      <c r="B273" t="inlineStr">
        <is>
          <t>SR 1001</t>
        </is>
      </c>
      <c r="C273">
        <v>0.038</v>
      </c>
      <c r="D273" t="inlineStr">
        <is>
          <t>S</t>
        </is>
      </c>
      <c r="E273" t="inlineStr">
        <is>
          <t>SR 1617</t>
        </is>
      </c>
      <c r="F273" t="inlineStr">
        <is>
          <t>US 601</t>
        </is>
      </c>
      <c r="G273" t="inlineStr">
        <is>
          <t>SR 1001</t>
        </is>
      </c>
      <c r="H273">
        <v>3.423</v>
      </c>
      <c r="J273">
        <v>105964079</v>
      </c>
      <c r="K273" t="inlineStr">
        <is>
          <t>8/15/2019</t>
        </is>
      </c>
      <c r="L273">
        <v>19</v>
      </c>
      <c r="M273">
        <v>2</v>
      </c>
      <c r="N273">
        <v>0</v>
      </c>
      <c r="O273">
        <v>5</v>
      </c>
      <c r="P273" t="inlineStr">
        <is>
          <t>O</t>
        </is>
      </c>
    </row>
    <row r="274">
      <c r="A274" t="inlineStr">
        <is>
          <t>558</t>
        </is>
      </c>
      <c r="B274" t="inlineStr">
        <is>
          <t>SR 1001</t>
        </is>
      </c>
      <c r="C274">
        <v>0.03</v>
      </c>
      <c r="D274" t="inlineStr">
        <is>
          <t>S</t>
        </is>
      </c>
      <c r="E274" t="inlineStr">
        <is>
          <t>SR 1617</t>
        </is>
      </c>
      <c r="F274" t="inlineStr">
        <is>
          <t>SR 1615</t>
        </is>
      </c>
      <c r="G274" t="inlineStr">
        <is>
          <t>SR 1001</t>
        </is>
      </c>
      <c r="H274">
        <v>3.431</v>
      </c>
      <c r="J274">
        <v>105208918</v>
      </c>
      <c r="K274" t="inlineStr">
        <is>
          <t>9/1/2017</t>
        </is>
      </c>
      <c r="L274">
        <v>27</v>
      </c>
      <c r="M274">
        <v>3</v>
      </c>
      <c r="N274">
        <v>0</v>
      </c>
      <c r="O274">
        <v>1</v>
      </c>
      <c r="P274" t="inlineStr">
        <is>
          <t>C</t>
        </is>
      </c>
    </row>
    <row r="275">
      <c r="A275" t="inlineStr">
        <is>
          <t>558</t>
        </is>
      </c>
      <c r="B275" t="inlineStr">
        <is>
          <t>SR 1001</t>
        </is>
      </c>
      <c r="C275">
        <v>0.019</v>
      </c>
      <c r="D275" t="inlineStr">
        <is>
          <t>S</t>
        </is>
      </c>
      <c r="E275" t="inlineStr">
        <is>
          <t>SR 1617</t>
        </is>
      </c>
      <c r="G275" t="inlineStr">
        <is>
          <t>SR 1001</t>
        </is>
      </c>
      <c r="H275">
        <v>3.442</v>
      </c>
      <c r="J275">
        <v>105520583</v>
      </c>
      <c r="K275" t="inlineStr">
        <is>
          <t>6/20/2018</t>
        </is>
      </c>
      <c r="L275">
        <v>19</v>
      </c>
      <c r="M275">
        <v>2</v>
      </c>
      <c r="N275">
        <v>0</v>
      </c>
      <c r="O275">
        <v>1</v>
      </c>
      <c r="P275" t="inlineStr">
        <is>
          <t>O</t>
        </is>
      </c>
    </row>
    <row r="276">
      <c r="A276" t="inlineStr">
        <is>
          <t>558</t>
        </is>
      </c>
      <c r="B276" t="inlineStr">
        <is>
          <t>SR 1001</t>
        </is>
      </c>
      <c r="C276">
        <v>0.014</v>
      </c>
      <c r="D276" t="inlineStr">
        <is>
          <t>S</t>
        </is>
      </c>
      <c r="E276" t="inlineStr">
        <is>
          <t>TOM BOYD</t>
        </is>
      </c>
      <c r="F276" t="inlineStr">
        <is>
          <t>SR 1606</t>
        </is>
      </c>
      <c r="G276" t="inlineStr">
        <is>
          <t>SR 1001</t>
        </is>
      </c>
      <c r="H276">
        <v>3.447</v>
      </c>
      <c r="J276">
        <v>105553349</v>
      </c>
      <c r="K276" t="inlineStr">
        <is>
          <t>7/23/2018</t>
        </is>
      </c>
      <c r="L276">
        <v>18</v>
      </c>
      <c r="M276">
        <v>2</v>
      </c>
      <c r="N276">
        <v>0</v>
      </c>
      <c r="O276">
        <v>1</v>
      </c>
      <c r="P276" t="inlineStr">
        <is>
          <t>O</t>
        </is>
      </c>
    </row>
    <row r="277">
      <c r="A277" t="inlineStr">
        <is>
          <t>558</t>
        </is>
      </c>
      <c r="B277" t="inlineStr">
        <is>
          <t>SIKES MILL</t>
        </is>
      </c>
      <c r="C277">
        <v>0.0</v>
      </c>
      <c r="E277" t="inlineStr">
        <is>
          <t>TOM BOYD</t>
        </is>
      </c>
      <c r="F277" t="inlineStr">
        <is>
          <t>UNIONVILLE</t>
        </is>
      </c>
      <c r="G277" t="inlineStr">
        <is>
          <t>SR 1001</t>
        </is>
      </c>
      <c r="H277">
        <v>3.461</v>
      </c>
      <c r="J277">
        <v>107601791</v>
      </c>
      <c r="K277" t="inlineStr">
        <is>
          <t>1/23/2024</t>
        </is>
      </c>
      <c r="L277">
        <v>30</v>
      </c>
      <c r="M277">
        <v>2</v>
      </c>
      <c r="N277">
        <v>7</v>
      </c>
      <c r="O277">
        <v>1</v>
      </c>
      <c r="P277" t="inlineStr">
        <is>
          <t>O</t>
        </is>
      </c>
    </row>
    <row r="278">
      <c r="A278" t="inlineStr">
        <is>
          <t>558</t>
        </is>
      </c>
      <c r="B278" t="inlineStr">
        <is>
          <t>SIKES MILL</t>
        </is>
      </c>
      <c r="C278">
        <v>0.0</v>
      </c>
      <c r="E278" t="inlineStr">
        <is>
          <t>TOM BOYD</t>
        </is>
      </c>
      <c r="F278" t="inlineStr">
        <is>
          <t>UNIONVILLE</t>
        </is>
      </c>
      <c r="G278" t="inlineStr">
        <is>
          <t>SR 1001</t>
        </is>
      </c>
      <c r="H278">
        <v>3.461</v>
      </c>
      <c r="J278">
        <v>106772984</v>
      </c>
      <c r="K278" t="inlineStr">
        <is>
          <t>11/19/2021</t>
        </is>
      </c>
      <c r="L278">
        <v>30</v>
      </c>
      <c r="M278">
        <v>1</v>
      </c>
      <c r="N278">
        <v>7</v>
      </c>
      <c r="O278">
        <v>1</v>
      </c>
      <c r="P278" t="inlineStr">
        <is>
          <t>O</t>
        </is>
      </c>
    </row>
    <row r="279">
      <c r="A279" t="inlineStr">
        <is>
          <t>558</t>
        </is>
      </c>
      <c r="B279" t="inlineStr">
        <is>
          <t>SIKES MILL</t>
        </is>
      </c>
      <c r="C279">
        <v>0.0</v>
      </c>
      <c r="E279" t="inlineStr">
        <is>
          <t>TOM BOYD</t>
        </is>
      </c>
      <c r="F279" t="inlineStr">
        <is>
          <t>LOVE MILL</t>
        </is>
      </c>
      <c r="G279" t="inlineStr">
        <is>
          <t>SR 1001</t>
        </is>
      </c>
      <c r="H279">
        <v>3.461</v>
      </c>
      <c r="J279">
        <v>107870118</v>
      </c>
      <c r="K279" t="inlineStr">
        <is>
          <t>10/3/2024</t>
        </is>
      </c>
      <c r="L279">
        <v>30</v>
      </c>
      <c r="M279">
        <v>1</v>
      </c>
      <c r="N279">
        <v>7</v>
      </c>
      <c r="O279">
        <v>1</v>
      </c>
      <c r="P279" t="inlineStr">
        <is>
          <t>O</t>
        </is>
      </c>
    </row>
    <row r="280">
      <c r="A280" t="inlineStr">
        <is>
          <t>558</t>
        </is>
      </c>
      <c r="B280" t="inlineStr">
        <is>
          <t>SIKES MILL</t>
        </is>
      </c>
      <c r="C280">
        <v>0.0</v>
      </c>
      <c r="E280" t="inlineStr">
        <is>
          <t>TOM BOYD</t>
        </is>
      </c>
      <c r="F280" t="inlineStr">
        <is>
          <t>LAWYERS</t>
        </is>
      </c>
      <c r="G280" t="inlineStr">
        <is>
          <t>SR 1001</t>
        </is>
      </c>
      <c r="H280">
        <v>3.461</v>
      </c>
      <c r="J280">
        <v>106133705</v>
      </c>
      <c r="K280" t="inlineStr">
        <is>
          <t>1/23/2020</t>
        </is>
      </c>
      <c r="L280">
        <v>30</v>
      </c>
      <c r="M280">
        <v>1</v>
      </c>
      <c r="N280">
        <v>7</v>
      </c>
      <c r="O280">
        <v>1</v>
      </c>
      <c r="P280" t="inlineStr">
        <is>
          <t>O</t>
        </is>
      </c>
    </row>
    <row r="281">
      <c r="A281" t="inlineStr">
        <is>
          <t>558</t>
        </is>
      </c>
      <c r="B281" t="inlineStr">
        <is>
          <t>SR 1001</t>
        </is>
      </c>
      <c r="C281">
        <v>0.0</v>
      </c>
      <c r="E281" t="inlineStr">
        <is>
          <t>SR 1617</t>
        </is>
      </c>
      <c r="F281" t="inlineStr">
        <is>
          <t>SR 1618</t>
        </is>
      </c>
      <c r="G281" t="inlineStr">
        <is>
          <t>SR 1001</t>
        </is>
      </c>
      <c r="H281">
        <v>3.461</v>
      </c>
      <c r="J281">
        <v>108250468</v>
      </c>
      <c r="K281" t="inlineStr">
        <is>
          <t>10/1/2025</t>
        </is>
      </c>
      <c r="L281">
        <v>30</v>
      </c>
      <c r="M281">
        <v>1</v>
      </c>
      <c r="N281">
        <v>7</v>
      </c>
      <c r="O281">
        <v>5</v>
      </c>
      <c r="P281" t="inlineStr">
        <is>
          <t>O</t>
        </is>
      </c>
      <c r="Q281">
        <v>35.081578</v>
      </c>
      <c r="R281">
        <v>-80.50036</v>
      </c>
      <c r="S281" t="inlineStr">
        <is>
          <t>DMV349CLEANED</t>
        </is>
      </c>
    </row>
    <row r="282">
      <c r="A282" t="inlineStr">
        <is>
          <t>558</t>
        </is>
      </c>
      <c r="B282" t="inlineStr">
        <is>
          <t>SR 1001</t>
        </is>
      </c>
      <c r="C282">
        <v>0.0</v>
      </c>
      <c r="E282" t="inlineStr">
        <is>
          <t>SR 1617</t>
        </is>
      </c>
      <c r="F282" t="inlineStr">
        <is>
          <t>SR 1606</t>
        </is>
      </c>
      <c r="G282" t="inlineStr">
        <is>
          <t>SR 1001</t>
        </is>
      </c>
      <c r="H282">
        <v>3.461</v>
      </c>
      <c r="J282">
        <v>108279485</v>
      </c>
      <c r="K282" t="inlineStr">
        <is>
          <t>10/23/2025</t>
        </is>
      </c>
      <c r="L282">
        <v>30</v>
      </c>
      <c r="M282">
        <v>1</v>
      </c>
      <c r="N282">
        <v>7</v>
      </c>
      <c r="O282">
        <v>1</v>
      </c>
      <c r="P282" t="inlineStr">
        <is>
          <t>C</t>
        </is>
      </c>
      <c r="Q282">
        <v>35.081547</v>
      </c>
      <c r="R282">
        <v>-80.50037</v>
      </c>
      <c r="S282" t="inlineStr">
        <is>
          <t>DMV349CLEANED</t>
        </is>
      </c>
    </row>
    <row r="283">
      <c r="A283" t="inlineStr">
        <is>
          <t>558</t>
        </is>
      </c>
      <c r="B283" t="inlineStr">
        <is>
          <t>SR 1001</t>
        </is>
      </c>
      <c r="C283">
        <v>0.0</v>
      </c>
      <c r="E283" t="inlineStr">
        <is>
          <t>SR 1617</t>
        </is>
      </c>
      <c r="F283" t="inlineStr">
        <is>
          <t>SR 1681</t>
        </is>
      </c>
      <c r="G283" t="inlineStr">
        <is>
          <t>SR 1001</t>
        </is>
      </c>
      <c r="H283">
        <v>3.461</v>
      </c>
      <c r="J283">
        <v>107902086</v>
      </c>
      <c r="K283" t="inlineStr">
        <is>
          <t>10/28/2024</t>
        </is>
      </c>
      <c r="L283">
        <v>30</v>
      </c>
      <c r="M283">
        <v>1</v>
      </c>
      <c r="N283">
        <v>7</v>
      </c>
      <c r="O283">
        <v>1</v>
      </c>
      <c r="P283" t="inlineStr">
        <is>
          <t>O</t>
        </is>
      </c>
      <c r="Q283">
        <v>35.08155</v>
      </c>
      <c r="R283">
        <v>-80.50036</v>
      </c>
      <c r="S283" t="inlineStr">
        <is>
          <t>DMV349CLEANED</t>
        </is>
      </c>
    </row>
    <row r="284">
      <c r="A284" t="inlineStr">
        <is>
          <t>0</t>
        </is>
      </c>
      <c r="B284" t="inlineStr">
        <is>
          <t>SR 1001</t>
        </is>
      </c>
      <c r="C284">
        <v>0.0</v>
      </c>
      <c r="E284" t="inlineStr">
        <is>
          <t>SR 1617</t>
        </is>
      </c>
      <c r="G284" t="inlineStr">
        <is>
          <t>SR 1001</t>
        </is>
      </c>
      <c r="H284">
        <v>3.461</v>
      </c>
      <c r="J284">
        <v>106743409</v>
      </c>
      <c r="K284" t="inlineStr">
        <is>
          <t>10/25/2021</t>
        </is>
      </c>
      <c r="L284">
        <v>30</v>
      </c>
      <c r="M284">
        <v>1</v>
      </c>
      <c r="N284">
        <v>7</v>
      </c>
      <c r="O284">
        <v>5</v>
      </c>
      <c r="P284" t="inlineStr">
        <is>
          <t>O</t>
        </is>
      </c>
    </row>
    <row r="285">
      <c r="A285" t="inlineStr">
        <is>
          <t>558</t>
        </is>
      </c>
      <c r="B285" t="inlineStr">
        <is>
          <t>SR 1001</t>
        </is>
      </c>
      <c r="C285">
        <v>0.0</v>
      </c>
      <c r="E285" t="inlineStr">
        <is>
          <t>SR 1617</t>
        </is>
      </c>
      <c r="F285" t="inlineStr">
        <is>
          <t>SR 1615</t>
        </is>
      </c>
      <c r="G285" t="inlineStr">
        <is>
          <t>SR 1001</t>
        </is>
      </c>
      <c r="H285">
        <v>3.461</v>
      </c>
      <c r="J285">
        <v>106286453</v>
      </c>
      <c r="K285" t="inlineStr">
        <is>
          <t>7/25/2020</t>
        </is>
      </c>
      <c r="L285">
        <v>30</v>
      </c>
      <c r="M285">
        <v>1</v>
      </c>
      <c r="N285">
        <v>7</v>
      </c>
      <c r="O285">
        <v>1</v>
      </c>
      <c r="P285" t="inlineStr">
        <is>
          <t>C</t>
        </is>
      </c>
    </row>
    <row r="286">
      <c r="A286" t="inlineStr">
        <is>
          <t>0</t>
        </is>
      </c>
      <c r="B286" t="inlineStr">
        <is>
          <t>SR 1001</t>
        </is>
      </c>
      <c r="C286">
        <v>0.0</v>
      </c>
      <c r="E286" t="inlineStr">
        <is>
          <t>SR 1617</t>
        </is>
      </c>
      <c r="F286" t="inlineStr">
        <is>
          <t>SR 1615</t>
        </is>
      </c>
      <c r="G286" t="inlineStr">
        <is>
          <t>SR 1001</t>
        </is>
      </c>
      <c r="H286">
        <v>3.461</v>
      </c>
      <c r="J286">
        <v>105535858</v>
      </c>
      <c r="K286" t="inlineStr">
        <is>
          <t>7/9/2018</t>
        </is>
      </c>
      <c r="L286">
        <v>30</v>
      </c>
      <c r="M286">
        <v>1</v>
      </c>
      <c r="N286">
        <v>7</v>
      </c>
      <c r="O286">
        <v>1</v>
      </c>
      <c r="P286" t="inlineStr">
        <is>
          <t>B</t>
        </is>
      </c>
    </row>
    <row r="287">
      <c r="A287" t="inlineStr">
        <is>
          <t>558</t>
        </is>
      </c>
      <c r="B287" t="inlineStr">
        <is>
          <t>SR 1001</t>
        </is>
      </c>
      <c r="C287">
        <v>0.0</v>
      </c>
      <c r="E287" t="inlineStr">
        <is>
          <t>SR 1617</t>
        </is>
      </c>
      <c r="F287" t="inlineStr">
        <is>
          <t>SR 1681</t>
        </is>
      </c>
      <c r="G287" t="inlineStr">
        <is>
          <t>SR 1001</t>
        </is>
      </c>
      <c r="H287">
        <v>3.461</v>
      </c>
      <c r="J287">
        <v>105326435</v>
      </c>
      <c r="K287" t="inlineStr">
        <is>
          <t>12/16/2017</t>
        </is>
      </c>
      <c r="L287">
        <v>30</v>
      </c>
      <c r="M287">
        <v>1</v>
      </c>
      <c r="N287">
        <v>7</v>
      </c>
      <c r="O287">
        <v>1</v>
      </c>
      <c r="P287" t="inlineStr">
        <is>
          <t>A</t>
        </is>
      </c>
    </row>
    <row r="288">
      <c r="A288" t="inlineStr">
        <is>
          <t>558</t>
        </is>
      </c>
      <c r="B288" t="inlineStr">
        <is>
          <t>SR 1001</t>
        </is>
      </c>
      <c r="C288">
        <v>0.0</v>
      </c>
      <c r="E288" t="inlineStr">
        <is>
          <t>SR 1617</t>
        </is>
      </c>
      <c r="F288" t="inlineStr">
        <is>
          <t>SR 1615</t>
        </is>
      </c>
      <c r="G288" t="inlineStr">
        <is>
          <t>SR 1001</t>
        </is>
      </c>
      <c r="H288">
        <v>3.461</v>
      </c>
      <c r="J288">
        <v>105210461</v>
      </c>
      <c r="K288" t="inlineStr">
        <is>
          <t>8/30/2017</t>
        </is>
      </c>
      <c r="L288">
        <v>30</v>
      </c>
      <c r="M288">
        <v>1</v>
      </c>
      <c r="N288">
        <v>7</v>
      </c>
      <c r="O288">
        <v>1</v>
      </c>
      <c r="P288" t="inlineStr">
        <is>
          <t>C</t>
        </is>
      </c>
    </row>
    <row r="289">
      <c r="A289" t="inlineStr">
        <is>
          <t>558</t>
        </is>
      </c>
      <c r="B289" t="inlineStr">
        <is>
          <t>SR 1001</t>
        </is>
      </c>
      <c r="C289">
        <v>0.0</v>
      </c>
      <c r="E289" t="inlineStr">
        <is>
          <t>SR 1617</t>
        </is>
      </c>
      <c r="F289" t="inlineStr">
        <is>
          <t>SR 1615</t>
        </is>
      </c>
      <c r="G289" t="inlineStr">
        <is>
          <t>SR 1001</t>
        </is>
      </c>
      <c r="H289">
        <v>3.461</v>
      </c>
      <c r="J289">
        <v>104890928</v>
      </c>
      <c r="K289" t="inlineStr">
        <is>
          <t>10/10/2016</t>
        </is>
      </c>
      <c r="L289">
        <v>30</v>
      </c>
      <c r="M289">
        <v>1</v>
      </c>
      <c r="N289">
        <v>7</v>
      </c>
      <c r="O289">
        <v>1</v>
      </c>
      <c r="P289" t="inlineStr">
        <is>
          <t>C</t>
        </is>
      </c>
    </row>
    <row r="290">
      <c r="A290" t="inlineStr">
        <is>
          <t>558</t>
        </is>
      </c>
      <c r="B290" t="inlineStr">
        <is>
          <t>SR 1001</t>
        </is>
      </c>
      <c r="C290">
        <v>0.0</v>
      </c>
      <c r="E290" t="inlineStr">
        <is>
          <t>SR 1617</t>
        </is>
      </c>
      <c r="F290" t="inlineStr">
        <is>
          <t>SR 1618</t>
        </is>
      </c>
      <c r="G290" t="inlineStr">
        <is>
          <t>SR 1001</t>
        </is>
      </c>
      <c r="H290">
        <v>3.461</v>
      </c>
      <c r="J290">
        <v>104901954</v>
      </c>
      <c r="K290" t="inlineStr">
        <is>
          <t>11/2/2016</t>
        </is>
      </c>
      <c r="L290">
        <v>30</v>
      </c>
      <c r="M290">
        <v>1</v>
      </c>
      <c r="N290">
        <v>7</v>
      </c>
      <c r="O290">
        <v>1</v>
      </c>
      <c r="P290" t="inlineStr">
        <is>
          <t>O</t>
        </is>
      </c>
    </row>
    <row r="291">
      <c r="A291" t="inlineStr">
        <is>
          <t>558</t>
        </is>
      </c>
      <c r="B291" t="inlineStr">
        <is>
          <t>SR 1001</t>
        </is>
      </c>
      <c r="C291">
        <v>0.0</v>
      </c>
      <c r="E291" t="inlineStr">
        <is>
          <t>SR 1617</t>
        </is>
      </c>
      <c r="F291" t="inlineStr">
        <is>
          <t>SR 1615</t>
        </is>
      </c>
      <c r="G291" t="inlineStr">
        <is>
          <t>SR 1001</t>
        </is>
      </c>
      <c r="H291">
        <v>3.461</v>
      </c>
      <c r="J291">
        <v>104987740</v>
      </c>
      <c r="K291" t="inlineStr">
        <is>
          <t>1/25/2017</t>
        </is>
      </c>
      <c r="L291">
        <v>30</v>
      </c>
      <c r="M291">
        <v>1</v>
      </c>
      <c r="N291">
        <v>7</v>
      </c>
      <c r="O291">
        <v>1</v>
      </c>
      <c r="P291" t="inlineStr">
        <is>
          <t>B</t>
        </is>
      </c>
    </row>
    <row r="292">
      <c r="A292" t="inlineStr">
        <is>
          <t>0</t>
        </is>
      </c>
      <c r="B292" t="inlineStr">
        <is>
          <t>SR 1001</t>
        </is>
      </c>
      <c r="C292">
        <v>0.0</v>
      </c>
      <c r="E292" t="inlineStr">
        <is>
          <t>SR 1617</t>
        </is>
      </c>
      <c r="F292" t="inlineStr">
        <is>
          <t>SR 1615</t>
        </is>
      </c>
      <c r="G292" t="inlineStr">
        <is>
          <t>SR 1001</t>
        </is>
      </c>
      <c r="H292">
        <v>3.461</v>
      </c>
      <c r="J292">
        <v>104942804</v>
      </c>
      <c r="K292" t="inlineStr">
        <is>
          <t>12/8/2016</t>
        </is>
      </c>
      <c r="L292">
        <v>30</v>
      </c>
      <c r="M292">
        <v>1</v>
      </c>
      <c r="N292">
        <v>7</v>
      </c>
      <c r="O292">
        <v>1</v>
      </c>
      <c r="P292" t="inlineStr">
        <is>
          <t>B</t>
        </is>
      </c>
    </row>
    <row r="293">
      <c r="A293" t="inlineStr">
        <is>
          <t>558</t>
        </is>
      </c>
      <c r="B293" t="inlineStr">
        <is>
          <t>SR 1001</t>
        </is>
      </c>
      <c r="C293">
        <v>0.0</v>
      </c>
      <c r="E293" t="inlineStr">
        <is>
          <t>SR 1619</t>
        </is>
      </c>
      <c r="F293" t="inlineStr">
        <is>
          <t>SR 1618</t>
        </is>
      </c>
      <c r="G293" t="inlineStr">
        <is>
          <t>SR 1001</t>
        </is>
      </c>
      <c r="H293">
        <v>3.461</v>
      </c>
      <c r="J293">
        <v>105363964</v>
      </c>
      <c r="K293" t="inlineStr">
        <is>
          <t>1/26/2018</t>
        </is>
      </c>
      <c r="L293">
        <v>30</v>
      </c>
      <c r="M293">
        <v>1</v>
      </c>
      <c r="N293">
        <v>7</v>
      </c>
      <c r="O293">
        <v>5</v>
      </c>
      <c r="P293" t="inlineStr">
        <is>
          <t>C</t>
        </is>
      </c>
    </row>
    <row r="294">
      <c r="A294" t="inlineStr">
        <is>
          <t>558</t>
        </is>
      </c>
      <c r="B294" t="inlineStr">
        <is>
          <t>SIKES MILL</t>
        </is>
      </c>
      <c r="C294">
        <v>0.005</v>
      </c>
      <c r="D294" t="inlineStr">
        <is>
          <t>N</t>
        </is>
      </c>
      <c r="E294" t="inlineStr">
        <is>
          <t>TOM BOYD</t>
        </is>
      </c>
      <c r="F294" t="inlineStr">
        <is>
          <t>LOVE MILL</t>
        </is>
      </c>
      <c r="G294" t="inlineStr">
        <is>
          <t>SR 1001</t>
        </is>
      </c>
      <c r="H294">
        <v>3.466</v>
      </c>
      <c r="J294">
        <v>107945637</v>
      </c>
      <c r="K294" t="inlineStr">
        <is>
          <t>12/4/2024</t>
        </is>
      </c>
      <c r="L294">
        <v>21</v>
      </c>
      <c r="M294">
        <v>1</v>
      </c>
      <c r="N294">
        <v>7</v>
      </c>
      <c r="O294">
        <v>1</v>
      </c>
      <c r="P294" t="inlineStr">
        <is>
          <t>C</t>
        </is>
      </c>
    </row>
    <row r="295">
      <c r="A295" t="inlineStr">
        <is>
          <t>558</t>
        </is>
      </c>
      <c r="B295" t="inlineStr">
        <is>
          <t>SR 1001</t>
        </is>
      </c>
      <c r="C295">
        <v>0.005</v>
      </c>
      <c r="D295" t="inlineStr">
        <is>
          <t>N</t>
        </is>
      </c>
      <c r="E295" t="inlineStr">
        <is>
          <t>SR 1617</t>
        </is>
      </c>
      <c r="F295" t="inlineStr">
        <is>
          <t>SR 1637</t>
        </is>
      </c>
      <c r="G295" t="inlineStr">
        <is>
          <t>SR 1001</t>
        </is>
      </c>
      <c r="H295">
        <v>3.466</v>
      </c>
      <c r="J295">
        <v>106126767</v>
      </c>
      <c r="K295" t="inlineStr">
        <is>
          <t>1/13/2020</t>
        </is>
      </c>
      <c r="L295">
        <v>21</v>
      </c>
      <c r="M295">
        <v>2</v>
      </c>
      <c r="N295">
        <v>7</v>
      </c>
      <c r="O295">
        <v>1</v>
      </c>
      <c r="P295" t="inlineStr">
        <is>
          <t>O</t>
        </is>
      </c>
    </row>
    <row r="296">
      <c r="A296" t="inlineStr">
        <is>
          <t>558</t>
        </is>
      </c>
      <c r="B296" t="inlineStr">
        <is>
          <t>SR 1001</t>
        </is>
      </c>
      <c r="C296">
        <v>0.2</v>
      </c>
      <c r="D296" t="inlineStr">
        <is>
          <t>N</t>
        </is>
      </c>
      <c r="E296" t="inlineStr">
        <is>
          <t>SR 1617</t>
        </is>
      </c>
      <c r="F296" t="inlineStr">
        <is>
          <t>SR 1637</t>
        </is>
      </c>
      <c r="G296" t="inlineStr">
        <is>
          <t>SR 1001</t>
        </is>
      </c>
      <c r="H296">
        <v>3.661</v>
      </c>
      <c r="J296">
        <v>105191883</v>
      </c>
      <c r="K296" t="inlineStr">
        <is>
          <t>8/14/2017</t>
        </is>
      </c>
      <c r="L296">
        <v>24</v>
      </c>
      <c r="M296">
        <v>1</v>
      </c>
      <c r="N296">
        <v>4</v>
      </c>
      <c r="O296">
        <v>1</v>
      </c>
      <c r="P296" t="inlineStr">
        <is>
          <t>O</t>
        </is>
      </c>
    </row>
    <row r="297">
      <c r="A297" t="inlineStr">
        <is>
          <t>558</t>
        </is>
      </c>
      <c r="B297" t="inlineStr">
        <is>
          <t>SIKES MILL</t>
        </is>
      </c>
      <c r="C297">
        <v>0.23</v>
      </c>
      <c r="D297" t="inlineStr">
        <is>
          <t>NE</t>
        </is>
      </c>
      <c r="E297" t="inlineStr">
        <is>
          <t>TOM BOYD</t>
        </is>
      </c>
      <c r="F297" t="inlineStr">
        <is>
          <t>LAWYERS</t>
        </is>
      </c>
      <c r="G297" t="inlineStr">
        <is>
          <t>SR 1001</t>
        </is>
      </c>
      <c r="H297">
        <v>3.691</v>
      </c>
      <c r="J297">
        <v>106477388</v>
      </c>
      <c r="K297" t="inlineStr">
        <is>
          <t>1/26/2021</t>
        </is>
      </c>
      <c r="L297">
        <v>17</v>
      </c>
      <c r="M297">
        <v>2</v>
      </c>
      <c r="N297">
        <v>0</v>
      </c>
      <c r="O297">
        <v>5</v>
      </c>
      <c r="P297" t="inlineStr">
        <is>
          <t>O</t>
        </is>
      </c>
    </row>
    <row r="298">
      <c r="A298" t="inlineStr">
        <is>
          <t>558</t>
        </is>
      </c>
      <c r="B298" t="inlineStr">
        <is>
          <t>SIKES MILL</t>
        </is>
      </c>
      <c r="C298">
        <v>0.28</v>
      </c>
      <c r="D298" t="inlineStr">
        <is>
          <t>N</t>
        </is>
      </c>
      <c r="E298" t="inlineStr">
        <is>
          <t>TOM BOYD</t>
        </is>
      </c>
      <c r="F298" t="inlineStr">
        <is>
          <t>LAWYERS</t>
        </is>
      </c>
      <c r="G298" t="inlineStr">
        <is>
          <t>SR 1001</t>
        </is>
      </c>
      <c r="H298">
        <v>3.741</v>
      </c>
      <c r="J298">
        <v>107216209</v>
      </c>
      <c r="K298" t="inlineStr">
        <is>
          <t>1/18/2023</t>
        </is>
      </c>
      <c r="L298">
        <v>19</v>
      </c>
      <c r="M298">
        <v>1</v>
      </c>
      <c r="N298">
        <v>0</v>
      </c>
      <c r="O298">
        <v>1</v>
      </c>
      <c r="P298" t="inlineStr">
        <is>
          <t>O</t>
        </is>
      </c>
    </row>
    <row r="299">
      <c r="A299" t="inlineStr">
        <is>
          <t>558</t>
        </is>
      </c>
      <c r="B299" t="inlineStr">
        <is>
          <t>SIKES MILL</t>
        </is>
      </c>
      <c r="C299">
        <v>0.3</v>
      </c>
      <c r="D299" t="inlineStr">
        <is>
          <t>N</t>
        </is>
      </c>
      <c r="E299" t="inlineStr">
        <is>
          <t>TOM BOYD</t>
        </is>
      </c>
      <c r="F299" t="inlineStr">
        <is>
          <t>TOM HELMS</t>
        </is>
      </c>
      <c r="G299" t="inlineStr">
        <is>
          <t>SR 1001</t>
        </is>
      </c>
      <c r="H299">
        <v>3.761</v>
      </c>
      <c r="J299">
        <v>107879671</v>
      </c>
      <c r="K299" t="inlineStr">
        <is>
          <t>10/11/2024</t>
        </is>
      </c>
      <c r="L299">
        <v>21</v>
      </c>
      <c r="M299">
        <v>1</v>
      </c>
      <c r="N299">
        <v>0</v>
      </c>
      <c r="O299">
        <v>1</v>
      </c>
      <c r="P299" t="inlineStr">
        <is>
          <t>O</t>
        </is>
      </c>
    </row>
    <row r="300">
      <c r="A300" t="inlineStr">
        <is>
          <t>558</t>
        </is>
      </c>
      <c r="B300" t="inlineStr">
        <is>
          <t>SR 1001</t>
        </is>
      </c>
      <c r="C300">
        <v>0.3</v>
      </c>
      <c r="D300" t="inlineStr">
        <is>
          <t>N</t>
        </is>
      </c>
      <c r="E300" t="inlineStr">
        <is>
          <t>SR 1617</t>
        </is>
      </c>
      <c r="F300" t="inlineStr">
        <is>
          <t>SR 1618</t>
        </is>
      </c>
      <c r="G300" t="inlineStr">
        <is>
          <t>SR 1001</t>
        </is>
      </c>
      <c r="H300">
        <v>3.761</v>
      </c>
      <c r="J300">
        <v>105867607</v>
      </c>
      <c r="K300" t="inlineStr">
        <is>
          <t>5/16/2019</t>
        </is>
      </c>
      <c r="L300">
        <v>21</v>
      </c>
      <c r="M300">
        <v>1</v>
      </c>
      <c r="N300">
        <v>0</v>
      </c>
      <c r="O300">
        <v>1</v>
      </c>
      <c r="P300" t="inlineStr">
        <is>
          <t>C</t>
        </is>
      </c>
    </row>
    <row r="301">
      <c r="A301" t="inlineStr">
        <is>
          <t>558</t>
        </is>
      </c>
      <c r="B301" t="inlineStr">
        <is>
          <t>SIKES MILL</t>
        </is>
      </c>
      <c r="C301">
        <v>0.33</v>
      </c>
      <c r="D301" t="inlineStr">
        <is>
          <t>N</t>
        </is>
      </c>
      <c r="E301" t="inlineStr">
        <is>
          <t>TOM BOYD</t>
        </is>
      </c>
      <c r="F301" t="inlineStr">
        <is>
          <t>OLD CAMDEN</t>
        </is>
      </c>
      <c r="G301" t="inlineStr">
        <is>
          <t>SR 1001</t>
        </is>
      </c>
      <c r="H301">
        <v>3.791</v>
      </c>
      <c r="J301">
        <v>107187995</v>
      </c>
      <c r="K301" t="inlineStr">
        <is>
          <t>12/18/2022</t>
        </is>
      </c>
      <c r="L301">
        <v>17</v>
      </c>
      <c r="M301">
        <v>1</v>
      </c>
      <c r="N301">
        <v>0</v>
      </c>
      <c r="O301">
        <v>5</v>
      </c>
      <c r="P301" t="inlineStr">
        <is>
          <t>O</t>
        </is>
      </c>
    </row>
    <row r="302">
      <c r="A302" t="inlineStr">
        <is>
          <t>0</t>
        </is>
      </c>
      <c r="B302" t="inlineStr">
        <is>
          <t>SIKES MILL</t>
        </is>
      </c>
      <c r="C302">
        <v>1.0</v>
      </c>
      <c r="D302" t="inlineStr">
        <is>
          <t>N</t>
        </is>
      </c>
      <c r="E302" t="inlineStr">
        <is>
          <t>UNIONVILLE</t>
        </is>
      </c>
      <c r="F302" t="inlineStr">
        <is>
          <t>CLONTZ LONG</t>
        </is>
      </c>
      <c r="G302" t="inlineStr">
        <is>
          <t>SR 1001</t>
        </is>
      </c>
      <c r="H302">
        <v>3.871</v>
      </c>
      <c r="J302">
        <v>108420507</v>
      </c>
      <c r="K302" t="inlineStr">
        <is>
          <t>3/1/2026</t>
        </is>
      </c>
      <c r="L302">
        <v>17</v>
      </c>
      <c r="M302">
        <v>1</v>
      </c>
      <c r="N302">
        <v>0</v>
      </c>
      <c r="O302">
        <v>5</v>
      </c>
      <c r="P302" t="inlineStr">
        <is>
          <t>O</t>
        </is>
      </c>
    </row>
    <row r="303">
      <c r="A303" t="inlineStr">
        <is>
          <t>0</t>
        </is>
      </c>
      <c r="B303" t="inlineStr">
        <is>
          <t>SIKES MILL</t>
        </is>
      </c>
      <c r="C303">
        <v>1.0</v>
      </c>
      <c r="D303" t="inlineStr">
        <is>
          <t>N</t>
        </is>
      </c>
      <c r="E303" t="inlineStr">
        <is>
          <t>UNIONVILLE</t>
        </is>
      </c>
      <c r="F303" t="inlineStr">
        <is>
          <t>CLONTZ LONG</t>
        </is>
      </c>
      <c r="G303" t="inlineStr">
        <is>
          <t>SR 1001</t>
        </is>
      </c>
      <c r="H303">
        <v>3.871</v>
      </c>
      <c r="J303">
        <v>107319577</v>
      </c>
      <c r="K303" t="inlineStr">
        <is>
          <t>4/2/2023</t>
        </is>
      </c>
      <c r="L303">
        <v>17</v>
      </c>
      <c r="M303">
        <v>1</v>
      </c>
      <c r="N303">
        <v>0</v>
      </c>
      <c r="O303">
        <v>5</v>
      </c>
      <c r="P303" t="inlineStr">
        <is>
          <t>O</t>
        </is>
      </c>
    </row>
    <row r="304">
      <c r="A304" t="inlineStr">
        <is>
          <t>558</t>
        </is>
      </c>
      <c r="B304" t="inlineStr">
        <is>
          <t>SR 1001</t>
        </is>
      </c>
      <c r="C304">
        <v>0.5</v>
      </c>
      <c r="D304" t="inlineStr">
        <is>
          <t>N</t>
        </is>
      </c>
      <c r="E304" t="inlineStr">
        <is>
          <t>SR 1617</t>
        </is>
      </c>
      <c r="F304" t="inlineStr">
        <is>
          <t>SR 1618</t>
        </is>
      </c>
      <c r="G304" t="inlineStr">
        <is>
          <t>SR 1001</t>
        </is>
      </c>
      <c r="H304">
        <v>3.961</v>
      </c>
      <c r="J304">
        <v>106435289</v>
      </c>
      <c r="K304" t="inlineStr">
        <is>
          <t>12/13/2020</t>
        </is>
      </c>
      <c r="L304">
        <v>19</v>
      </c>
      <c r="M304">
        <v>1</v>
      </c>
      <c r="N304">
        <v>0</v>
      </c>
      <c r="O304">
        <v>5</v>
      </c>
    </row>
    <row r="305">
      <c r="A305" t="inlineStr">
        <is>
          <t>558</t>
        </is>
      </c>
      <c r="B305" t="inlineStr">
        <is>
          <t>SR 1001</t>
        </is>
      </c>
      <c r="C305">
        <v>0.12</v>
      </c>
      <c r="D305" t="inlineStr">
        <is>
          <t>S</t>
        </is>
      </c>
      <c r="E305" t="inlineStr">
        <is>
          <t>SR 1618</t>
        </is>
      </c>
      <c r="F305" t="inlineStr">
        <is>
          <t>SR 1619</t>
        </is>
      </c>
      <c r="G305" t="inlineStr">
        <is>
          <t>SR 1001</t>
        </is>
      </c>
      <c r="H305">
        <v>3.974</v>
      </c>
      <c r="J305">
        <v>108066712</v>
      </c>
      <c r="K305" t="inlineStr">
        <is>
          <t>3/31/2025</t>
        </is>
      </c>
      <c r="L305">
        <v>19</v>
      </c>
      <c r="M305">
        <v>1</v>
      </c>
      <c r="N305">
        <v>0</v>
      </c>
      <c r="O305">
        <v>1</v>
      </c>
      <c r="P305" t="inlineStr">
        <is>
          <t>O</t>
        </is>
      </c>
      <c r="Q305">
        <v>35.08755</v>
      </c>
      <c r="R305">
        <v>-80.49453</v>
      </c>
      <c r="S305" t="inlineStr">
        <is>
          <t>DMV349CLEANED</t>
        </is>
      </c>
    </row>
    <row r="306">
      <c r="A306" t="inlineStr">
        <is>
          <t>0</t>
        </is>
      </c>
      <c r="B306" t="inlineStr">
        <is>
          <t>SIKES MILL</t>
        </is>
      </c>
      <c r="C306">
        <v>0.13</v>
      </c>
      <c r="D306" t="inlineStr">
        <is>
          <t>S</t>
        </is>
      </c>
      <c r="E306" t="inlineStr">
        <is>
          <t>LAWYERS</t>
        </is>
      </c>
      <c r="F306" t="inlineStr">
        <is>
          <t>TOM BOYD</t>
        </is>
      </c>
      <c r="G306" t="inlineStr">
        <is>
          <t>SR 1001</t>
        </is>
      </c>
      <c r="H306">
        <v>3.98</v>
      </c>
      <c r="J306">
        <v>106083176</v>
      </c>
      <c r="K306" t="inlineStr">
        <is>
          <t>12/4/2019</t>
        </is>
      </c>
      <c r="L306">
        <v>17</v>
      </c>
      <c r="M306">
        <v>1</v>
      </c>
      <c r="N306">
        <v>0</v>
      </c>
      <c r="O306">
        <v>5</v>
      </c>
      <c r="P306" t="inlineStr">
        <is>
          <t>O</t>
        </is>
      </c>
    </row>
    <row r="307">
      <c r="A307" t="inlineStr">
        <is>
          <t>558</t>
        </is>
      </c>
      <c r="B307" t="inlineStr">
        <is>
          <t>SIKES MILL</t>
        </is>
      </c>
      <c r="C307">
        <v>0.11</v>
      </c>
      <c r="D307" t="inlineStr">
        <is>
          <t>S</t>
        </is>
      </c>
      <c r="E307" t="inlineStr">
        <is>
          <t>TOM HELMS</t>
        </is>
      </c>
      <c r="F307" t="inlineStr">
        <is>
          <t>TOM BOYD</t>
        </is>
      </c>
      <c r="G307" t="inlineStr">
        <is>
          <t>SR 1001</t>
        </is>
      </c>
      <c r="H307">
        <v>3.984</v>
      </c>
      <c r="J307">
        <v>108072099</v>
      </c>
      <c r="K307" t="inlineStr">
        <is>
          <t>4/8/2025</t>
        </is>
      </c>
      <c r="L307">
        <v>29</v>
      </c>
      <c r="M307">
        <v>1</v>
      </c>
      <c r="N307">
        <v>0</v>
      </c>
      <c r="O307">
        <v>1</v>
      </c>
      <c r="P307" t="inlineStr">
        <is>
          <t>O</t>
        </is>
      </c>
    </row>
    <row r="308">
      <c r="A308" t="inlineStr">
        <is>
          <t>558</t>
        </is>
      </c>
      <c r="B308" t="inlineStr">
        <is>
          <t>SR 1001</t>
        </is>
      </c>
      <c r="C308">
        <v>0.1</v>
      </c>
      <c r="D308" t="inlineStr">
        <is>
          <t>S</t>
        </is>
      </c>
      <c r="E308" t="inlineStr">
        <is>
          <t>SR 1618</t>
        </is>
      </c>
      <c r="F308" t="inlineStr">
        <is>
          <t>SR 1617</t>
        </is>
      </c>
      <c r="G308" t="inlineStr">
        <is>
          <t>SR 1001</t>
        </is>
      </c>
      <c r="H308">
        <v>3.994</v>
      </c>
      <c r="J308">
        <v>106743564</v>
      </c>
      <c r="K308" t="inlineStr">
        <is>
          <t>10/27/2021</t>
        </is>
      </c>
      <c r="L308">
        <v>17</v>
      </c>
      <c r="M308">
        <v>1</v>
      </c>
      <c r="N308">
        <v>0</v>
      </c>
      <c r="O308">
        <v>1</v>
      </c>
      <c r="P308" t="inlineStr">
        <is>
          <t>O</t>
        </is>
      </c>
    </row>
    <row r="309">
      <c r="A309" t="inlineStr">
        <is>
          <t>558</t>
        </is>
      </c>
      <c r="B309" t="inlineStr">
        <is>
          <t>SIKES MILL</t>
        </is>
      </c>
      <c r="C309">
        <v>0.095</v>
      </c>
      <c r="D309" t="inlineStr">
        <is>
          <t>S</t>
        </is>
      </c>
      <c r="E309" t="inlineStr">
        <is>
          <t>LOVE MILL</t>
        </is>
      </c>
      <c r="F309" t="inlineStr">
        <is>
          <t>TOM BOYD</t>
        </is>
      </c>
      <c r="G309" t="inlineStr">
        <is>
          <t>SR 1001</t>
        </is>
      </c>
      <c r="H309">
        <v>4.015</v>
      </c>
      <c r="J309">
        <v>107319455</v>
      </c>
      <c r="K309" t="inlineStr">
        <is>
          <t>3/7/2023</t>
        </is>
      </c>
      <c r="L309">
        <v>17</v>
      </c>
      <c r="M309">
        <v>1</v>
      </c>
      <c r="N309">
        <v>0</v>
      </c>
      <c r="O309">
        <v>1</v>
      </c>
      <c r="P309" t="inlineStr">
        <is>
          <t>O</t>
        </is>
      </c>
    </row>
    <row r="310">
      <c r="A310" t="inlineStr">
        <is>
          <t>558</t>
        </is>
      </c>
      <c r="B310" t="inlineStr">
        <is>
          <t>SR 1001</t>
        </is>
      </c>
      <c r="C310">
        <v>0.6</v>
      </c>
      <c r="D310" t="inlineStr">
        <is>
          <t>N</t>
        </is>
      </c>
      <c r="E310" t="inlineStr">
        <is>
          <t>SR 1617</t>
        </is>
      </c>
      <c r="F310" t="inlineStr">
        <is>
          <t>SR 1637</t>
        </is>
      </c>
      <c r="G310" t="inlineStr">
        <is>
          <t>SR 1001</t>
        </is>
      </c>
      <c r="H310">
        <v>4.061</v>
      </c>
      <c r="J310">
        <v>105317973</v>
      </c>
      <c r="K310" t="inlineStr">
        <is>
          <t>12/4/2017</t>
        </is>
      </c>
      <c r="L310">
        <v>19</v>
      </c>
      <c r="M310">
        <v>1</v>
      </c>
      <c r="N310">
        <v>0</v>
      </c>
      <c r="O310">
        <v>1</v>
      </c>
      <c r="P310" t="inlineStr">
        <is>
          <t>O</t>
        </is>
      </c>
    </row>
    <row r="311">
      <c r="A311" t="inlineStr">
        <is>
          <t>558</t>
        </is>
      </c>
      <c r="B311" t="inlineStr">
        <is>
          <t>SIKES MILL</t>
        </is>
      </c>
      <c r="C311">
        <v>0.028</v>
      </c>
      <c r="D311" t="inlineStr">
        <is>
          <t>S</t>
        </is>
      </c>
      <c r="E311" t="inlineStr">
        <is>
          <t>TOM HELMS</t>
        </is>
      </c>
      <c r="F311" t="inlineStr">
        <is>
          <t>TOM BOYD</t>
        </is>
      </c>
      <c r="G311" t="inlineStr">
        <is>
          <t>SR 1001</t>
        </is>
      </c>
      <c r="H311">
        <v>4.066</v>
      </c>
      <c r="J311">
        <v>107181511</v>
      </c>
      <c r="K311" t="inlineStr">
        <is>
          <t>12/15/2022</t>
        </is>
      </c>
      <c r="L311">
        <v>19</v>
      </c>
      <c r="M311">
        <v>2</v>
      </c>
      <c r="N311">
        <v>10</v>
      </c>
      <c r="O311">
        <v>1</v>
      </c>
      <c r="P311" t="inlineStr">
        <is>
          <t>O</t>
        </is>
      </c>
    </row>
    <row r="312">
      <c r="A312" t="inlineStr">
        <is>
          <t>558</t>
        </is>
      </c>
      <c r="B312" t="inlineStr">
        <is>
          <t>SIKES MILL</t>
        </is>
      </c>
      <c r="C312">
        <v>0.0</v>
      </c>
      <c r="E312" t="inlineStr">
        <is>
          <t>TOM HELMS</t>
        </is>
      </c>
      <c r="F312" t="inlineStr">
        <is>
          <t>TOM BOYD</t>
        </is>
      </c>
      <c r="G312" t="inlineStr">
        <is>
          <t>SR 1001</t>
        </is>
      </c>
      <c r="H312">
        <v>4.094</v>
      </c>
      <c r="J312">
        <v>108047061</v>
      </c>
      <c r="K312" t="inlineStr">
        <is>
          <t>3/14/2025</t>
        </is>
      </c>
      <c r="L312">
        <v>28</v>
      </c>
      <c r="M312">
        <v>1</v>
      </c>
      <c r="N312">
        <v>10</v>
      </c>
      <c r="O312">
        <v>1</v>
      </c>
      <c r="P312" t="inlineStr">
        <is>
          <t>O</t>
        </is>
      </c>
    </row>
    <row r="313">
      <c r="A313" t="inlineStr">
        <is>
          <t>558</t>
        </is>
      </c>
      <c r="B313" t="inlineStr">
        <is>
          <t>SIKES MILL</t>
        </is>
      </c>
      <c r="C313">
        <v>0.0</v>
      </c>
      <c r="E313" t="inlineStr">
        <is>
          <t>TOM HELMS</t>
        </is>
      </c>
      <c r="F313" t="inlineStr">
        <is>
          <t>PIEDMONT SCHOOL</t>
        </is>
      </c>
      <c r="G313" t="inlineStr">
        <is>
          <t>SR 1001</t>
        </is>
      </c>
      <c r="H313">
        <v>4.094</v>
      </c>
      <c r="J313">
        <v>107101493</v>
      </c>
      <c r="K313" t="inlineStr">
        <is>
          <t>10/6/2022</t>
        </is>
      </c>
      <c r="L313">
        <v>28</v>
      </c>
      <c r="M313">
        <v>1</v>
      </c>
      <c r="N313">
        <v>10</v>
      </c>
      <c r="O313">
        <v>1</v>
      </c>
      <c r="P313" t="inlineStr">
        <is>
          <t>O</t>
        </is>
      </c>
    </row>
    <row r="314">
      <c r="A314" t="inlineStr">
        <is>
          <t>558</t>
        </is>
      </c>
      <c r="B314" t="inlineStr">
        <is>
          <t>SR 1001</t>
        </is>
      </c>
      <c r="C314">
        <v>0.0</v>
      </c>
      <c r="E314" t="inlineStr">
        <is>
          <t>SR 1606</t>
        </is>
      </c>
      <c r="F314" t="inlineStr">
        <is>
          <t>SR 1618</t>
        </is>
      </c>
      <c r="G314" t="inlineStr">
        <is>
          <t>SR 1001</t>
        </is>
      </c>
      <c r="H314">
        <v>4.094</v>
      </c>
      <c r="J314">
        <v>107633193</v>
      </c>
      <c r="K314" t="inlineStr">
        <is>
          <t>2/21/2024</t>
        </is>
      </c>
      <c r="L314">
        <v>26</v>
      </c>
      <c r="M314">
        <v>1</v>
      </c>
      <c r="N314">
        <v>10</v>
      </c>
      <c r="O314">
        <v>5</v>
      </c>
      <c r="P314" t="inlineStr">
        <is>
          <t>O</t>
        </is>
      </c>
      <c r="Q314">
        <v>35.089281</v>
      </c>
      <c r="R314">
        <v>-80.494</v>
      </c>
      <c r="S314" t="inlineStr">
        <is>
          <t>DMV349CLEANED</t>
        </is>
      </c>
    </row>
    <row r="315">
      <c r="A315" t="inlineStr">
        <is>
          <t>558</t>
        </is>
      </c>
      <c r="B315" t="inlineStr">
        <is>
          <t>SR 1001</t>
        </is>
      </c>
      <c r="C315">
        <v>0.0</v>
      </c>
      <c r="E315" t="inlineStr">
        <is>
          <t>SR 1618</t>
        </is>
      </c>
      <c r="F315" t="inlineStr">
        <is>
          <t>SR 1693</t>
        </is>
      </c>
      <c r="G315" t="inlineStr">
        <is>
          <t>SR 1001</t>
        </is>
      </c>
      <c r="H315">
        <v>4.094</v>
      </c>
      <c r="J315">
        <v>107587041</v>
      </c>
      <c r="K315" t="inlineStr">
        <is>
          <t>1/6/2024</t>
        </is>
      </c>
      <c r="L315">
        <v>26</v>
      </c>
      <c r="M315">
        <v>1</v>
      </c>
      <c r="N315">
        <v>10</v>
      </c>
      <c r="O315">
        <v>5</v>
      </c>
      <c r="P315" t="inlineStr">
        <is>
          <t>O</t>
        </is>
      </c>
      <c r="Q315">
        <v>35.0889</v>
      </c>
      <c r="R315">
        <v>-80.49403</v>
      </c>
      <c r="S315" t="inlineStr">
        <is>
          <t>DMV349CLEANED</t>
        </is>
      </c>
    </row>
    <row r="316">
      <c r="A316" t="inlineStr">
        <is>
          <t>558</t>
        </is>
      </c>
      <c r="B316" t="inlineStr">
        <is>
          <t>TOM HELMS</t>
        </is>
      </c>
      <c r="C316">
        <v>0.0</v>
      </c>
      <c r="E316" t="inlineStr">
        <is>
          <t>SIKES MILL</t>
        </is>
      </c>
      <c r="G316" t="inlineStr">
        <is>
          <t>SR 1001</t>
        </is>
      </c>
      <c r="H316">
        <v>4.094</v>
      </c>
      <c r="J316">
        <v>105402668</v>
      </c>
      <c r="K316" t="inlineStr">
        <is>
          <t>3/6/2018</t>
        </is>
      </c>
      <c r="L316">
        <v>30</v>
      </c>
      <c r="M316">
        <v>2</v>
      </c>
      <c r="N316">
        <v>10</v>
      </c>
      <c r="O316">
        <v>1</v>
      </c>
      <c r="P316" t="inlineStr">
        <is>
          <t>O</t>
        </is>
      </c>
    </row>
    <row r="317">
      <c r="A317" t="inlineStr">
        <is>
          <t>558</t>
        </is>
      </c>
      <c r="B317" t="inlineStr">
        <is>
          <t>SIKES MILL</t>
        </is>
      </c>
      <c r="C317">
        <v>0.005</v>
      </c>
      <c r="D317" t="inlineStr">
        <is>
          <t>N</t>
        </is>
      </c>
      <c r="E317" t="inlineStr">
        <is>
          <t>TOM HELMS</t>
        </is>
      </c>
      <c r="F317" t="inlineStr">
        <is>
          <t>HENRY SMITH</t>
        </is>
      </c>
      <c r="G317" t="inlineStr">
        <is>
          <t>SR 1001</t>
        </is>
      </c>
      <c r="H317">
        <v>4.099</v>
      </c>
      <c r="J317">
        <v>108134024</v>
      </c>
      <c r="K317" t="inlineStr">
        <is>
          <t>6/3/2025</t>
        </is>
      </c>
      <c r="L317">
        <v>28</v>
      </c>
      <c r="M317">
        <v>1</v>
      </c>
      <c r="N317">
        <v>10</v>
      </c>
      <c r="O317">
        <v>5</v>
      </c>
      <c r="P317" t="inlineStr">
        <is>
          <t>O</t>
        </is>
      </c>
    </row>
    <row r="318">
      <c r="A318" t="inlineStr">
        <is>
          <t>558</t>
        </is>
      </c>
      <c r="B318" t="inlineStr">
        <is>
          <t>SIKES MILL</t>
        </is>
      </c>
      <c r="C318">
        <v>0.009</v>
      </c>
      <c r="D318" t="inlineStr">
        <is>
          <t>N</t>
        </is>
      </c>
      <c r="E318" t="inlineStr">
        <is>
          <t>TOM HELMS</t>
        </is>
      </c>
      <c r="F318" t="inlineStr">
        <is>
          <t>HENRY SMITH</t>
        </is>
      </c>
      <c r="G318" t="inlineStr">
        <is>
          <t>SR 1001</t>
        </is>
      </c>
      <c r="H318">
        <v>4.103</v>
      </c>
      <c r="J318">
        <v>107554045</v>
      </c>
      <c r="K318" t="inlineStr">
        <is>
          <t>11/28/2023</t>
        </is>
      </c>
      <c r="L318">
        <v>28</v>
      </c>
      <c r="M318">
        <v>1</v>
      </c>
      <c r="N318">
        <v>10</v>
      </c>
      <c r="O318">
        <v>5</v>
      </c>
      <c r="P318" t="inlineStr">
        <is>
          <t>O</t>
        </is>
      </c>
    </row>
    <row r="319">
      <c r="A319" t="inlineStr">
        <is>
          <t>0</t>
        </is>
      </c>
      <c r="B319" t="inlineStr">
        <is>
          <t>SIKES MILL</t>
        </is>
      </c>
      <c r="C319">
        <v>2.0</v>
      </c>
      <c r="D319" t="inlineStr">
        <is>
          <t>N</t>
        </is>
      </c>
      <c r="E319" t="inlineStr">
        <is>
          <t>CHANEY</t>
        </is>
      </c>
      <c r="F319" t="inlineStr">
        <is>
          <t>UNIONVILLE</t>
        </is>
      </c>
      <c r="G319" t="inlineStr">
        <is>
          <t>SR 1001</t>
        </is>
      </c>
      <c r="H319">
        <v>4.11</v>
      </c>
      <c r="J319">
        <v>108420506</v>
      </c>
      <c r="K319" t="inlineStr">
        <is>
          <t>2/27/2026</t>
        </is>
      </c>
      <c r="L319">
        <v>29</v>
      </c>
      <c r="M319">
        <v>2</v>
      </c>
      <c r="N319">
        <v>0</v>
      </c>
      <c r="O319">
        <v>5</v>
      </c>
      <c r="P319" t="inlineStr">
        <is>
          <t>O</t>
        </is>
      </c>
    </row>
    <row r="320">
      <c r="A320" t="inlineStr">
        <is>
          <t>558</t>
        </is>
      </c>
      <c r="B320" t="inlineStr">
        <is>
          <t>SIKES MILL</t>
        </is>
      </c>
      <c r="C320">
        <v>0.003</v>
      </c>
      <c r="D320" t="inlineStr">
        <is>
          <t>N</t>
        </is>
      </c>
      <c r="E320" t="inlineStr">
        <is>
          <t>LAWYERS</t>
        </is>
      </c>
      <c r="F320" t="inlineStr">
        <is>
          <t>LOVE MILL</t>
        </is>
      </c>
      <c r="G320" t="inlineStr">
        <is>
          <t>SR 1001</t>
        </is>
      </c>
      <c r="H320">
        <v>4.11</v>
      </c>
      <c r="J320">
        <v>107472572</v>
      </c>
      <c r="K320" t="inlineStr">
        <is>
          <t>9/29/2023</t>
        </is>
      </c>
      <c r="L320">
        <v>28</v>
      </c>
      <c r="M320">
        <v>1</v>
      </c>
      <c r="N320">
        <v>10</v>
      </c>
      <c r="O320">
        <v>1</v>
      </c>
      <c r="P320" t="inlineStr">
        <is>
          <t>O</t>
        </is>
      </c>
    </row>
    <row r="321">
      <c r="A321" t="inlineStr">
        <is>
          <t>558</t>
        </is>
      </c>
      <c r="B321" t="inlineStr">
        <is>
          <t>SIKES MILL</t>
        </is>
      </c>
      <c r="C321">
        <v>0.19</v>
      </c>
      <c r="D321" t="inlineStr">
        <is>
          <t>N</t>
        </is>
      </c>
      <c r="E321" t="inlineStr">
        <is>
          <t>LOVE MILL</t>
        </is>
      </c>
      <c r="F321" t="inlineStr">
        <is>
          <t>HENRY SMITH</t>
        </is>
      </c>
      <c r="G321" t="inlineStr">
        <is>
          <t>SR 1001</t>
        </is>
      </c>
      <c r="H321">
        <v>4.11</v>
      </c>
      <c r="J321">
        <v>107844522</v>
      </c>
      <c r="K321" t="inlineStr">
        <is>
          <t>9/10/2024</t>
        </is>
      </c>
      <c r="L321">
        <v>24</v>
      </c>
      <c r="M321">
        <v>1</v>
      </c>
      <c r="N321">
        <v>4</v>
      </c>
      <c r="O321">
        <v>1</v>
      </c>
      <c r="P321" t="inlineStr">
        <is>
          <t>O</t>
        </is>
      </c>
    </row>
    <row r="322">
      <c r="A322" t="inlineStr">
        <is>
          <t>558</t>
        </is>
      </c>
      <c r="B322" t="inlineStr">
        <is>
          <t>SR 1001</t>
        </is>
      </c>
      <c r="C322">
        <v>0.0</v>
      </c>
      <c r="E322" t="inlineStr">
        <is>
          <t>SR 1637</t>
        </is>
      </c>
      <c r="F322" t="inlineStr">
        <is>
          <t>LOVE MILL</t>
        </is>
      </c>
      <c r="G322" t="inlineStr">
        <is>
          <t>SR 1001</t>
        </is>
      </c>
      <c r="H322">
        <v>4.11</v>
      </c>
      <c r="J322">
        <v>107495749</v>
      </c>
      <c r="K322" t="inlineStr">
        <is>
          <t>10/19/2023</t>
        </is>
      </c>
      <c r="L322">
        <v>28</v>
      </c>
      <c r="M322">
        <v>1</v>
      </c>
      <c r="N322">
        <v>10</v>
      </c>
      <c r="O322">
        <v>5</v>
      </c>
      <c r="P322" t="inlineStr">
        <is>
          <t>O</t>
        </is>
      </c>
    </row>
    <row r="323">
      <c r="A323" t="inlineStr">
        <is>
          <t>558</t>
        </is>
      </c>
      <c r="B323" t="inlineStr">
        <is>
          <t>SR 1001</t>
        </is>
      </c>
      <c r="C323">
        <v>0.0</v>
      </c>
      <c r="E323" t="inlineStr">
        <is>
          <t>SR 1637</t>
        </is>
      </c>
      <c r="F323" t="inlineStr">
        <is>
          <t>SR 1001</t>
        </is>
      </c>
      <c r="G323" t="inlineStr">
        <is>
          <t>SR 1001</t>
        </is>
      </c>
      <c r="H323">
        <v>4.11</v>
      </c>
      <c r="J323">
        <v>105414221</v>
      </c>
      <c r="K323" t="inlineStr">
        <is>
          <t>3/14/2018</t>
        </is>
      </c>
      <c r="L323">
        <v>26</v>
      </c>
      <c r="M323">
        <v>1</v>
      </c>
      <c r="N323">
        <v>10</v>
      </c>
      <c r="O323">
        <v>5</v>
      </c>
      <c r="P323" t="inlineStr">
        <is>
          <t>O</t>
        </is>
      </c>
    </row>
    <row r="324">
      <c r="A324" t="inlineStr">
        <is>
          <t>0</t>
        </is>
      </c>
      <c r="B324" t="inlineStr">
        <is>
          <t>SR 1001</t>
        </is>
      </c>
      <c r="C324">
        <v>0.0</v>
      </c>
      <c r="E324" t="inlineStr">
        <is>
          <t>SR 1637</t>
        </is>
      </c>
      <c r="F324" t="inlineStr">
        <is>
          <t>SR 1606</t>
        </is>
      </c>
      <c r="G324" t="inlineStr">
        <is>
          <t>SR 1001</t>
        </is>
      </c>
      <c r="H324">
        <v>4.11</v>
      </c>
      <c r="J324">
        <v>106532803</v>
      </c>
      <c r="K324" t="inlineStr">
        <is>
          <t>3/31/2021</t>
        </is>
      </c>
      <c r="L324">
        <v>26</v>
      </c>
      <c r="M324">
        <v>1</v>
      </c>
      <c r="N324">
        <v>10</v>
      </c>
      <c r="O324">
        <v>1</v>
      </c>
      <c r="P324" t="inlineStr">
        <is>
          <t>O</t>
        </is>
      </c>
    </row>
    <row r="325">
      <c r="A325" t="inlineStr">
        <is>
          <t>558</t>
        </is>
      </c>
      <c r="B325" t="inlineStr">
        <is>
          <t>SR 1001</t>
        </is>
      </c>
      <c r="C325">
        <v>0.0</v>
      </c>
      <c r="E325" t="inlineStr">
        <is>
          <t>SR 1637</t>
        </is>
      </c>
      <c r="F325" t="inlineStr">
        <is>
          <t>SR 1636</t>
        </is>
      </c>
      <c r="G325" t="inlineStr">
        <is>
          <t>SR 1001</t>
        </is>
      </c>
      <c r="H325">
        <v>4.11</v>
      </c>
      <c r="J325">
        <v>105337648</v>
      </c>
      <c r="K325" t="inlineStr">
        <is>
          <t>12/19/2017</t>
        </is>
      </c>
      <c r="L325">
        <v>30</v>
      </c>
      <c r="M325">
        <v>1</v>
      </c>
      <c r="N325">
        <v>10</v>
      </c>
      <c r="O325">
        <v>5</v>
      </c>
      <c r="P325" t="inlineStr">
        <is>
          <t>B</t>
        </is>
      </c>
    </row>
    <row r="326">
      <c r="A326" t="inlineStr">
        <is>
          <t>558</t>
        </is>
      </c>
      <c r="B326" t="inlineStr">
        <is>
          <t>SR 1001</t>
        </is>
      </c>
      <c r="C326">
        <v>0.0</v>
      </c>
      <c r="E326" t="inlineStr">
        <is>
          <t>SR 1637</t>
        </is>
      </c>
      <c r="F326" t="inlineStr">
        <is>
          <t>SR 1001</t>
        </is>
      </c>
      <c r="G326" t="inlineStr">
        <is>
          <t>SR 1001</t>
        </is>
      </c>
      <c r="H326">
        <v>4.11</v>
      </c>
      <c r="J326">
        <v>106482550</v>
      </c>
      <c r="K326" t="inlineStr">
        <is>
          <t>2/5/2021</t>
        </is>
      </c>
      <c r="L326">
        <v>32</v>
      </c>
      <c r="M326">
        <v>1</v>
      </c>
      <c r="N326">
        <v>10</v>
      </c>
      <c r="O326">
        <v>5</v>
      </c>
      <c r="P326" t="inlineStr">
        <is>
          <t>O</t>
        </is>
      </c>
    </row>
    <row r="327">
      <c r="A327" t="inlineStr">
        <is>
          <t>558</t>
        </is>
      </c>
      <c r="B327" t="inlineStr">
        <is>
          <t>SR 1001</t>
        </is>
      </c>
      <c r="C327">
        <v>0.0</v>
      </c>
      <c r="E327" t="inlineStr">
        <is>
          <t>SR 1637</t>
        </is>
      </c>
      <c r="F327" t="inlineStr">
        <is>
          <t>SR 1678</t>
        </is>
      </c>
      <c r="G327" t="inlineStr">
        <is>
          <t>SR 1001</t>
        </is>
      </c>
      <c r="H327">
        <v>4.11</v>
      </c>
      <c r="J327">
        <v>105087246</v>
      </c>
      <c r="K327" t="inlineStr">
        <is>
          <t>4/24/2017</t>
        </is>
      </c>
      <c r="L327">
        <v>26</v>
      </c>
      <c r="M327">
        <v>2</v>
      </c>
      <c r="N327">
        <v>10</v>
      </c>
      <c r="O327">
        <v>5</v>
      </c>
      <c r="P327" t="inlineStr">
        <is>
          <t>O</t>
        </is>
      </c>
    </row>
    <row r="328">
      <c r="A328" t="inlineStr">
        <is>
          <t>558</t>
        </is>
      </c>
      <c r="B328" t="inlineStr">
        <is>
          <t>SR 1001</t>
        </is>
      </c>
      <c r="C328">
        <v>0.0</v>
      </c>
      <c r="E328" t="inlineStr">
        <is>
          <t>SR 1637</t>
        </is>
      </c>
      <c r="F328" t="inlineStr">
        <is>
          <t>SR 1001</t>
        </is>
      </c>
      <c r="G328" t="inlineStr">
        <is>
          <t>SR 1001</t>
        </is>
      </c>
      <c r="H328">
        <v>4.11</v>
      </c>
      <c r="J328">
        <v>107563521</v>
      </c>
      <c r="K328" t="inlineStr">
        <is>
          <t>12/13/2023</t>
        </is>
      </c>
      <c r="L328">
        <v>28</v>
      </c>
      <c r="M328">
        <v>1</v>
      </c>
      <c r="N328">
        <v>10</v>
      </c>
      <c r="O328">
        <v>5</v>
      </c>
      <c r="P328" t="inlineStr">
        <is>
          <t>O</t>
        </is>
      </c>
      <c r="Q328">
        <v>35.08894</v>
      </c>
      <c r="R328">
        <v>-80.49375</v>
      </c>
      <c r="S328" t="inlineStr">
        <is>
          <t>DMV349CLEANED</t>
        </is>
      </c>
    </row>
    <row r="329">
      <c r="A329" t="inlineStr">
        <is>
          <t>558</t>
        </is>
      </c>
      <c r="B329" t="inlineStr">
        <is>
          <t>SR 1001</t>
        </is>
      </c>
      <c r="C329">
        <v>0.1</v>
      </c>
      <c r="D329" t="inlineStr">
        <is>
          <t>NE</t>
        </is>
      </c>
      <c r="E329" t="inlineStr">
        <is>
          <t>SR 1606</t>
        </is>
      </c>
      <c r="F329" t="inlineStr">
        <is>
          <t>PIEDMONT SCHOOL</t>
        </is>
      </c>
      <c r="G329" t="inlineStr">
        <is>
          <t>SR 1001</t>
        </is>
      </c>
      <c r="H329">
        <v>4.194</v>
      </c>
      <c r="J329">
        <v>104695165</v>
      </c>
      <c r="K329" t="inlineStr">
        <is>
          <t>4/4/2016</t>
        </is>
      </c>
      <c r="L329">
        <v>19</v>
      </c>
      <c r="M329">
        <v>1</v>
      </c>
      <c r="N329">
        <v>0</v>
      </c>
      <c r="O329">
        <v>1</v>
      </c>
      <c r="P329" t="inlineStr">
        <is>
          <t>O</t>
        </is>
      </c>
    </row>
    <row r="330">
      <c r="A330" t="inlineStr">
        <is>
          <t>558</t>
        </is>
      </c>
      <c r="B330" t="inlineStr">
        <is>
          <t>SR 1001</t>
        </is>
      </c>
      <c r="C330">
        <v>0.2</v>
      </c>
      <c r="D330" t="inlineStr">
        <is>
          <t>NE</t>
        </is>
      </c>
      <c r="E330" t="inlineStr">
        <is>
          <t>SR 1606</t>
        </is>
      </c>
      <c r="F330" t="inlineStr">
        <is>
          <t>PIEDMONT SCHOOL</t>
        </is>
      </c>
      <c r="G330" t="inlineStr">
        <is>
          <t>SR 1001</t>
        </is>
      </c>
      <c r="H330">
        <v>4.294</v>
      </c>
      <c r="J330">
        <v>104987919</v>
      </c>
      <c r="K330" t="inlineStr">
        <is>
          <t>1/26/2017</t>
        </is>
      </c>
      <c r="L330">
        <v>29</v>
      </c>
      <c r="M330">
        <v>1</v>
      </c>
      <c r="N330">
        <v>0</v>
      </c>
      <c r="O330">
        <v>1</v>
      </c>
      <c r="P330" t="inlineStr">
        <is>
          <t>O</t>
        </is>
      </c>
    </row>
    <row r="331">
      <c r="A331" t="inlineStr">
        <is>
          <t>0</t>
        </is>
      </c>
      <c r="B331" t="inlineStr">
        <is>
          <t>SR 1001</t>
        </is>
      </c>
      <c r="C331">
        <v>0.2</v>
      </c>
      <c r="D331" t="inlineStr">
        <is>
          <t>N</t>
        </is>
      </c>
      <c r="E331" t="inlineStr">
        <is>
          <t>SR 1637</t>
        </is>
      </c>
      <c r="F331" t="inlineStr">
        <is>
          <t>SR 1674</t>
        </is>
      </c>
      <c r="G331" t="inlineStr">
        <is>
          <t>SR 1001</t>
        </is>
      </c>
      <c r="H331">
        <v>4.31</v>
      </c>
      <c r="J331">
        <v>106017163</v>
      </c>
      <c r="K331" t="inlineStr">
        <is>
          <t>10/2/2019</t>
        </is>
      </c>
      <c r="L331">
        <v>23</v>
      </c>
      <c r="M331">
        <v>1</v>
      </c>
      <c r="N331">
        <v>0</v>
      </c>
      <c r="O331">
        <v>1</v>
      </c>
      <c r="P331" t="inlineStr">
        <is>
          <t>O</t>
        </is>
      </c>
    </row>
    <row r="332">
      <c r="A332" t="inlineStr">
        <is>
          <t>558</t>
        </is>
      </c>
      <c r="B332" t="inlineStr">
        <is>
          <t>LOVE MILL</t>
        </is>
      </c>
      <c r="C332">
        <v>0.15</v>
      </c>
      <c r="D332" t="inlineStr">
        <is>
          <t>W</t>
        </is>
      </c>
      <c r="E332" t="inlineStr">
        <is>
          <t>PIEDMONT SCHOOL</t>
        </is>
      </c>
      <c r="F332" t="inlineStr">
        <is>
          <t>SIKES MILL</t>
        </is>
      </c>
      <c r="G332" t="inlineStr">
        <is>
          <t>SR 1001</t>
        </is>
      </c>
      <c r="H332">
        <v>4.454</v>
      </c>
      <c r="J332">
        <v>107442543</v>
      </c>
      <c r="K332" t="inlineStr">
        <is>
          <t>8/30/2023</t>
        </is>
      </c>
      <c r="L332">
        <v>21</v>
      </c>
      <c r="M332">
        <v>2</v>
      </c>
      <c r="N332">
        <v>0</v>
      </c>
      <c r="O332">
        <v>1</v>
      </c>
      <c r="P332" t="inlineStr">
        <is>
          <t>O</t>
        </is>
      </c>
    </row>
    <row r="333">
      <c r="A333" t="inlineStr">
        <is>
          <t>558</t>
        </is>
      </c>
      <c r="B333" t="inlineStr">
        <is>
          <t>SR 1001</t>
        </is>
      </c>
      <c r="C333">
        <v>0.75</v>
      </c>
      <c r="D333" t="inlineStr">
        <is>
          <t>S</t>
        </is>
      </c>
      <c r="E333" t="inlineStr">
        <is>
          <t>SR 1638</t>
        </is>
      </c>
      <c r="F333" t="inlineStr">
        <is>
          <t>SR 1688</t>
        </is>
      </c>
      <c r="G333" t="inlineStr">
        <is>
          <t>SR 1001</t>
        </is>
      </c>
      <c r="H333">
        <v>4.476</v>
      </c>
      <c r="J333">
        <v>106194121</v>
      </c>
      <c r="K333" t="inlineStr">
        <is>
          <t>3/24/2020</t>
        </is>
      </c>
      <c r="L333">
        <v>17</v>
      </c>
      <c r="M333">
        <v>1</v>
      </c>
      <c r="N333">
        <v>0</v>
      </c>
      <c r="O333">
        <v>5</v>
      </c>
      <c r="P333" t="inlineStr">
        <is>
          <t>O</t>
        </is>
      </c>
    </row>
    <row r="334">
      <c r="A334" t="inlineStr">
        <is>
          <t>0</t>
        </is>
      </c>
      <c r="B334" t="inlineStr">
        <is>
          <t>SR 1001</t>
        </is>
      </c>
      <c r="C334">
        <v>0.7</v>
      </c>
      <c r="D334" t="inlineStr">
        <is>
          <t>S</t>
        </is>
      </c>
      <c r="E334" t="inlineStr">
        <is>
          <t>SR 1638</t>
        </is>
      </c>
      <c r="F334" t="inlineStr">
        <is>
          <t>SR 1674</t>
        </is>
      </c>
      <c r="G334" t="inlineStr">
        <is>
          <t>SR 1001</t>
        </is>
      </c>
      <c r="H334">
        <v>4.526</v>
      </c>
      <c r="J334">
        <v>105670531</v>
      </c>
      <c r="K334" t="inlineStr">
        <is>
          <t>11/5/2018</t>
        </is>
      </c>
      <c r="L334">
        <v>20</v>
      </c>
      <c r="M334">
        <v>2</v>
      </c>
      <c r="N334">
        <v>0</v>
      </c>
      <c r="O334">
        <v>1</v>
      </c>
      <c r="P334" t="inlineStr">
        <is>
          <t>O</t>
        </is>
      </c>
    </row>
    <row r="335">
      <c r="A335" t="inlineStr">
        <is>
          <t>558</t>
        </is>
      </c>
      <c r="B335" t="inlineStr">
        <is>
          <t>LOVE MILL</t>
        </is>
      </c>
      <c r="C335">
        <v>0.0</v>
      </c>
      <c r="E335" t="inlineStr">
        <is>
          <t>PIEDMONT SCHOOL</t>
        </is>
      </c>
      <c r="F335" t="inlineStr">
        <is>
          <t>*LCL PURSER RUSHING ROAD</t>
        </is>
      </c>
      <c r="G335" t="inlineStr">
        <is>
          <t>SR 1001</t>
        </is>
      </c>
      <c r="H335">
        <v>4.604</v>
      </c>
      <c r="J335">
        <v>106755818</v>
      </c>
      <c r="K335" t="inlineStr">
        <is>
          <t>11/8/2021</t>
        </is>
      </c>
      <c r="L335">
        <v>26</v>
      </c>
      <c r="M335">
        <v>1</v>
      </c>
      <c r="N335">
        <v>8</v>
      </c>
      <c r="O335">
        <v>1</v>
      </c>
      <c r="P335" t="inlineStr">
        <is>
          <t>O</t>
        </is>
      </c>
    </row>
    <row r="336">
      <c r="A336" t="inlineStr">
        <is>
          <t>558</t>
        </is>
      </c>
      <c r="B336" t="inlineStr">
        <is>
          <t>LOVE MILL</t>
        </is>
      </c>
      <c r="C336">
        <v>0.0</v>
      </c>
      <c r="E336" t="inlineStr">
        <is>
          <t>PIEDMONT SCHOOL</t>
        </is>
      </c>
      <c r="F336" t="inlineStr">
        <is>
          <t>SIKES MILL</t>
        </is>
      </c>
      <c r="G336" t="inlineStr">
        <is>
          <t>SR 1001</t>
        </is>
      </c>
      <c r="H336">
        <v>4.604</v>
      </c>
      <c r="J336">
        <v>106585376</v>
      </c>
      <c r="K336" t="inlineStr">
        <is>
          <t>5/26/2021</t>
        </is>
      </c>
      <c r="L336">
        <v>24</v>
      </c>
      <c r="M336">
        <v>1</v>
      </c>
      <c r="N336">
        <v>8</v>
      </c>
      <c r="O336">
        <v>1</v>
      </c>
      <c r="P336" t="inlineStr">
        <is>
          <t>O</t>
        </is>
      </c>
    </row>
    <row r="337">
      <c r="A337" t="inlineStr">
        <is>
          <t>558</t>
        </is>
      </c>
      <c r="B337" t="inlineStr">
        <is>
          <t>SR 1001</t>
        </is>
      </c>
      <c r="C337">
        <v>0.0</v>
      </c>
      <c r="E337" t="inlineStr">
        <is>
          <t>SR 1668</t>
        </is>
      </c>
      <c r="F337" t="inlineStr">
        <is>
          <t>DEAD END</t>
        </is>
      </c>
      <c r="G337" t="inlineStr">
        <is>
          <t>SR 1001</t>
        </is>
      </c>
      <c r="H337">
        <v>4.604</v>
      </c>
      <c r="J337">
        <v>107215772</v>
      </c>
      <c r="K337" t="inlineStr">
        <is>
          <t>1/11/2023</t>
        </is>
      </c>
      <c r="L337">
        <v>26</v>
      </c>
      <c r="M337">
        <v>1</v>
      </c>
      <c r="N337">
        <v>8</v>
      </c>
      <c r="O337">
        <v>5</v>
      </c>
      <c r="P337" t="inlineStr">
        <is>
          <t>C</t>
        </is>
      </c>
    </row>
    <row r="338">
      <c r="A338" t="inlineStr">
        <is>
          <t>558</t>
        </is>
      </c>
      <c r="B338" t="inlineStr">
        <is>
          <t>SR 1001</t>
        </is>
      </c>
      <c r="C338">
        <v>0.035</v>
      </c>
      <c r="D338" t="inlineStr">
        <is>
          <t>N</t>
        </is>
      </c>
      <c r="E338" t="inlineStr">
        <is>
          <t>SR 1668</t>
        </is>
      </c>
      <c r="F338" t="inlineStr">
        <is>
          <t>SR 1674</t>
        </is>
      </c>
      <c r="G338" t="inlineStr">
        <is>
          <t>SR 1001</t>
        </is>
      </c>
      <c r="H338">
        <v>4.639</v>
      </c>
      <c r="J338">
        <v>107121599</v>
      </c>
      <c r="K338" t="inlineStr">
        <is>
          <t>10/22/2022</t>
        </is>
      </c>
      <c r="L338">
        <v>26</v>
      </c>
      <c r="M338">
        <v>1</v>
      </c>
      <c r="N338">
        <v>0</v>
      </c>
      <c r="O338">
        <v>1</v>
      </c>
      <c r="P338" t="inlineStr">
        <is>
          <t>O</t>
        </is>
      </c>
    </row>
    <row r="339">
      <c r="A339" t="inlineStr">
        <is>
          <t>558</t>
        </is>
      </c>
      <c r="B339" t="inlineStr">
        <is>
          <t>LOVE MILL</t>
        </is>
      </c>
      <c r="C339">
        <v>0.095</v>
      </c>
      <c r="D339" t="inlineStr">
        <is>
          <t>NE</t>
        </is>
      </c>
      <c r="E339" t="inlineStr">
        <is>
          <t>PIEDMONT SCHOOL</t>
        </is>
      </c>
      <c r="F339" t="inlineStr">
        <is>
          <t>*LCL PURSER RUSHING RD</t>
        </is>
      </c>
      <c r="G339" t="inlineStr">
        <is>
          <t>SR 1001</t>
        </is>
      </c>
      <c r="H339">
        <v>4.699</v>
      </c>
      <c r="J339">
        <v>106705523</v>
      </c>
      <c r="K339" t="inlineStr">
        <is>
          <t>9/23/2021</t>
        </is>
      </c>
      <c r="L339">
        <v>21</v>
      </c>
      <c r="M339">
        <v>1</v>
      </c>
      <c r="N339">
        <v>0</v>
      </c>
      <c r="O339">
        <v>1</v>
      </c>
      <c r="P339" t="inlineStr">
        <is>
          <t>O</t>
        </is>
      </c>
    </row>
    <row r="340">
      <c r="A340" t="inlineStr">
        <is>
          <t>558</t>
        </is>
      </c>
      <c r="B340" t="inlineStr">
        <is>
          <t>SR 1001</t>
        </is>
      </c>
      <c r="C340">
        <v>0.085</v>
      </c>
      <c r="D340" t="inlineStr">
        <is>
          <t>S</t>
        </is>
      </c>
      <c r="E340" t="inlineStr">
        <is>
          <t>SR 1674</t>
        </is>
      </c>
      <c r="F340" t="inlineStr">
        <is>
          <t>SR 1606</t>
        </is>
      </c>
      <c r="G340" t="inlineStr">
        <is>
          <t>SR 1001</t>
        </is>
      </c>
      <c r="H340">
        <v>4.713</v>
      </c>
      <c r="J340">
        <v>107518060</v>
      </c>
      <c r="K340" t="inlineStr">
        <is>
          <t>11/1/2023</t>
        </is>
      </c>
      <c r="L340">
        <v>29</v>
      </c>
      <c r="M340">
        <v>1</v>
      </c>
      <c r="N340">
        <v>0</v>
      </c>
      <c r="O340">
        <v>1</v>
      </c>
      <c r="P340" t="inlineStr">
        <is>
          <t>O</t>
        </is>
      </c>
      <c r="Q340">
        <v>35.09489</v>
      </c>
      <c r="R340">
        <v>-80.48599</v>
      </c>
      <c r="S340" t="inlineStr">
        <is>
          <t>DMV349CLEANED</t>
        </is>
      </c>
    </row>
    <row r="341">
      <c r="A341" t="inlineStr">
        <is>
          <t>558</t>
        </is>
      </c>
      <c r="B341" t="inlineStr">
        <is>
          <t>SR 1001</t>
        </is>
      </c>
      <c r="C341">
        <v>0.1</v>
      </c>
      <c r="D341" t="inlineStr">
        <is>
          <t>N</t>
        </is>
      </c>
      <c r="E341" t="inlineStr">
        <is>
          <t>SR 1674</t>
        </is>
      </c>
      <c r="F341" t="inlineStr">
        <is>
          <t>SR 1638</t>
        </is>
      </c>
      <c r="G341" t="inlineStr">
        <is>
          <t>SR 1001</t>
        </is>
      </c>
      <c r="H341">
        <v>4.898</v>
      </c>
      <c r="J341">
        <v>108010852</v>
      </c>
      <c r="K341" t="inlineStr">
        <is>
          <t>2/4/2025</t>
        </is>
      </c>
      <c r="L341">
        <v>23</v>
      </c>
      <c r="M341">
        <v>1</v>
      </c>
      <c r="N341">
        <v>0</v>
      </c>
      <c r="O341">
        <v>1</v>
      </c>
      <c r="P341" t="inlineStr">
        <is>
          <t>O</t>
        </is>
      </c>
      <c r="Q341">
        <v>35.09</v>
      </c>
      <c r="R341">
        <v>-80.48</v>
      </c>
      <c r="S341" t="inlineStr">
        <is>
          <t>DMV349</t>
        </is>
      </c>
    </row>
    <row r="342">
      <c r="A342" t="inlineStr">
        <is>
          <t>558</t>
        </is>
      </c>
      <c r="B342" t="inlineStr">
        <is>
          <t>SR 1001</t>
        </is>
      </c>
      <c r="C342">
        <v>0.1</v>
      </c>
      <c r="D342" t="inlineStr">
        <is>
          <t>N</t>
        </is>
      </c>
      <c r="E342" t="inlineStr">
        <is>
          <t>SR 1674</t>
        </is>
      </c>
      <c r="F342" t="inlineStr">
        <is>
          <t>SR 1638</t>
        </is>
      </c>
      <c r="G342" t="inlineStr">
        <is>
          <t>SR 1001</t>
        </is>
      </c>
      <c r="H342">
        <v>4.898</v>
      </c>
      <c r="J342">
        <v>107890769</v>
      </c>
      <c r="K342" t="inlineStr">
        <is>
          <t>10/20/2024</t>
        </is>
      </c>
      <c r="L342">
        <v>17</v>
      </c>
      <c r="M342">
        <v>1</v>
      </c>
      <c r="N342">
        <v>0</v>
      </c>
      <c r="O342">
        <v>5</v>
      </c>
      <c r="P342" t="inlineStr">
        <is>
          <t>O</t>
        </is>
      </c>
      <c r="Q342">
        <v>35.098165</v>
      </c>
      <c r="R342">
        <v>-80.43696</v>
      </c>
      <c r="S342" t="inlineStr">
        <is>
          <t>DMV349CLEANED</t>
        </is>
      </c>
    </row>
    <row r="343">
      <c r="A343" t="inlineStr">
        <is>
          <t>558</t>
        </is>
      </c>
      <c r="B343" t="inlineStr">
        <is>
          <t>SR 1001</t>
        </is>
      </c>
      <c r="C343">
        <v>0.3</v>
      </c>
      <c r="D343" t="inlineStr">
        <is>
          <t>S</t>
        </is>
      </c>
      <c r="E343" t="inlineStr">
        <is>
          <t>SR 1638</t>
        </is>
      </c>
      <c r="F343" t="inlineStr">
        <is>
          <t>SR 1674</t>
        </is>
      </c>
      <c r="G343" t="inlineStr">
        <is>
          <t>SR 1001</t>
        </is>
      </c>
      <c r="H343">
        <v>4.926</v>
      </c>
      <c r="J343">
        <v>107423126</v>
      </c>
      <c r="K343" t="inlineStr">
        <is>
          <t>8/12/2023</t>
        </is>
      </c>
      <c r="L343">
        <v>17</v>
      </c>
      <c r="M343">
        <v>1</v>
      </c>
      <c r="N343">
        <v>0</v>
      </c>
      <c r="O343">
        <v>5</v>
      </c>
      <c r="P343" t="inlineStr">
        <is>
          <t>O</t>
        </is>
      </c>
    </row>
    <row r="344">
      <c r="A344" t="inlineStr">
        <is>
          <t>558</t>
        </is>
      </c>
      <c r="B344" t="inlineStr">
        <is>
          <t>SR 1001</t>
        </is>
      </c>
      <c r="C344">
        <v>0.2</v>
      </c>
      <c r="D344" t="inlineStr">
        <is>
          <t>E</t>
        </is>
      </c>
      <c r="E344" t="inlineStr">
        <is>
          <t>SR 1674</t>
        </is>
      </c>
      <c r="F344" t="inlineStr">
        <is>
          <t>SR 1638</t>
        </is>
      </c>
      <c r="G344" t="inlineStr">
        <is>
          <t>SR 1001</t>
        </is>
      </c>
      <c r="H344">
        <v>4.998</v>
      </c>
      <c r="J344">
        <v>108279466</v>
      </c>
      <c r="K344" t="inlineStr">
        <is>
          <t>10/23/2025</t>
        </is>
      </c>
      <c r="L344">
        <v>17</v>
      </c>
      <c r="M344">
        <v>1</v>
      </c>
      <c r="N344">
        <v>0</v>
      </c>
      <c r="O344">
        <v>1</v>
      </c>
      <c r="P344" t="inlineStr">
        <is>
          <t>O</t>
        </is>
      </c>
      <c r="Q344">
        <v>35.09663</v>
      </c>
      <c r="R344">
        <v>-80.48478</v>
      </c>
      <c r="S344" t="inlineStr">
        <is>
          <t>DMV349CLEANED</t>
        </is>
      </c>
    </row>
    <row r="345">
      <c r="A345" t="inlineStr">
        <is>
          <t>558</t>
        </is>
      </c>
      <c r="B345" t="inlineStr">
        <is>
          <t>SR 1001</t>
        </is>
      </c>
      <c r="C345">
        <v>0.1</v>
      </c>
      <c r="D345" t="inlineStr">
        <is>
          <t>S</t>
        </is>
      </c>
      <c r="E345" t="inlineStr">
        <is>
          <t>SR 1638</t>
        </is>
      </c>
      <c r="F345" t="inlineStr">
        <is>
          <t>SR 1674</t>
        </is>
      </c>
      <c r="G345" t="inlineStr">
        <is>
          <t>SR 1001</t>
        </is>
      </c>
      <c r="H345">
        <v>5.126</v>
      </c>
      <c r="J345">
        <v>105260877</v>
      </c>
      <c r="K345" t="inlineStr">
        <is>
          <t>10/15/2017</t>
        </is>
      </c>
      <c r="L345">
        <v>19</v>
      </c>
      <c r="M345">
        <v>1</v>
      </c>
      <c r="N345">
        <v>0</v>
      </c>
      <c r="O345">
        <v>5</v>
      </c>
      <c r="P345" t="inlineStr">
        <is>
          <t>O</t>
        </is>
      </c>
    </row>
    <row r="346">
      <c r="A346" t="inlineStr">
        <is>
          <t>558</t>
        </is>
      </c>
      <c r="B346" t="inlineStr">
        <is>
          <t>SR 1001</t>
        </is>
      </c>
      <c r="C346">
        <v>0.1</v>
      </c>
      <c r="D346" t="inlineStr">
        <is>
          <t>S</t>
        </is>
      </c>
      <c r="E346" t="inlineStr">
        <is>
          <t>SR 1638</t>
        </is>
      </c>
      <c r="F346" t="inlineStr">
        <is>
          <t>SR 1674</t>
        </is>
      </c>
      <c r="G346" t="inlineStr">
        <is>
          <t>SR 1001</t>
        </is>
      </c>
      <c r="H346">
        <v>5.126</v>
      </c>
      <c r="J346">
        <v>107149319</v>
      </c>
      <c r="K346" t="inlineStr">
        <is>
          <t>11/16/2022</t>
        </is>
      </c>
      <c r="L346">
        <v>17</v>
      </c>
      <c r="M346">
        <v>1</v>
      </c>
      <c r="N346">
        <v>0</v>
      </c>
      <c r="O346">
        <v>5</v>
      </c>
      <c r="P346" t="inlineStr">
        <is>
          <t>O</t>
        </is>
      </c>
    </row>
    <row r="347">
      <c r="A347" t="inlineStr">
        <is>
          <t>558</t>
        </is>
      </c>
      <c r="B347" t="inlineStr">
        <is>
          <t>SR 1001</t>
        </is>
      </c>
      <c r="C347">
        <v>0.1</v>
      </c>
      <c r="D347" t="inlineStr">
        <is>
          <t>S</t>
        </is>
      </c>
      <c r="E347" t="inlineStr">
        <is>
          <t>SR 1638</t>
        </is>
      </c>
      <c r="F347" t="inlineStr">
        <is>
          <t>SR 1674</t>
        </is>
      </c>
      <c r="G347" t="inlineStr">
        <is>
          <t>SR 1001</t>
        </is>
      </c>
      <c r="H347">
        <v>5.126</v>
      </c>
      <c r="J347">
        <v>105748330</v>
      </c>
      <c r="K347" t="inlineStr">
        <is>
          <t>1/20/2019</t>
        </is>
      </c>
      <c r="L347">
        <v>18</v>
      </c>
      <c r="M347">
        <v>1</v>
      </c>
      <c r="N347">
        <v>0</v>
      </c>
      <c r="O347">
        <v>5</v>
      </c>
      <c r="P347" t="inlineStr">
        <is>
          <t>O</t>
        </is>
      </c>
    </row>
    <row r="348">
      <c r="A348" t="inlineStr">
        <is>
          <t>558</t>
        </is>
      </c>
      <c r="B348" t="inlineStr">
        <is>
          <t>SR 1001</t>
        </is>
      </c>
      <c r="C348">
        <v>0.014</v>
      </c>
      <c r="D348" t="inlineStr">
        <is>
          <t>S</t>
        </is>
      </c>
      <c r="E348" t="inlineStr">
        <is>
          <t>SR 1638</t>
        </is>
      </c>
      <c r="F348" t="inlineStr">
        <is>
          <t>SR 1674</t>
        </is>
      </c>
      <c r="G348" t="inlineStr">
        <is>
          <t>SR 1001</t>
        </is>
      </c>
      <c r="H348">
        <v>5.212</v>
      </c>
      <c r="J348">
        <v>105196253</v>
      </c>
      <c r="K348" t="inlineStr">
        <is>
          <t>8/18/2017</t>
        </is>
      </c>
      <c r="L348">
        <v>31</v>
      </c>
      <c r="M348">
        <v>1</v>
      </c>
      <c r="N348">
        <v>0</v>
      </c>
      <c r="O348">
        <v>5</v>
      </c>
      <c r="P348" t="inlineStr">
        <is>
          <t>O</t>
        </is>
      </c>
    </row>
    <row r="349">
      <c r="A349" t="inlineStr">
        <is>
          <t>558</t>
        </is>
      </c>
      <c r="B349" t="inlineStr">
        <is>
          <t>SR 1001</t>
        </is>
      </c>
      <c r="C349">
        <v>0.0</v>
      </c>
      <c r="E349" t="inlineStr">
        <is>
          <t>SR 1638</t>
        </is>
      </c>
      <c r="F349" t="inlineStr">
        <is>
          <t>SR 1674</t>
        </is>
      </c>
      <c r="G349" t="inlineStr">
        <is>
          <t>SR 1001</t>
        </is>
      </c>
      <c r="H349">
        <v>5.226</v>
      </c>
      <c r="J349">
        <v>105561390</v>
      </c>
      <c r="K349" t="inlineStr">
        <is>
          <t>8/1/2018</t>
        </is>
      </c>
      <c r="L349">
        <v>30</v>
      </c>
      <c r="M349">
        <v>1</v>
      </c>
      <c r="N349">
        <v>7</v>
      </c>
      <c r="O349">
        <v>1</v>
      </c>
      <c r="P349" t="inlineStr">
        <is>
          <t>O</t>
        </is>
      </c>
    </row>
    <row r="350">
      <c r="A350" t="inlineStr">
        <is>
          <t>558</t>
        </is>
      </c>
      <c r="B350" t="inlineStr">
        <is>
          <t>SR 1001</t>
        </is>
      </c>
      <c r="C350">
        <v>0.1</v>
      </c>
      <c r="D350" t="inlineStr">
        <is>
          <t>N</t>
        </is>
      </c>
      <c r="E350" t="inlineStr">
        <is>
          <t>SR 1638</t>
        </is>
      </c>
      <c r="F350" t="inlineStr">
        <is>
          <t>SR 1675</t>
        </is>
      </c>
      <c r="G350" t="inlineStr">
        <is>
          <t>SR 1001</t>
        </is>
      </c>
      <c r="H350">
        <v>5.326</v>
      </c>
      <c r="J350">
        <v>108521472</v>
      </c>
      <c r="K350" t="inlineStr">
        <is>
          <t>6/6/2026</t>
        </is>
      </c>
      <c r="L350">
        <v>19</v>
      </c>
      <c r="M350">
        <v>1</v>
      </c>
      <c r="N350">
        <v>0</v>
      </c>
      <c r="O350">
        <v>1</v>
      </c>
      <c r="P350" t="inlineStr">
        <is>
          <t>C</t>
        </is>
      </c>
      <c r="Q350">
        <v>35.102127</v>
      </c>
      <c r="R350">
        <v>-80.47925</v>
      </c>
      <c r="S350" t="inlineStr">
        <is>
          <t>DMV349</t>
        </is>
      </c>
    </row>
    <row r="351">
      <c r="A351" t="inlineStr">
        <is>
          <t>558</t>
        </is>
      </c>
      <c r="B351" t="inlineStr">
        <is>
          <t>SR 1001</t>
        </is>
      </c>
      <c r="C351">
        <v>0.4</v>
      </c>
      <c r="D351" t="inlineStr">
        <is>
          <t>N</t>
        </is>
      </c>
      <c r="E351" t="inlineStr">
        <is>
          <t>SR 1638</t>
        </is>
      </c>
      <c r="F351" t="inlineStr">
        <is>
          <t>SR 1675</t>
        </is>
      </c>
      <c r="G351" t="inlineStr">
        <is>
          <t>SR 1001</t>
        </is>
      </c>
      <c r="H351">
        <v>5.626</v>
      </c>
      <c r="J351">
        <v>105335407</v>
      </c>
      <c r="K351" t="inlineStr">
        <is>
          <t>12/28/2017</t>
        </is>
      </c>
      <c r="L351">
        <v>29</v>
      </c>
      <c r="M351">
        <v>1</v>
      </c>
      <c r="N351">
        <v>0</v>
      </c>
      <c r="O351">
        <v>1</v>
      </c>
      <c r="P351" t="inlineStr">
        <is>
          <t>O</t>
        </is>
      </c>
    </row>
    <row r="352">
      <c r="A352" t="inlineStr">
        <is>
          <t>0</t>
        </is>
      </c>
      <c r="B352" t="inlineStr">
        <is>
          <t>SR 1001</t>
        </is>
      </c>
      <c r="C352">
        <v>0.32</v>
      </c>
      <c r="D352" t="inlineStr">
        <is>
          <t>S</t>
        </is>
      </c>
      <c r="E352" t="inlineStr">
        <is>
          <t>SR 1675</t>
        </is>
      </c>
      <c r="F352" t="inlineStr">
        <is>
          <t>SR 1638</t>
        </is>
      </c>
      <c r="G352" t="inlineStr">
        <is>
          <t>SR 1001</t>
        </is>
      </c>
      <c r="H352">
        <v>5.645</v>
      </c>
      <c r="J352">
        <v>105555467</v>
      </c>
      <c r="K352" t="inlineStr">
        <is>
          <t>7/22/2018</t>
        </is>
      </c>
      <c r="L352">
        <v>1</v>
      </c>
      <c r="M352">
        <v>1</v>
      </c>
      <c r="N352">
        <v>0</v>
      </c>
      <c r="O352">
        <v>1</v>
      </c>
      <c r="P352" t="inlineStr">
        <is>
          <t>O</t>
        </is>
      </c>
    </row>
    <row r="353">
      <c r="A353" t="inlineStr">
        <is>
          <t>0</t>
        </is>
      </c>
      <c r="B353" t="inlineStr">
        <is>
          <t>LOVE MILL</t>
        </is>
      </c>
      <c r="C353">
        <v>0.14</v>
      </c>
      <c r="D353" t="inlineStr">
        <is>
          <t>S</t>
        </is>
      </c>
      <c r="E353" t="inlineStr">
        <is>
          <t>BRASSWELL RUSHING</t>
        </is>
      </c>
      <c r="F353" t="inlineStr">
        <is>
          <t>HAIGLER BAUCOM</t>
        </is>
      </c>
      <c r="G353" t="inlineStr">
        <is>
          <t>SR 1001</t>
        </is>
      </c>
      <c r="H353">
        <v>5.825</v>
      </c>
      <c r="J353">
        <v>106148368</v>
      </c>
      <c r="K353" t="inlineStr">
        <is>
          <t>2/6/2020</t>
        </is>
      </c>
      <c r="L353">
        <v>19</v>
      </c>
      <c r="M353">
        <v>2</v>
      </c>
      <c r="N353">
        <v>0</v>
      </c>
      <c r="O353">
        <v>1</v>
      </c>
      <c r="P353" t="inlineStr">
        <is>
          <t>O</t>
        </is>
      </c>
    </row>
    <row r="354">
      <c r="A354" t="inlineStr">
        <is>
          <t>558</t>
        </is>
      </c>
      <c r="B354" t="inlineStr">
        <is>
          <t>SR 1001</t>
        </is>
      </c>
      <c r="C354">
        <v>0.1</v>
      </c>
      <c r="D354" t="inlineStr">
        <is>
          <t>S</t>
        </is>
      </c>
      <c r="E354" t="inlineStr">
        <is>
          <t>SR 1675</t>
        </is>
      </c>
      <c r="F354" t="inlineStr">
        <is>
          <t>SR 1638</t>
        </is>
      </c>
      <c r="G354" t="inlineStr">
        <is>
          <t>SR 1001</t>
        </is>
      </c>
      <c r="H354">
        <v>5.865</v>
      </c>
      <c r="J354">
        <v>105877759</v>
      </c>
      <c r="K354" t="inlineStr">
        <is>
          <t>5/23/2019</t>
        </is>
      </c>
      <c r="L354">
        <v>28</v>
      </c>
      <c r="M354">
        <v>1</v>
      </c>
      <c r="N354">
        <v>0</v>
      </c>
      <c r="O354">
        <v>1</v>
      </c>
      <c r="P354" t="inlineStr">
        <is>
          <t>O</t>
        </is>
      </c>
    </row>
    <row r="355">
      <c r="A355" t="inlineStr">
        <is>
          <t>558</t>
        </is>
      </c>
      <c r="B355" t="inlineStr">
        <is>
          <t>SR 1001</t>
        </is>
      </c>
      <c r="C355">
        <v>0.0</v>
      </c>
      <c r="E355" t="inlineStr">
        <is>
          <t>SR 1675</t>
        </is>
      </c>
      <c r="F355" t="inlineStr">
        <is>
          <t>SR 1654</t>
        </is>
      </c>
      <c r="G355" t="inlineStr">
        <is>
          <t>SR 1001</t>
        </is>
      </c>
      <c r="H355">
        <v>5.965</v>
      </c>
      <c r="J355">
        <v>108055290</v>
      </c>
      <c r="K355" t="inlineStr">
        <is>
          <t>3/21/2025</t>
        </is>
      </c>
      <c r="L355">
        <v>17</v>
      </c>
      <c r="M355">
        <v>1</v>
      </c>
      <c r="N355">
        <v>8</v>
      </c>
      <c r="O355">
        <v>5</v>
      </c>
      <c r="P355" t="inlineStr">
        <is>
          <t>O</t>
        </is>
      </c>
      <c r="Q355">
        <v>35.108503</v>
      </c>
      <c r="R355">
        <v>-80.4725</v>
      </c>
      <c r="S355" t="inlineStr">
        <is>
          <t>DMV349CLEANED</t>
        </is>
      </c>
    </row>
    <row r="356">
      <c r="A356" t="inlineStr">
        <is>
          <t>0</t>
        </is>
      </c>
      <c r="B356" t="inlineStr">
        <is>
          <t>SR 1001</t>
        </is>
      </c>
      <c r="C356">
        <v>0.095</v>
      </c>
      <c r="D356" t="inlineStr">
        <is>
          <t>S</t>
        </is>
      </c>
      <c r="E356" t="inlineStr">
        <is>
          <t>SR 1654</t>
        </is>
      </c>
      <c r="F356" t="inlineStr">
        <is>
          <t>SR 1675</t>
        </is>
      </c>
      <c r="G356" t="inlineStr">
        <is>
          <t>SR 1001</t>
        </is>
      </c>
      <c r="H356">
        <v>6.136</v>
      </c>
      <c r="J356">
        <v>106893722</v>
      </c>
      <c r="K356" t="inlineStr">
        <is>
          <t>3/16/2022</t>
        </is>
      </c>
      <c r="L356">
        <v>17</v>
      </c>
      <c r="M356">
        <v>1</v>
      </c>
      <c r="N356">
        <v>0</v>
      </c>
      <c r="O356">
        <v>1</v>
      </c>
      <c r="P356" t="inlineStr">
        <is>
          <t>O</t>
        </is>
      </c>
    </row>
    <row r="357">
      <c r="A357" t="inlineStr">
        <is>
          <t>558</t>
        </is>
      </c>
      <c r="B357" t="inlineStr">
        <is>
          <t>SR 1001</t>
        </is>
      </c>
      <c r="C357">
        <v>0.2</v>
      </c>
      <c r="D357" t="inlineStr">
        <is>
          <t>N</t>
        </is>
      </c>
      <c r="E357" t="inlineStr">
        <is>
          <t>SR 1675</t>
        </is>
      </c>
      <c r="F357" t="inlineStr">
        <is>
          <t>SR 1654</t>
        </is>
      </c>
      <c r="G357" t="inlineStr">
        <is>
          <t>SR 1001</t>
        </is>
      </c>
      <c r="H357">
        <v>6.165</v>
      </c>
      <c r="J357">
        <v>107329666</v>
      </c>
      <c r="K357" t="inlineStr">
        <is>
          <t>5/8/2023</t>
        </is>
      </c>
      <c r="L357">
        <v>21</v>
      </c>
      <c r="M357">
        <v>1</v>
      </c>
      <c r="N357">
        <v>0</v>
      </c>
      <c r="O357">
        <v>1</v>
      </c>
      <c r="P357" t="inlineStr">
        <is>
          <t>O</t>
        </is>
      </c>
    </row>
    <row r="358">
      <c r="A358" t="inlineStr">
        <is>
          <t>558</t>
        </is>
      </c>
      <c r="B358" t="inlineStr">
        <is>
          <t>SR 1001</t>
        </is>
      </c>
      <c r="C358">
        <v>0.2</v>
      </c>
      <c r="D358" t="inlineStr">
        <is>
          <t>N</t>
        </is>
      </c>
      <c r="E358" t="inlineStr">
        <is>
          <t>SR 1675</t>
        </is>
      </c>
      <c r="F358" t="inlineStr">
        <is>
          <t>GRASSY</t>
        </is>
      </c>
      <c r="G358" t="inlineStr">
        <is>
          <t>SR 1001</t>
        </is>
      </c>
      <c r="H358">
        <v>6.165</v>
      </c>
      <c r="J358">
        <v>105545920</v>
      </c>
      <c r="K358" t="inlineStr">
        <is>
          <t>7/18/2018</t>
        </is>
      </c>
      <c r="L358">
        <v>24</v>
      </c>
      <c r="M358">
        <v>1</v>
      </c>
      <c r="N358">
        <v>5</v>
      </c>
      <c r="O358">
        <v>1</v>
      </c>
      <c r="P358" t="inlineStr">
        <is>
          <t>O</t>
        </is>
      </c>
    </row>
    <row r="359">
      <c r="A359" t="inlineStr">
        <is>
          <t>558</t>
        </is>
      </c>
      <c r="B359" t="inlineStr">
        <is>
          <t>LOVE MILL</t>
        </is>
      </c>
      <c r="C359">
        <v>0.21</v>
      </c>
      <c r="D359" t="inlineStr">
        <is>
          <t>NE</t>
        </is>
      </c>
      <c r="E359" t="inlineStr">
        <is>
          <t>BRASSWELL RUSHING</t>
        </is>
      </c>
      <c r="F359" t="inlineStr">
        <is>
          <t>GRASSY</t>
        </is>
      </c>
      <c r="G359" t="inlineStr">
        <is>
          <t>SR 1001</t>
        </is>
      </c>
      <c r="H359">
        <v>6.175</v>
      </c>
      <c r="J359">
        <v>104863234</v>
      </c>
      <c r="K359" t="inlineStr">
        <is>
          <t>9/23/2016</t>
        </is>
      </c>
      <c r="L359">
        <v>19</v>
      </c>
      <c r="M359">
        <v>1</v>
      </c>
      <c r="N359">
        <v>0</v>
      </c>
      <c r="O359">
        <v>6</v>
      </c>
      <c r="P359" t="inlineStr">
        <is>
          <t>C</t>
        </is>
      </c>
    </row>
    <row r="360">
      <c r="A360" t="inlineStr">
        <is>
          <t>558</t>
        </is>
      </c>
      <c r="B360" t="inlineStr">
        <is>
          <t>SR 1001</t>
        </is>
      </c>
      <c r="C360">
        <v>0.0</v>
      </c>
      <c r="E360" t="inlineStr">
        <is>
          <t>SR 1654</t>
        </is>
      </c>
      <c r="F360" t="inlineStr">
        <is>
          <t>SR 1653</t>
        </is>
      </c>
      <c r="G360" t="inlineStr">
        <is>
          <t>SR 1001</t>
        </is>
      </c>
      <c r="H360">
        <v>6.231</v>
      </c>
      <c r="J360">
        <v>107363964</v>
      </c>
      <c r="K360" t="inlineStr">
        <is>
          <t>6/12/2023</t>
        </is>
      </c>
      <c r="L360">
        <v>21</v>
      </c>
      <c r="M360">
        <v>1</v>
      </c>
      <c r="N360">
        <v>8</v>
      </c>
      <c r="O360">
        <v>1</v>
      </c>
      <c r="P360" t="inlineStr">
        <is>
          <t>O</t>
        </is>
      </c>
    </row>
    <row r="361">
      <c r="A361" t="inlineStr">
        <is>
          <t>558</t>
        </is>
      </c>
      <c r="B361" t="inlineStr">
        <is>
          <t>SR 1001</t>
        </is>
      </c>
      <c r="C361">
        <v>0.2</v>
      </c>
      <c r="D361" t="inlineStr">
        <is>
          <t>N</t>
        </is>
      </c>
      <c r="E361" t="inlineStr">
        <is>
          <t>SR 1654</t>
        </is>
      </c>
      <c r="F361" t="inlineStr">
        <is>
          <t>SR 1653</t>
        </is>
      </c>
      <c r="G361" t="inlineStr">
        <is>
          <t>SR 1001</t>
        </is>
      </c>
      <c r="H361">
        <v>6.431</v>
      </c>
      <c r="J361">
        <v>108050644</v>
      </c>
      <c r="K361" t="inlineStr">
        <is>
          <t>3/16/2025</t>
        </is>
      </c>
      <c r="L361">
        <v>19</v>
      </c>
      <c r="M361">
        <v>1</v>
      </c>
      <c r="N361">
        <v>0</v>
      </c>
      <c r="O361">
        <v>1</v>
      </c>
      <c r="P361" t="inlineStr">
        <is>
          <t>O</t>
        </is>
      </c>
      <c r="Q361">
        <v>35.113697</v>
      </c>
      <c r="R361">
        <v>-80.46643</v>
      </c>
      <c r="S361" t="inlineStr">
        <is>
          <t>DMV349CLEANED</t>
        </is>
      </c>
    </row>
    <row r="362">
      <c r="A362" t="inlineStr">
        <is>
          <t>0</t>
        </is>
      </c>
      <c r="B362" t="inlineStr">
        <is>
          <t>SR 1001</t>
        </is>
      </c>
      <c r="C362">
        <v>0.23</v>
      </c>
      <c r="D362" t="inlineStr">
        <is>
          <t>N</t>
        </is>
      </c>
      <c r="E362" t="inlineStr">
        <is>
          <t>SR 1654</t>
        </is>
      </c>
      <c r="F362" t="inlineStr">
        <is>
          <t>SR 1658</t>
        </is>
      </c>
      <c r="G362" t="inlineStr">
        <is>
          <t>SR 1001</t>
        </is>
      </c>
      <c r="H362">
        <v>6.461</v>
      </c>
      <c r="J362">
        <v>105156270</v>
      </c>
      <c r="K362" t="inlineStr">
        <is>
          <t>7/1/2017</t>
        </is>
      </c>
      <c r="L362">
        <v>18</v>
      </c>
      <c r="M362">
        <v>1</v>
      </c>
      <c r="N362">
        <v>0</v>
      </c>
      <c r="O362">
        <v>3</v>
      </c>
      <c r="P362" t="inlineStr">
        <is>
          <t>C</t>
        </is>
      </c>
    </row>
    <row r="363">
      <c r="A363" t="inlineStr">
        <is>
          <t>0</t>
        </is>
      </c>
      <c r="B363" t="inlineStr">
        <is>
          <t>SR 1001</t>
        </is>
      </c>
      <c r="C363">
        <v>0.22</v>
      </c>
      <c r="D363" t="inlineStr">
        <is>
          <t>SE</t>
        </is>
      </c>
      <c r="E363" t="inlineStr">
        <is>
          <t>SR 1653</t>
        </is>
      </c>
      <c r="F363" t="inlineStr">
        <is>
          <t>SR 1654</t>
        </is>
      </c>
      <c r="G363" t="inlineStr">
        <is>
          <t>SR 1001</t>
        </is>
      </c>
      <c r="H363">
        <v>6.47</v>
      </c>
      <c r="J363">
        <v>108275804</v>
      </c>
      <c r="K363" t="inlineStr">
        <is>
          <t>10/19/2025</t>
        </is>
      </c>
      <c r="L363">
        <v>19</v>
      </c>
      <c r="M363">
        <v>1</v>
      </c>
      <c r="N363">
        <v>0</v>
      </c>
      <c r="O363">
        <v>1</v>
      </c>
      <c r="P363" t="inlineStr">
        <is>
          <t>O</t>
        </is>
      </c>
      <c r="Q363">
        <v>35.11388</v>
      </c>
      <c r="R363">
        <v>-80.46619</v>
      </c>
      <c r="S363" t="inlineStr">
        <is>
          <t>DMV349CLEANED</t>
        </is>
      </c>
    </row>
    <row r="364">
      <c r="A364" t="inlineStr">
        <is>
          <t>0</t>
        </is>
      </c>
      <c r="B364" t="inlineStr">
        <is>
          <t>SR 1001</t>
        </is>
      </c>
      <c r="C364">
        <v>0.2</v>
      </c>
      <c r="D364" t="inlineStr">
        <is>
          <t>SW</t>
        </is>
      </c>
      <c r="E364" t="inlineStr">
        <is>
          <t>SR 1653</t>
        </is>
      </c>
      <c r="F364" t="inlineStr">
        <is>
          <t>SR 1654</t>
        </is>
      </c>
      <c r="G364" t="inlineStr">
        <is>
          <t>SR 1001</t>
        </is>
      </c>
      <c r="H364">
        <v>6.49</v>
      </c>
      <c r="J364">
        <v>105046828</v>
      </c>
      <c r="K364" t="inlineStr">
        <is>
          <t>3/20/2017</t>
        </is>
      </c>
      <c r="L364">
        <v>19</v>
      </c>
      <c r="M364">
        <v>1</v>
      </c>
      <c r="N364">
        <v>0</v>
      </c>
      <c r="O364">
        <v>1</v>
      </c>
    </row>
    <row r="365">
      <c r="A365" t="inlineStr">
        <is>
          <t>558</t>
        </is>
      </c>
      <c r="B365" t="inlineStr">
        <is>
          <t>LOVE MILL</t>
        </is>
      </c>
      <c r="C365">
        <v>0.0</v>
      </c>
      <c r="E365" t="inlineStr">
        <is>
          <t>ZEBULON WILLIAMS</t>
        </is>
      </c>
      <c r="F365" t="inlineStr">
        <is>
          <t>*LCL AGR NANCE ROAD</t>
        </is>
      </c>
      <c r="G365" t="inlineStr">
        <is>
          <t>SR 1001</t>
        </is>
      </c>
      <c r="H365">
        <v>6.69</v>
      </c>
      <c r="J365">
        <v>107319519</v>
      </c>
      <c r="K365" t="inlineStr">
        <is>
          <t>3/20/2023</t>
        </is>
      </c>
      <c r="L365">
        <v>23</v>
      </c>
      <c r="M365">
        <v>1</v>
      </c>
      <c r="N365">
        <v>8</v>
      </c>
      <c r="O365">
        <v>1</v>
      </c>
      <c r="P365" t="inlineStr">
        <is>
          <t>C</t>
        </is>
      </c>
    </row>
    <row r="366">
      <c r="A366" t="inlineStr">
        <is>
          <t>0</t>
        </is>
      </c>
      <c r="B366" t="inlineStr">
        <is>
          <t>SR 1001</t>
        </is>
      </c>
      <c r="C366">
        <v>0.0</v>
      </c>
      <c r="E366" t="inlineStr">
        <is>
          <t>SR 1653</t>
        </is>
      </c>
      <c r="F366" t="inlineStr">
        <is>
          <t>SR 1654</t>
        </is>
      </c>
      <c r="G366" t="inlineStr">
        <is>
          <t>SR 1001</t>
        </is>
      </c>
      <c r="H366">
        <v>6.69</v>
      </c>
      <c r="J366">
        <v>106620818</v>
      </c>
      <c r="K366" t="inlineStr">
        <is>
          <t>6/25/2021</t>
        </is>
      </c>
      <c r="L366">
        <v>24</v>
      </c>
      <c r="M366">
        <v>1</v>
      </c>
      <c r="N366">
        <v>8</v>
      </c>
      <c r="O366">
        <v>1</v>
      </c>
      <c r="P366" t="inlineStr">
        <is>
          <t>B</t>
        </is>
      </c>
    </row>
    <row r="367">
      <c r="A367" t="inlineStr">
        <is>
          <t>558</t>
        </is>
      </c>
      <c r="B367" t="inlineStr">
        <is>
          <t>SR 1001</t>
        </is>
      </c>
      <c r="C367">
        <v>0.002</v>
      </c>
      <c r="D367" t="inlineStr">
        <is>
          <t>N</t>
        </is>
      </c>
      <c r="E367" t="inlineStr">
        <is>
          <t>SR 1653</t>
        </is>
      </c>
      <c r="F367" t="inlineStr">
        <is>
          <t>SR 1655</t>
        </is>
      </c>
      <c r="G367" t="inlineStr">
        <is>
          <t>SR 1001</t>
        </is>
      </c>
      <c r="H367">
        <v>6.692</v>
      </c>
      <c r="J367">
        <v>107684157</v>
      </c>
      <c r="K367" t="inlineStr">
        <is>
          <t>4/11/2024</t>
        </is>
      </c>
      <c r="L367">
        <v>21</v>
      </c>
      <c r="M367">
        <v>1</v>
      </c>
      <c r="N367">
        <v>5</v>
      </c>
      <c r="O367">
        <v>1</v>
      </c>
      <c r="P367" t="inlineStr">
        <is>
          <t>O</t>
        </is>
      </c>
      <c r="Q367">
        <v>35.11676</v>
      </c>
      <c r="R367">
        <v>-80.4641</v>
      </c>
      <c r="S367" t="inlineStr">
        <is>
          <t>DMV349CLEANED</t>
        </is>
      </c>
    </row>
    <row r="368">
      <c r="A368" t="inlineStr">
        <is>
          <t>558</t>
        </is>
      </c>
      <c r="B368" t="inlineStr">
        <is>
          <t>SR 1001</t>
        </is>
      </c>
      <c r="C368">
        <v>0.016</v>
      </c>
      <c r="D368" t="inlineStr">
        <is>
          <t>N</t>
        </is>
      </c>
      <c r="E368" t="inlineStr">
        <is>
          <t>SR 1653</t>
        </is>
      </c>
      <c r="F368" t="inlineStr">
        <is>
          <t>NC 218</t>
        </is>
      </c>
      <c r="G368" t="inlineStr">
        <is>
          <t>SR 1001</t>
        </is>
      </c>
      <c r="H368">
        <v>6.706</v>
      </c>
      <c r="J368">
        <v>106263795</v>
      </c>
      <c r="K368" t="inlineStr">
        <is>
          <t>6/30/2020</t>
        </is>
      </c>
      <c r="L368">
        <v>19</v>
      </c>
      <c r="M368">
        <v>1</v>
      </c>
      <c r="N368">
        <v>0</v>
      </c>
      <c r="O368">
        <v>1</v>
      </c>
      <c r="P368" t="inlineStr">
        <is>
          <t>O</t>
        </is>
      </c>
    </row>
    <row r="369">
      <c r="A369" t="inlineStr">
        <is>
          <t>0</t>
        </is>
      </c>
      <c r="B369" t="inlineStr">
        <is>
          <t>SR 1001</t>
        </is>
      </c>
      <c r="C369">
        <v>0.5</v>
      </c>
      <c r="D369" t="inlineStr">
        <is>
          <t>N</t>
        </is>
      </c>
      <c r="E369" t="inlineStr">
        <is>
          <t>AGR NANCE</t>
        </is>
      </c>
      <c r="F369" t="inlineStr">
        <is>
          <t>ZEBULON WILLIAMS</t>
        </is>
      </c>
      <c r="G369" t="inlineStr">
        <is>
          <t>SR 1001</t>
        </is>
      </c>
      <c r="H369">
        <v>6.731</v>
      </c>
      <c r="J369">
        <v>105635077</v>
      </c>
      <c r="K369" t="inlineStr">
        <is>
          <t>10/11/2018</t>
        </is>
      </c>
      <c r="L369">
        <v>17</v>
      </c>
      <c r="M369">
        <v>1</v>
      </c>
      <c r="N369">
        <v>0</v>
      </c>
      <c r="O369">
        <v>5</v>
      </c>
      <c r="P369" t="inlineStr">
        <is>
          <t>O</t>
        </is>
      </c>
    </row>
    <row r="370">
      <c r="A370" t="inlineStr">
        <is>
          <t>558</t>
        </is>
      </c>
      <c r="B370" t="inlineStr">
        <is>
          <t>LOVE MILL</t>
        </is>
      </c>
      <c r="C370">
        <v>0.058</v>
      </c>
      <c r="D370" t="inlineStr">
        <is>
          <t>N</t>
        </is>
      </c>
      <c r="E370" t="inlineStr">
        <is>
          <t>ZEBULON WILLIAMS</t>
        </is>
      </c>
      <c r="F370" t="inlineStr">
        <is>
          <t>HAGLER</t>
        </is>
      </c>
      <c r="G370" t="inlineStr">
        <is>
          <t>SR 1001</t>
        </is>
      </c>
      <c r="H370">
        <v>6.748</v>
      </c>
      <c r="J370">
        <v>107006747</v>
      </c>
      <c r="K370" t="inlineStr">
        <is>
          <t>7/5/2022</t>
        </is>
      </c>
      <c r="L370">
        <v>29</v>
      </c>
      <c r="M370">
        <v>1</v>
      </c>
      <c r="N370">
        <v>0</v>
      </c>
      <c r="O370">
        <v>1</v>
      </c>
      <c r="P370" t="inlineStr">
        <is>
          <t>C</t>
        </is>
      </c>
    </row>
    <row r="371">
      <c r="A371" t="inlineStr">
        <is>
          <t>637</t>
        </is>
      </c>
      <c r="B371" t="inlineStr">
        <is>
          <t>SR 1001</t>
        </is>
      </c>
      <c r="C371">
        <v>0.9</v>
      </c>
      <c r="D371" t="inlineStr">
        <is>
          <t>N</t>
        </is>
      </c>
      <c r="E371" t="inlineStr">
        <is>
          <t>SR 1654</t>
        </is>
      </c>
      <c r="F371" t="inlineStr">
        <is>
          <t>SR 1610</t>
        </is>
      </c>
      <c r="G371" t="inlineStr">
        <is>
          <t>SR 1001</t>
        </is>
      </c>
      <c r="H371">
        <v>7.131</v>
      </c>
      <c r="J371">
        <v>105778686</v>
      </c>
      <c r="K371" t="inlineStr">
        <is>
          <t>2/11/2019</t>
        </is>
      </c>
      <c r="L371">
        <v>5</v>
      </c>
      <c r="M371">
        <v>2</v>
      </c>
      <c r="N371">
        <v>0</v>
      </c>
      <c r="O371">
        <v>1</v>
      </c>
      <c r="P371" t="inlineStr">
        <is>
          <t>C</t>
        </is>
      </c>
    </row>
    <row r="372">
      <c r="A372" t="inlineStr">
        <is>
          <t>558</t>
        </is>
      </c>
      <c r="B372" t="inlineStr">
        <is>
          <t>SR 1001</t>
        </is>
      </c>
      <c r="C372">
        <v>0.0</v>
      </c>
      <c r="E372" t="inlineStr">
        <is>
          <t>SR 1655</t>
        </is>
      </c>
      <c r="F372" t="inlineStr">
        <is>
          <t>SR 1656</t>
        </is>
      </c>
      <c r="G372" t="inlineStr">
        <is>
          <t>SR 1001</t>
        </is>
      </c>
      <c r="H372">
        <v>7.256</v>
      </c>
      <c r="J372">
        <v>107575087</v>
      </c>
      <c r="K372" t="inlineStr">
        <is>
          <t>12/22/2023</t>
        </is>
      </c>
      <c r="L372">
        <v>24</v>
      </c>
      <c r="M372">
        <v>1</v>
      </c>
      <c r="N372">
        <v>8</v>
      </c>
      <c r="O372">
        <v>5</v>
      </c>
      <c r="P372" t="inlineStr">
        <is>
          <t>O</t>
        </is>
      </c>
      <c r="Q372">
        <v>35.12313</v>
      </c>
      <c r="R372">
        <v>-80.45792</v>
      </c>
      <c r="S372" t="inlineStr">
        <is>
          <t>DMV349CLEANED</t>
        </is>
      </c>
    </row>
    <row r="373">
      <c r="A373" t="inlineStr">
        <is>
          <t>0</t>
        </is>
      </c>
      <c r="B373" t="inlineStr">
        <is>
          <t>SR 1001</t>
        </is>
      </c>
      <c r="C373">
        <v>0.0</v>
      </c>
      <c r="E373" t="inlineStr">
        <is>
          <t>SR 1655</t>
        </is>
      </c>
      <c r="F373" t="inlineStr">
        <is>
          <t>SR 1656</t>
        </is>
      </c>
      <c r="G373" t="inlineStr">
        <is>
          <t>SR 1001</t>
        </is>
      </c>
      <c r="H373">
        <v>7.256</v>
      </c>
      <c r="J373">
        <v>107127894</v>
      </c>
      <c r="K373" t="inlineStr">
        <is>
          <t>10/28/2022</t>
        </is>
      </c>
      <c r="L373">
        <v>19</v>
      </c>
      <c r="M373">
        <v>1</v>
      </c>
      <c r="N373">
        <v>0</v>
      </c>
      <c r="O373">
        <v>1</v>
      </c>
      <c r="P373" t="inlineStr">
        <is>
          <t>C</t>
        </is>
      </c>
    </row>
    <row r="374">
      <c r="A374" t="inlineStr">
        <is>
          <t>0</t>
        </is>
      </c>
      <c r="B374" t="inlineStr">
        <is>
          <t>SR 1001</t>
        </is>
      </c>
      <c r="C374">
        <v>0.0</v>
      </c>
      <c r="E374" t="inlineStr">
        <is>
          <t>SR 1655</t>
        </is>
      </c>
      <c r="F374" t="inlineStr">
        <is>
          <t>SR 1656</t>
        </is>
      </c>
      <c r="G374" t="inlineStr">
        <is>
          <t>SR 1001</t>
        </is>
      </c>
      <c r="H374">
        <v>7.256</v>
      </c>
      <c r="J374">
        <v>105344475</v>
      </c>
      <c r="K374" t="inlineStr">
        <is>
          <t>1/6/2018</t>
        </is>
      </c>
      <c r="L374">
        <v>27</v>
      </c>
      <c r="M374">
        <v>1</v>
      </c>
      <c r="N374">
        <v>8</v>
      </c>
      <c r="O374">
        <v>1</v>
      </c>
      <c r="P374" t="inlineStr">
        <is>
          <t>C</t>
        </is>
      </c>
    </row>
    <row r="375">
      <c r="A375" t="inlineStr">
        <is>
          <t>0</t>
        </is>
      </c>
      <c r="B375" t="inlineStr">
        <is>
          <t>SR 1001</t>
        </is>
      </c>
      <c r="C375">
        <v>0.0</v>
      </c>
      <c r="E375" t="inlineStr">
        <is>
          <t>SR 1656</t>
        </is>
      </c>
      <c r="F375" t="inlineStr">
        <is>
          <t>SR 1655</t>
        </is>
      </c>
      <c r="G375" t="inlineStr">
        <is>
          <t>SR 1001</t>
        </is>
      </c>
      <c r="H375">
        <v>7.279</v>
      </c>
      <c r="J375">
        <v>106846006</v>
      </c>
      <c r="K375" t="inlineStr">
        <is>
          <t>1/27/2022</t>
        </is>
      </c>
      <c r="L375">
        <v>24</v>
      </c>
      <c r="M375">
        <v>1</v>
      </c>
      <c r="N375">
        <v>8</v>
      </c>
      <c r="O375">
        <v>1</v>
      </c>
      <c r="P375" t="inlineStr">
        <is>
          <t>O</t>
        </is>
      </c>
    </row>
    <row r="376">
      <c r="A376" t="inlineStr">
        <is>
          <t>0</t>
        </is>
      </c>
      <c r="B376" t="inlineStr">
        <is>
          <t>SR 1001</t>
        </is>
      </c>
      <c r="C376">
        <v>0.019</v>
      </c>
      <c r="D376" t="inlineStr">
        <is>
          <t>N</t>
        </is>
      </c>
      <c r="E376" t="inlineStr">
        <is>
          <t>SR 1656</t>
        </is>
      </c>
      <c r="F376" t="inlineStr">
        <is>
          <t>NC 218</t>
        </is>
      </c>
      <c r="G376" t="inlineStr">
        <is>
          <t>SR 1001</t>
        </is>
      </c>
      <c r="H376">
        <v>7.298</v>
      </c>
      <c r="J376">
        <v>105308467</v>
      </c>
      <c r="K376" t="inlineStr">
        <is>
          <t>12/3/2017</t>
        </is>
      </c>
      <c r="L376">
        <v>17</v>
      </c>
      <c r="M376">
        <v>1</v>
      </c>
      <c r="N376">
        <v>8</v>
      </c>
      <c r="O376">
        <v>5</v>
      </c>
      <c r="P376" t="inlineStr">
        <is>
          <t>O</t>
        </is>
      </c>
    </row>
    <row r="377">
      <c r="A377" t="inlineStr">
        <is>
          <t>0</t>
        </is>
      </c>
      <c r="B377" t="inlineStr">
        <is>
          <t>SR 1001</t>
        </is>
      </c>
      <c r="C377">
        <v>0.12</v>
      </c>
      <c r="D377" t="inlineStr">
        <is>
          <t>N</t>
        </is>
      </c>
      <c r="E377" t="inlineStr">
        <is>
          <t>SR 1656</t>
        </is>
      </c>
      <c r="F377" t="inlineStr">
        <is>
          <t>NC 218</t>
        </is>
      </c>
      <c r="G377" t="inlineStr">
        <is>
          <t>SR 1001</t>
        </is>
      </c>
      <c r="H377">
        <v>7.399</v>
      </c>
      <c r="J377">
        <v>108066713</v>
      </c>
      <c r="K377" t="inlineStr">
        <is>
          <t>3/31/2025</t>
        </is>
      </c>
      <c r="L377">
        <v>19</v>
      </c>
      <c r="M377">
        <v>1</v>
      </c>
      <c r="N377">
        <v>0</v>
      </c>
      <c r="O377">
        <v>5</v>
      </c>
      <c r="P377" t="inlineStr">
        <is>
          <t>C</t>
        </is>
      </c>
      <c r="Q377">
        <v>35.12462</v>
      </c>
      <c r="R377">
        <v>-80.45634</v>
      </c>
      <c r="S377" t="inlineStr">
        <is>
          <t>DMV349CLEANED</t>
        </is>
      </c>
    </row>
    <row r="378">
      <c r="A378" t="inlineStr">
        <is>
          <t>0</t>
        </is>
      </c>
      <c r="B378" t="inlineStr">
        <is>
          <t>SR 1001</t>
        </is>
      </c>
      <c r="C378">
        <v>0.4</v>
      </c>
      <c r="D378" t="inlineStr">
        <is>
          <t>S</t>
        </is>
      </c>
      <c r="E378" t="inlineStr">
        <is>
          <t>NC 218</t>
        </is>
      </c>
      <c r="F378" t="inlineStr">
        <is>
          <t>SR 1657</t>
        </is>
      </c>
      <c r="G378" t="inlineStr">
        <is>
          <t>SR 1001</t>
        </is>
      </c>
      <c r="H378">
        <v>7.737</v>
      </c>
      <c r="J378">
        <v>106117344</v>
      </c>
      <c r="K378" t="inlineStr">
        <is>
          <t>1/6/2020</t>
        </is>
      </c>
      <c r="L378">
        <v>19</v>
      </c>
      <c r="M378">
        <v>1</v>
      </c>
      <c r="N378">
        <v>0</v>
      </c>
      <c r="O378">
        <v>5</v>
      </c>
      <c r="P378" t="inlineStr">
        <is>
          <t>O</t>
        </is>
      </c>
    </row>
    <row r="379">
      <c r="A379" t="inlineStr">
        <is>
          <t>0</t>
        </is>
      </c>
      <c r="B379" t="inlineStr">
        <is>
          <t>LOVE MILL</t>
        </is>
      </c>
      <c r="C379">
        <v>1.2</v>
      </c>
      <c r="D379" t="inlineStr">
        <is>
          <t>N</t>
        </is>
      </c>
      <c r="E379" t="inlineStr">
        <is>
          <t>ZEBULON WILLIAMS</t>
        </is>
      </c>
      <c r="F379" t="inlineStr">
        <is>
          <t>CARRIKER</t>
        </is>
      </c>
      <c r="G379" t="inlineStr">
        <is>
          <t>SR 1001</t>
        </is>
      </c>
      <c r="H379">
        <v>7.89</v>
      </c>
      <c r="J379">
        <v>107535604</v>
      </c>
      <c r="K379" t="inlineStr">
        <is>
          <t>11/21/2023</t>
        </is>
      </c>
      <c r="L379">
        <v>17</v>
      </c>
      <c r="M379">
        <v>2</v>
      </c>
      <c r="N379">
        <v>0</v>
      </c>
      <c r="O379">
        <v>5</v>
      </c>
      <c r="P379" t="inlineStr">
        <is>
          <t>O</t>
        </is>
      </c>
    </row>
    <row r="380">
      <c r="A380" t="inlineStr">
        <is>
          <t>558</t>
        </is>
      </c>
      <c r="B380" t="inlineStr">
        <is>
          <t>LOVE MILL</t>
        </is>
      </c>
      <c r="C380">
        <v>0.0</v>
      </c>
      <c r="E380" t="inlineStr">
        <is>
          <t>NC 218</t>
        </is>
      </c>
      <c r="F380" t="inlineStr">
        <is>
          <t>HAGLER</t>
        </is>
      </c>
      <c r="G380" t="inlineStr">
        <is>
          <t>SR 1001</t>
        </is>
      </c>
      <c r="H380">
        <v>8.137</v>
      </c>
      <c r="J380">
        <v>105472692</v>
      </c>
      <c r="K380" t="inlineStr">
        <is>
          <t>5/4/2018</t>
        </is>
      </c>
      <c r="L380">
        <v>21</v>
      </c>
      <c r="M380">
        <v>1</v>
      </c>
      <c r="N380">
        <v>7</v>
      </c>
      <c r="O380">
        <v>1</v>
      </c>
      <c r="P380" t="inlineStr">
        <is>
          <t>O</t>
        </is>
      </c>
    </row>
    <row r="381">
      <c r="A381" t="inlineStr">
        <is>
          <t>0</t>
        </is>
      </c>
      <c r="B381" t="inlineStr">
        <is>
          <t>LOVE MILL</t>
        </is>
      </c>
      <c r="C381">
        <v>0.0</v>
      </c>
      <c r="E381" t="inlineStr">
        <is>
          <t>NC 218</t>
        </is>
      </c>
      <c r="G381" t="inlineStr">
        <is>
          <t>SR 1001</t>
        </is>
      </c>
      <c r="H381">
        <v>8.137</v>
      </c>
      <c r="J381">
        <v>106117028</v>
      </c>
      <c r="K381" t="inlineStr">
        <is>
          <t>1/3/2020</t>
        </is>
      </c>
      <c r="L381">
        <v>30</v>
      </c>
      <c r="M381">
        <v>2</v>
      </c>
      <c r="N381">
        <v>7</v>
      </c>
      <c r="O381">
        <v>1</v>
      </c>
      <c r="P381" t="inlineStr">
        <is>
          <t>C</t>
        </is>
      </c>
    </row>
    <row r="382">
      <c r="A382" t="inlineStr">
        <is>
          <t>0</t>
        </is>
      </c>
      <c r="B382" t="inlineStr">
        <is>
          <t>SR 1001</t>
        </is>
      </c>
      <c r="C382">
        <v>0.0</v>
      </c>
      <c r="E382" t="inlineStr">
        <is>
          <t>NC 218</t>
        </is>
      </c>
      <c r="F382" t="inlineStr">
        <is>
          <t>SR 1639</t>
        </is>
      </c>
      <c r="G382" t="inlineStr">
        <is>
          <t>SR 1001</t>
        </is>
      </c>
      <c r="H382">
        <v>8.137</v>
      </c>
      <c r="J382">
        <v>107423069</v>
      </c>
      <c r="K382" t="inlineStr">
        <is>
          <t>8/11/2023</t>
        </is>
      </c>
      <c r="L382">
        <v>30</v>
      </c>
      <c r="M382">
        <v>1</v>
      </c>
      <c r="N382">
        <v>0</v>
      </c>
      <c r="O382">
        <v>1</v>
      </c>
      <c r="P382" t="inlineStr">
        <is>
          <t>O</t>
        </is>
      </c>
    </row>
    <row r="383">
      <c r="A383" t="inlineStr">
        <is>
          <t>0</t>
        </is>
      </c>
      <c r="B383" t="inlineStr">
        <is>
          <t>SR 1001</t>
        </is>
      </c>
      <c r="C383">
        <v>0.0</v>
      </c>
      <c r="E383" t="inlineStr">
        <is>
          <t>NC 218</t>
        </is>
      </c>
      <c r="F383" t="inlineStr">
        <is>
          <t>NC 200</t>
        </is>
      </c>
      <c r="G383" t="inlineStr">
        <is>
          <t>SR 1001</t>
        </is>
      </c>
      <c r="H383">
        <v>8.137</v>
      </c>
      <c r="J383">
        <v>107384204</v>
      </c>
      <c r="K383" t="inlineStr">
        <is>
          <t>6/30/2023</t>
        </is>
      </c>
      <c r="L383">
        <v>30</v>
      </c>
      <c r="M383">
        <v>1</v>
      </c>
      <c r="N383">
        <v>7</v>
      </c>
      <c r="O383">
        <v>5</v>
      </c>
      <c r="P383" t="inlineStr">
        <is>
          <t>C</t>
        </is>
      </c>
    </row>
    <row r="384">
      <c r="A384" t="inlineStr">
        <is>
          <t>0</t>
        </is>
      </c>
      <c r="B384" t="inlineStr">
        <is>
          <t>SR 1001</t>
        </is>
      </c>
      <c r="C384">
        <v>0.0</v>
      </c>
      <c r="E384" t="inlineStr">
        <is>
          <t>NC 218</t>
        </is>
      </c>
      <c r="F384" t="inlineStr">
        <is>
          <t>SR 1639</t>
        </is>
      </c>
      <c r="G384" t="inlineStr">
        <is>
          <t>SR 1001</t>
        </is>
      </c>
      <c r="H384">
        <v>8.137</v>
      </c>
      <c r="J384">
        <v>107214357</v>
      </c>
      <c r="K384" t="inlineStr">
        <is>
          <t>1/15/2023</t>
        </is>
      </c>
      <c r="L384">
        <v>30</v>
      </c>
      <c r="M384">
        <v>1</v>
      </c>
      <c r="N384">
        <v>7</v>
      </c>
      <c r="O384">
        <v>1</v>
      </c>
      <c r="P384" t="inlineStr">
        <is>
          <t>B</t>
        </is>
      </c>
    </row>
    <row r="385">
      <c r="A385" t="inlineStr">
        <is>
          <t>0</t>
        </is>
      </c>
      <c r="B385" t="inlineStr">
        <is>
          <t>SR 1001</t>
        </is>
      </c>
      <c r="C385">
        <v>0.0</v>
      </c>
      <c r="E385" t="inlineStr">
        <is>
          <t>NC 218</t>
        </is>
      </c>
      <c r="F385" t="inlineStr">
        <is>
          <t>SR 1655</t>
        </is>
      </c>
      <c r="G385" t="inlineStr">
        <is>
          <t>SR 1001</t>
        </is>
      </c>
      <c r="H385">
        <v>8.137</v>
      </c>
      <c r="J385">
        <v>105414167</v>
      </c>
      <c r="K385" t="inlineStr">
        <is>
          <t>2/23/2018</t>
        </is>
      </c>
      <c r="L385">
        <v>23</v>
      </c>
      <c r="M385">
        <v>1</v>
      </c>
      <c r="N385">
        <v>7</v>
      </c>
      <c r="O385">
        <v>5</v>
      </c>
      <c r="P385" t="inlineStr">
        <is>
          <t>O</t>
        </is>
      </c>
    </row>
    <row r="386">
      <c r="A386" t="inlineStr">
        <is>
          <t>0</t>
        </is>
      </c>
      <c r="B386" t="inlineStr">
        <is>
          <t>SR 1001</t>
        </is>
      </c>
      <c r="C386">
        <v>0.0</v>
      </c>
      <c r="E386" t="inlineStr">
        <is>
          <t>NC 218</t>
        </is>
      </c>
      <c r="F386" t="inlineStr">
        <is>
          <t>SR 1547</t>
        </is>
      </c>
      <c r="G386" t="inlineStr">
        <is>
          <t>SR 1001</t>
        </is>
      </c>
      <c r="H386">
        <v>8.137</v>
      </c>
      <c r="J386">
        <v>107456725</v>
      </c>
      <c r="K386" t="inlineStr">
        <is>
          <t>9/12/2023</t>
        </is>
      </c>
      <c r="L386">
        <v>30</v>
      </c>
      <c r="M386">
        <v>1</v>
      </c>
      <c r="N386">
        <v>7</v>
      </c>
      <c r="O386">
        <v>1</v>
      </c>
      <c r="P386" t="inlineStr">
        <is>
          <t>C</t>
        </is>
      </c>
    </row>
    <row r="387">
      <c r="A387" t="inlineStr">
        <is>
          <t>558</t>
        </is>
      </c>
      <c r="B387" t="inlineStr">
        <is>
          <t>SR 1001</t>
        </is>
      </c>
      <c r="C387">
        <v>0.3</v>
      </c>
      <c r="D387" t="inlineStr">
        <is>
          <t>N</t>
        </is>
      </c>
      <c r="E387" t="inlineStr">
        <is>
          <t>NC 218</t>
        </is>
      </c>
      <c r="F387" t="inlineStr">
        <is>
          <t>SR 1547</t>
        </is>
      </c>
      <c r="G387" t="inlineStr">
        <is>
          <t>SR 1001</t>
        </is>
      </c>
      <c r="H387">
        <v>8.437</v>
      </c>
      <c r="J387">
        <v>105838344</v>
      </c>
      <c r="K387" t="inlineStr">
        <is>
          <t>4/18/2019</t>
        </is>
      </c>
      <c r="L387">
        <v>17</v>
      </c>
      <c r="M387">
        <v>1</v>
      </c>
      <c r="N387">
        <v>0</v>
      </c>
      <c r="O387">
        <v>5</v>
      </c>
      <c r="P387" t="inlineStr">
        <is>
          <t>O</t>
        </is>
      </c>
    </row>
    <row r="388">
      <c r="A388" t="inlineStr">
        <is>
          <t>0</t>
        </is>
      </c>
      <c r="B388" t="inlineStr">
        <is>
          <t>SR 1001</t>
        </is>
      </c>
      <c r="C388">
        <v>0.0</v>
      </c>
      <c r="E388" t="inlineStr">
        <is>
          <t>SR 1639</t>
        </is>
      </c>
      <c r="F388" t="inlineStr">
        <is>
          <t>NC 218</t>
        </is>
      </c>
      <c r="G388" t="inlineStr">
        <is>
          <t>SR 1001</t>
        </is>
      </c>
      <c r="H388">
        <v>8.536</v>
      </c>
      <c r="J388">
        <v>108145851</v>
      </c>
      <c r="K388" t="inlineStr">
        <is>
          <t>6/14/2025</t>
        </is>
      </c>
      <c r="L388">
        <v>17</v>
      </c>
      <c r="M388">
        <v>1</v>
      </c>
      <c r="N388">
        <v>0</v>
      </c>
      <c r="O388">
        <v>5</v>
      </c>
      <c r="P388" t="inlineStr">
        <is>
          <t>O</t>
        </is>
      </c>
      <c r="Q388">
        <v>35.138995</v>
      </c>
      <c r="R388">
        <v>-80.44653</v>
      </c>
      <c r="S388" t="inlineStr">
        <is>
          <t>DMV349CLEANED</t>
        </is>
      </c>
    </row>
    <row r="389">
      <c r="A389" t="inlineStr">
        <is>
          <t>0</t>
        </is>
      </c>
      <c r="B389" t="inlineStr">
        <is>
          <t>SR 1001</t>
        </is>
      </c>
      <c r="C389">
        <v>0.0</v>
      </c>
      <c r="E389" t="inlineStr">
        <is>
          <t>SR 1639</t>
        </is>
      </c>
      <c r="F389" t="inlineStr">
        <is>
          <t>NC 218</t>
        </is>
      </c>
      <c r="G389" t="inlineStr">
        <is>
          <t>SR 1001</t>
        </is>
      </c>
      <c r="H389">
        <v>8.536</v>
      </c>
      <c r="J389">
        <v>107852234</v>
      </c>
      <c r="K389" t="inlineStr">
        <is>
          <t>9/14/2024</t>
        </is>
      </c>
      <c r="L389">
        <v>14</v>
      </c>
      <c r="M389">
        <v>1</v>
      </c>
      <c r="N389">
        <v>0</v>
      </c>
      <c r="O389">
        <v>5</v>
      </c>
      <c r="P389" t="inlineStr">
        <is>
          <t>A</t>
        </is>
      </c>
      <c r="Q389">
        <v>35.139131</v>
      </c>
      <c r="R389">
        <v>-80.446384</v>
      </c>
      <c r="S389" t="inlineStr">
        <is>
          <t>VHB_PEDBIKE</t>
        </is>
      </c>
    </row>
    <row r="390">
      <c r="A390" t="inlineStr">
        <is>
          <t>637</t>
        </is>
      </c>
      <c r="B390" t="inlineStr">
        <is>
          <t>SR 1001</t>
        </is>
      </c>
      <c r="C390">
        <v>0.1</v>
      </c>
      <c r="D390" t="inlineStr">
        <is>
          <t>S</t>
        </is>
      </c>
      <c r="E390" t="inlineStr">
        <is>
          <t>SR 1663</t>
        </is>
      </c>
      <c r="F390" t="inlineStr">
        <is>
          <t>SR 1639</t>
        </is>
      </c>
      <c r="G390" t="inlineStr">
        <is>
          <t>SR 1001</t>
        </is>
      </c>
      <c r="H390">
        <v>8.549</v>
      </c>
      <c r="J390">
        <v>106934042</v>
      </c>
      <c r="K390" t="inlineStr">
        <is>
          <t>4/25/2022</t>
        </is>
      </c>
      <c r="L390">
        <v>5</v>
      </c>
      <c r="M390">
        <v>1</v>
      </c>
      <c r="N390">
        <v>0</v>
      </c>
      <c r="O390">
        <v>1</v>
      </c>
      <c r="P390" t="inlineStr">
        <is>
          <t>C</t>
        </is>
      </c>
    </row>
    <row r="391">
      <c r="A391" t="inlineStr">
        <is>
          <t>650</t>
        </is>
      </c>
      <c r="B391" t="inlineStr">
        <is>
          <t>LOVE MILL</t>
        </is>
      </c>
      <c r="C391">
        <v>0.026</v>
      </c>
      <c r="D391" t="inlineStr">
        <is>
          <t>S</t>
        </is>
      </c>
      <c r="E391" t="inlineStr">
        <is>
          <t>GREEN</t>
        </is>
      </c>
      <c r="F391" t="inlineStr">
        <is>
          <t>SANTA CLAUS</t>
        </is>
      </c>
      <c r="G391" t="inlineStr">
        <is>
          <t>SR 1001</t>
        </is>
      </c>
      <c r="H391">
        <v>8.623</v>
      </c>
      <c r="J391">
        <v>106457925</v>
      </c>
      <c r="K391" t="inlineStr">
        <is>
          <t>1/7/2021</t>
        </is>
      </c>
      <c r="L391">
        <v>5</v>
      </c>
      <c r="M391">
        <v>1</v>
      </c>
      <c r="N391">
        <v>0</v>
      </c>
      <c r="O391">
        <v>1</v>
      </c>
      <c r="P391" t="inlineStr">
        <is>
          <t>C</t>
        </is>
      </c>
    </row>
    <row r="392">
      <c r="A392" t="inlineStr">
        <is>
          <t>650</t>
        </is>
      </c>
      <c r="B392" t="inlineStr">
        <is>
          <t>SR 1001</t>
        </is>
      </c>
      <c r="C392">
        <v>0.5</v>
      </c>
      <c r="D392" t="inlineStr">
        <is>
          <t>N</t>
        </is>
      </c>
      <c r="E392" t="inlineStr">
        <is>
          <t>NC 218</t>
        </is>
      </c>
      <c r="F392" t="inlineStr">
        <is>
          <t>SR 1639</t>
        </is>
      </c>
      <c r="G392" t="inlineStr">
        <is>
          <t>SR 1001</t>
        </is>
      </c>
      <c r="H392">
        <v>8.637</v>
      </c>
      <c r="J392">
        <v>104740509</v>
      </c>
      <c r="K392" t="inlineStr">
        <is>
          <t>5/9/2016</t>
        </is>
      </c>
      <c r="L392">
        <v>1</v>
      </c>
      <c r="M392">
        <v>1</v>
      </c>
      <c r="N392">
        <v>0</v>
      </c>
      <c r="O392">
        <v>1</v>
      </c>
      <c r="P392" t="inlineStr">
        <is>
          <t>O</t>
        </is>
      </c>
    </row>
    <row r="393">
      <c r="A393" t="inlineStr">
        <is>
          <t>0</t>
        </is>
      </c>
      <c r="B393" t="inlineStr">
        <is>
          <t>SR 1001</t>
        </is>
      </c>
      <c r="C393">
        <v>0.009</v>
      </c>
      <c r="D393" t="inlineStr">
        <is>
          <t>E</t>
        </is>
      </c>
      <c r="E393" t="inlineStr">
        <is>
          <t>SR 1663</t>
        </is>
      </c>
      <c r="F393" t="inlineStr">
        <is>
          <t>NC 218</t>
        </is>
      </c>
      <c r="G393" t="inlineStr">
        <is>
          <t>SR 1001</t>
        </is>
      </c>
      <c r="H393">
        <v>8.658</v>
      </c>
      <c r="J393">
        <v>107330783</v>
      </c>
      <c r="K393" t="inlineStr">
        <is>
          <t>5/6/2023</t>
        </is>
      </c>
      <c r="L393">
        <v>17</v>
      </c>
      <c r="M393">
        <v>1</v>
      </c>
      <c r="N393">
        <v>0</v>
      </c>
      <c r="O393">
        <v>5</v>
      </c>
      <c r="P393" t="inlineStr">
        <is>
          <t>O</t>
        </is>
      </c>
    </row>
    <row r="394">
      <c r="A394" t="inlineStr">
        <is>
          <t>650</t>
        </is>
      </c>
      <c r="B394" t="inlineStr">
        <is>
          <t>SR 1001</t>
        </is>
      </c>
      <c r="C394">
        <v>0.1</v>
      </c>
      <c r="D394" t="inlineStr">
        <is>
          <t>N</t>
        </is>
      </c>
      <c r="E394" t="inlineStr">
        <is>
          <t>SR 1663</t>
        </is>
      </c>
      <c r="F394" t="inlineStr">
        <is>
          <t>SR 1664</t>
        </is>
      </c>
      <c r="G394" t="inlineStr">
        <is>
          <t>SR 1001</t>
        </is>
      </c>
      <c r="H394">
        <v>8.749</v>
      </c>
      <c r="J394">
        <v>105964117</v>
      </c>
      <c r="K394" t="inlineStr">
        <is>
          <t>8/13/2019</t>
        </is>
      </c>
      <c r="L394">
        <v>19</v>
      </c>
      <c r="M394">
        <v>2</v>
      </c>
      <c r="N394">
        <v>0</v>
      </c>
      <c r="O394">
        <v>1</v>
      </c>
      <c r="P394" t="inlineStr">
        <is>
          <t>O</t>
        </is>
      </c>
    </row>
    <row r="395">
      <c r="A395" t="inlineStr">
        <is>
          <t>0</t>
        </is>
      </c>
      <c r="B395" t="inlineStr">
        <is>
          <t>SR 1001</t>
        </is>
      </c>
      <c r="C395">
        <v>0.8</v>
      </c>
      <c r="D395" t="inlineStr">
        <is>
          <t>S</t>
        </is>
      </c>
      <c r="E395" t="inlineStr">
        <is>
          <t>SR 1664</t>
        </is>
      </c>
      <c r="F395" t="inlineStr">
        <is>
          <t>SR 1663</t>
        </is>
      </c>
      <c r="G395" t="inlineStr">
        <is>
          <t>SR 1001</t>
        </is>
      </c>
      <c r="H395">
        <v>8.845</v>
      </c>
      <c r="J395">
        <v>106283239</v>
      </c>
      <c r="K395" t="inlineStr">
        <is>
          <t>7/21/2020</t>
        </is>
      </c>
      <c r="L395">
        <v>29</v>
      </c>
      <c r="M395">
        <v>1</v>
      </c>
      <c r="N395">
        <v>0</v>
      </c>
      <c r="O395">
        <v>1</v>
      </c>
      <c r="P395" t="inlineStr">
        <is>
          <t>O</t>
        </is>
      </c>
    </row>
    <row r="396">
      <c r="A396" t="inlineStr">
        <is>
          <t>0</t>
        </is>
      </c>
      <c r="B396" t="inlineStr">
        <is>
          <t>SR 1001</t>
        </is>
      </c>
      <c r="C396">
        <v>0.75</v>
      </c>
      <c r="D396" t="inlineStr">
        <is>
          <t>N</t>
        </is>
      </c>
      <c r="E396" t="inlineStr">
        <is>
          <t>NC 218</t>
        </is>
      </c>
      <c r="F396" t="inlineStr">
        <is>
          <t>SANTA CLAUS</t>
        </is>
      </c>
      <c r="G396" t="inlineStr">
        <is>
          <t>SR 1001</t>
        </is>
      </c>
      <c r="H396">
        <v>8.887</v>
      </c>
      <c r="J396">
        <v>105604627</v>
      </c>
      <c r="K396" t="inlineStr">
        <is>
          <t>9/16/2018</t>
        </is>
      </c>
      <c r="L396">
        <v>18</v>
      </c>
      <c r="M396">
        <v>2</v>
      </c>
      <c r="N396">
        <v>0</v>
      </c>
      <c r="O396">
        <v>5</v>
      </c>
      <c r="P396" t="inlineStr">
        <is>
          <t>O</t>
        </is>
      </c>
    </row>
    <row r="397">
      <c r="A397" t="inlineStr">
        <is>
          <t>0</t>
        </is>
      </c>
      <c r="B397" t="inlineStr">
        <is>
          <t>SR 1001</t>
        </is>
      </c>
      <c r="C397">
        <v>0.25</v>
      </c>
      <c r="D397" t="inlineStr">
        <is>
          <t>N</t>
        </is>
      </c>
      <c r="E397" t="inlineStr">
        <is>
          <t>SR 1663</t>
        </is>
      </c>
      <c r="F397" t="inlineStr">
        <is>
          <t>SR 1664</t>
        </is>
      </c>
      <c r="G397" t="inlineStr">
        <is>
          <t>SR 1001</t>
        </is>
      </c>
      <c r="H397">
        <v>8.899</v>
      </c>
      <c r="J397">
        <v>107069209</v>
      </c>
      <c r="K397" t="inlineStr">
        <is>
          <t>9/1/2022</t>
        </is>
      </c>
      <c r="L397">
        <v>17</v>
      </c>
      <c r="M397">
        <v>1</v>
      </c>
      <c r="N397">
        <v>0</v>
      </c>
      <c r="O397">
        <v>5</v>
      </c>
      <c r="P397" t="inlineStr">
        <is>
          <t>O</t>
        </is>
      </c>
    </row>
    <row r="398">
      <c r="A398" t="inlineStr">
        <is>
          <t>650</t>
        </is>
      </c>
      <c r="B398" t="inlineStr">
        <is>
          <t>SR 1001</t>
        </is>
      </c>
      <c r="C398">
        <v>1.0</v>
      </c>
      <c r="D398" t="inlineStr">
        <is>
          <t>N</t>
        </is>
      </c>
      <c r="E398" t="inlineStr">
        <is>
          <t>NC 218</t>
        </is>
      </c>
      <c r="F398" t="inlineStr">
        <is>
          <t>SR 1664</t>
        </is>
      </c>
      <c r="G398" t="inlineStr">
        <is>
          <t>SR 1001</t>
        </is>
      </c>
      <c r="H398">
        <v>9.137</v>
      </c>
      <c r="J398">
        <v>106286245</v>
      </c>
      <c r="K398" t="inlineStr">
        <is>
          <t>7/21/2020</t>
        </is>
      </c>
      <c r="L398">
        <v>17</v>
      </c>
      <c r="M398">
        <v>1</v>
      </c>
      <c r="N398">
        <v>0</v>
      </c>
      <c r="O398">
        <v>1</v>
      </c>
      <c r="P398" t="inlineStr">
        <is>
          <t>O</t>
        </is>
      </c>
    </row>
    <row r="399">
      <c r="A399" t="inlineStr">
        <is>
          <t>0</t>
        </is>
      </c>
      <c r="B399" t="inlineStr">
        <is>
          <t>SR 1001</t>
        </is>
      </c>
      <c r="C399">
        <v>1.0</v>
      </c>
      <c r="D399" t="inlineStr">
        <is>
          <t>NE</t>
        </is>
      </c>
      <c r="E399" t="inlineStr">
        <is>
          <t>NC 218</t>
        </is>
      </c>
      <c r="F399" t="inlineStr">
        <is>
          <t>SR 1639</t>
        </is>
      </c>
      <c r="G399" t="inlineStr">
        <is>
          <t>SR 1001</t>
        </is>
      </c>
      <c r="H399">
        <v>9.137</v>
      </c>
      <c r="J399">
        <v>108021945</v>
      </c>
      <c r="K399" t="inlineStr">
        <is>
          <t>2/2/2025</t>
        </is>
      </c>
      <c r="L399">
        <v>19</v>
      </c>
      <c r="M399">
        <v>1</v>
      </c>
      <c r="N399">
        <v>0</v>
      </c>
      <c r="O399">
        <v>1</v>
      </c>
      <c r="P399" t="inlineStr">
        <is>
          <t>C</t>
        </is>
      </c>
      <c r="Q399">
        <v>35.12502</v>
      </c>
      <c r="R399">
        <v>-80.45609</v>
      </c>
      <c r="S399" t="inlineStr">
        <is>
          <t>DMV349CLEANED</t>
        </is>
      </c>
    </row>
    <row r="400">
      <c r="A400" t="inlineStr">
        <is>
          <t>0</t>
        </is>
      </c>
      <c r="B400" t="inlineStr">
        <is>
          <t>SR 1001</t>
        </is>
      </c>
      <c r="C400">
        <v>0.7</v>
      </c>
      <c r="D400" t="inlineStr">
        <is>
          <t>N</t>
        </is>
      </c>
      <c r="E400" t="inlineStr">
        <is>
          <t>SR 1663</t>
        </is>
      </c>
      <c r="F400" t="inlineStr">
        <is>
          <t>SR 1664</t>
        </is>
      </c>
      <c r="G400" t="inlineStr">
        <is>
          <t>SR 1001</t>
        </is>
      </c>
      <c r="H400">
        <v>9.349</v>
      </c>
      <c r="J400">
        <v>107665486</v>
      </c>
      <c r="K400" t="inlineStr">
        <is>
          <t>3/23/2024</t>
        </is>
      </c>
      <c r="L400">
        <v>17</v>
      </c>
      <c r="M400">
        <v>1</v>
      </c>
      <c r="N400">
        <v>0</v>
      </c>
      <c r="O400">
        <v>5</v>
      </c>
      <c r="P400" t="inlineStr">
        <is>
          <t>O</t>
        </is>
      </c>
      <c r="Q400">
        <v>35.14715</v>
      </c>
      <c r="R400">
        <v>-80.43895</v>
      </c>
      <c r="S400" t="inlineStr">
        <is>
          <t>DMV349CLEANED</t>
        </is>
      </c>
    </row>
    <row r="401">
      <c r="A401" t="inlineStr">
        <is>
          <t>0</t>
        </is>
      </c>
      <c r="B401" t="inlineStr">
        <is>
          <t>SR 1001</t>
        </is>
      </c>
      <c r="C401">
        <v>0.2</v>
      </c>
      <c r="D401" t="inlineStr">
        <is>
          <t>S</t>
        </is>
      </c>
      <c r="E401" t="inlineStr">
        <is>
          <t>SR 1664</t>
        </is>
      </c>
      <c r="F401" t="inlineStr">
        <is>
          <t>SR 1663</t>
        </is>
      </c>
      <c r="G401" t="inlineStr">
        <is>
          <t>SR 1001</t>
        </is>
      </c>
      <c r="H401">
        <v>9.445</v>
      </c>
      <c r="J401">
        <v>108045760</v>
      </c>
      <c r="K401" t="inlineStr">
        <is>
          <t>3/12/2025</t>
        </is>
      </c>
      <c r="L401">
        <v>17</v>
      </c>
      <c r="M401">
        <v>1</v>
      </c>
      <c r="N401">
        <v>0</v>
      </c>
      <c r="O401">
        <v>1</v>
      </c>
      <c r="P401" t="inlineStr">
        <is>
          <t>O</t>
        </is>
      </c>
      <c r="Q401">
        <v>35.147788</v>
      </c>
      <c r="R401">
        <v>-80.43851</v>
      </c>
      <c r="S401" t="inlineStr">
        <is>
          <t>DMV349CLEANED</t>
        </is>
      </c>
    </row>
    <row r="402">
      <c r="A402" t="inlineStr">
        <is>
          <t>0</t>
        </is>
      </c>
      <c r="B402" t="inlineStr">
        <is>
          <t>SR 1001</t>
        </is>
      </c>
      <c r="C402">
        <v>0.11</v>
      </c>
      <c r="D402" t="inlineStr">
        <is>
          <t>S</t>
        </is>
      </c>
      <c r="E402" t="inlineStr">
        <is>
          <t>SR 1664</t>
        </is>
      </c>
      <c r="F402" t="inlineStr">
        <is>
          <t>SR 1663</t>
        </is>
      </c>
      <c r="G402" t="inlineStr">
        <is>
          <t>SR 1001</t>
        </is>
      </c>
      <c r="H402">
        <v>9.535</v>
      </c>
      <c r="J402">
        <v>108001947</v>
      </c>
      <c r="K402" t="inlineStr">
        <is>
          <t>1/24/2025</t>
        </is>
      </c>
      <c r="L402">
        <v>17</v>
      </c>
      <c r="M402">
        <v>1</v>
      </c>
      <c r="N402">
        <v>0</v>
      </c>
      <c r="O402">
        <v>5</v>
      </c>
      <c r="P402" t="inlineStr">
        <is>
          <t>O</t>
        </is>
      </c>
      <c r="Q402">
        <v>35.15048</v>
      </c>
      <c r="R402">
        <v>-80.43733</v>
      </c>
      <c r="S402" t="inlineStr">
        <is>
          <t>DMV349CLEANED</t>
        </is>
      </c>
    </row>
    <row r="403">
      <c r="A403" t="inlineStr">
        <is>
          <t>0</t>
        </is>
      </c>
      <c r="B403" t="inlineStr">
        <is>
          <t>SR 1001</t>
        </is>
      </c>
      <c r="C403">
        <v>0.3</v>
      </c>
      <c r="D403" t="inlineStr">
        <is>
          <t>N</t>
        </is>
      </c>
      <c r="E403" t="inlineStr">
        <is>
          <t>SR 1664</t>
        </is>
      </c>
      <c r="F403" t="inlineStr">
        <is>
          <t>CL-STANLY</t>
        </is>
      </c>
      <c r="G403" t="inlineStr">
        <is>
          <t>SR 1001</t>
        </is>
      </c>
      <c r="H403">
        <v>9.945</v>
      </c>
      <c r="J403">
        <v>106138896</v>
      </c>
      <c r="K403" t="inlineStr">
        <is>
          <t>1/27/2020</t>
        </is>
      </c>
      <c r="L403">
        <v>19</v>
      </c>
      <c r="M403">
        <v>1</v>
      </c>
      <c r="N403">
        <v>0</v>
      </c>
      <c r="O403">
        <v>1</v>
      </c>
      <c r="P403" t="inlineStr">
        <is>
          <t>C</t>
        </is>
      </c>
    </row>
    <row r="404">
      <c r="A404" t="inlineStr">
        <is>
          <t>0</t>
        </is>
      </c>
      <c r="B404" t="inlineStr">
        <is>
          <t>SR 1001</t>
        </is>
      </c>
      <c r="C404">
        <v>0.4</v>
      </c>
      <c r="D404" t="inlineStr">
        <is>
          <t>N</t>
        </is>
      </c>
      <c r="E404" t="inlineStr">
        <is>
          <t>SR 1664</t>
        </is>
      </c>
      <c r="F404" t="inlineStr">
        <is>
          <t>SR 1152</t>
        </is>
      </c>
      <c r="G404" t="inlineStr">
        <is>
          <t>SR 1001</t>
        </is>
      </c>
      <c r="H404">
        <v>10.045</v>
      </c>
      <c r="J404">
        <v>106674471</v>
      </c>
      <c r="K404" t="inlineStr">
        <is>
          <t>7/21/2021</t>
        </is>
      </c>
      <c r="L404">
        <v>19</v>
      </c>
      <c r="M404">
        <v>1</v>
      </c>
      <c r="N404">
        <v>0</v>
      </c>
      <c r="O404">
        <v>1</v>
      </c>
      <c r="P404" t="inlineStr">
        <is>
          <t>B</t>
        </is>
      </c>
    </row>
    <row r="405">
      <c r="A405" t="inlineStr">
        <is>
          <t>0</t>
        </is>
      </c>
      <c r="B405" t="inlineStr">
        <is>
          <t>LOVE MILL</t>
        </is>
      </c>
      <c r="C405">
        <v>0.66</v>
      </c>
      <c r="D405" t="inlineStr">
        <is>
          <t>N</t>
        </is>
      </c>
      <c r="E405" t="inlineStr">
        <is>
          <t>SANTA CLAUS</t>
        </is>
      </c>
      <c r="F405" t="inlineStr">
        <is>
          <t>TITE</t>
        </is>
      </c>
      <c r="G405" t="inlineStr">
        <is>
          <t>SR 1001</t>
        </is>
      </c>
      <c r="H405">
        <v>10.305</v>
      </c>
      <c r="J405">
        <v>108507895</v>
      </c>
      <c r="K405" t="inlineStr">
        <is>
          <t>5/25/2026</t>
        </is>
      </c>
      <c r="L405">
        <v>19</v>
      </c>
      <c r="M405">
        <v>2</v>
      </c>
      <c r="N405">
        <v>0</v>
      </c>
      <c r="O405">
        <v>1</v>
      </c>
      <c r="P405" t="inlineStr">
        <is>
          <t>C</t>
        </is>
      </c>
    </row>
    <row r="406">
      <c r="A406" t="inlineStr">
        <is>
          <t>0</t>
        </is>
      </c>
      <c r="B406" t="inlineStr">
        <is>
          <t>SR 1001</t>
        </is>
      </c>
      <c r="C406">
        <v>0.1</v>
      </c>
      <c r="D406" t="inlineStr">
        <is>
          <t>S</t>
        </is>
      </c>
      <c r="E406" t="inlineStr">
        <is>
          <t>CL-STANLY</t>
        </is>
      </c>
      <c r="F406" t="inlineStr">
        <is>
          <t>SR 1664</t>
        </is>
      </c>
      <c r="G406" t="inlineStr">
        <is>
          <t>SR 1001</t>
        </is>
      </c>
      <c r="H406">
        <v>10.376</v>
      </c>
      <c r="J406">
        <v>104947533</v>
      </c>
      <c r="K406" t="inlineStr">
        <is>
          <t>12/14/2016</t>
        </is>
      </c>
      <c r="L406">
        <v>19</v>
      </c>
      <c r="M406">
        <v>2</v>
      </c>
      <c r="N406">
        <v>0</v>
      </c>
      <c r="O406">
        <v>5</v>
      </c>
      <c r="P406" t="inlineStr">
        <is>
          <t>B</t>
        </is>
      </c>
    </row>
    <row r="407">
      <c r="A407" t="inlineStr">
        <is>
          <t>245</t>
        </is>
      </c>
      <c r="B407" t="inlineStr">
        <is>
          <t>SR 1001</t>
        </is>
      </c>
      <c r="C407">
        <v>0.2</v>
      </c>
      <c r="D407" t="inlineStr">
        <is>
          <t>S</t>
        </is>
      </c>
      <c r="E407" t="inlineStr">
        <is>
          <t>SR 1004</t>
        </is>
      </c>
      <c r="F407" t="inlineStr">
        <is>
          <t>SR 2492</t>
        </is>
      </c>
      <c r="G407" t="inlineStr">
        <is>
          <t>SR 1001</t>
        </is>
      </c>
      <c r="H407">
        <v>999.999</v>
      </c>
      <c r="J407">
        <v>104794097</v>
      </c>
      <c r="K407" t="inlineStr">
        <is>
          <t>7/15/2016</t>
        </is>
      </c>
      <c r="L407">
        <v>1</v>
      </c>
      <c r="M407">
        <v>1</v>
      </c>
      <c r="N407">
        <v>0</v>
      </c>
      <c r="O407">
        <v>1</v>
      </c>
      <c r="P407" t="inlineStr">
        <is>
          <t>O</t>
        </is>
      </c>
    </row>
    <row r="408">
      <c r="A408" t="inlineStr">
        <is>
          <t>558</t>
        </is>
      </c>
      <c r="B408" t="inlineStr">
        <is>
          <t>SR 1001</t>
        </is>
      </c>
      <c r="C408">
        <v>1.5</v>
      </c>
      <c r="D408" t="inlineStr">
        <is>
          <t>N</t>
        </is>
      </c>
      <c r="E408" t="inlineStr">
        <is>
          <t>SR 1367</t>
        </is>
      </c>
      <c r="F408" t="inlineStr">
        <is>
          <t>SR 1606</t>
        </is>
      </c>
      <c r="G408" t="inlineStr">
        <is>
          <t>SR 1001</t>
        </is>
      </c>
      <c r="H408">
        <v>999.999</v>
      </c>
      <c r="J408">
        <v>104852366</v>
      </c>
      <c r="K408" t="inlineStr">
        <is>
          <t>9/14/2016</t>
        </is>
      </c>
      <c r="L408">
        <v>29</v>
      </c>
      <c r="M408">
        <v>1</v>
      </c>
      <c r="N408">
        <v>0</v>
      </c>
      <c r="O408">
        <v>5</v>
      </c>
      <c r="P408" t="inlineStr">
        <is>
          <t>O</t>
        </is>
      </c>
    </row>
    <row r="409">
      <c r="A409" t="inlineStr">
        <is>
          <t>0</t>
        </is>
      </c>
      <c r="B409" t="inlineStr">
        <is>
          <t>SR 1001</t>
        </is>
      </c>
      <c r="C409">
        <v>0.2</v>
      </c>
      <c r="D409" t="inlineStr">
        <is>
          <t>S</t>
        </is>
      </c>
      <c r="E409" t="inlineStr">
        <is>
          <t>SR 1508</t>
        </is>
      </c>
      <c r="F409" t="inlineStr">
        <is>
          <t>SR 1503</t>
        </is>
      </c>
      <c r="G409" t="inlineStr">
        <is>
          <t>SR 1001</t>
        </is>
      </c>
      <c r="H409">
        <v>999.999</v>
      </c>
      <c r="J409">
        <v>105717397</v>
      </c>
      <c r="K409" t="inlineStr">
        <is>
          <t>12/17/2018</t>
        </is>
      </c>
      <c r="L409">
        <v>21</v>
      </c>
      <c r="M409">
        <v>1</v>
      </c>
      <c r="N409">
        <v>0</v>
      </c>
      <c r="O409">
        <v>1</v>
      </c>
      <c r="P409" t="inlineStr">
        <is>
          <t>O</t>
        </is>
      </c>
    </row>
    <row r="410">
      <c r="A410" t="inlineStr">
        <is>
          <t>0</t>
        </is>
      </c>
      <c r="B410" t="inlineStr">
        <is>
          <t>SR 1001</t>
        </is>
      </c>
      <c r="C410">
        <v>1.0</v>
      </c>
      <c r="D410" t="inlineStr">
        <is>
          <t>E</t>
        </is>
      </c>
      <c r="E410" t="inlineStr">
        <is>
          <t>SR 1524</t>
        </is>
      </c>
      <c r="F410" t="inlineStr">
        <is>
          <t>SR 1007</t>
        </is>
      </c>
      <c r="G410" t="inlineStr">
        <is>
          <t>SR 1001</t>
        </is>
      </c>
      <c r="H410">
        <v>999.999</v>
      </c>
      <c r="J410">
        <v>107177955</v>
      </c>
      <c r="K410" t="inlineStr">
        <is>
          <t>12/10/2022</t>
        </is>
      </c>
      <c r="L410">
        <v>21</v>
      </c>
      <c r="M410">
        <v>1</v>
      </c>
      <c r="N410">
        <v>0</v>
      </c>
      <c r="O410">
        <v>1</v>
      </c>
      <c r="P410" t="inlineStr">
        <is>
          <t>O</t>
        </is>
      </c>
    </row>
    <row r="411">
      <c r="A411" t="inlineStr">
        <is>
          <t>558</t>
        </is>
      </c>
      <c r="B411" t="inlineStr">
        <is>
          <t>SR 1001</t>
        </is>
      </c>
      <c r="C411">
        <v>0.0</v>
      </c>
      <c r="E411" t="inlineStr">
        <is>
          <t>SR 1547</t>
        </is>
      </c>
      <c r="F411" t="inlineStr">
        <is>
          <t>SR 1655</t>
        </is>
      </c>
      <c r="G411" t="inlineStr">
        <is>
          <t>SR 1001</t>
        </is>
      </c>
      <c r="H411">
        <v>999.999</v>
      </c>
      <c r="J411">
        <v>105273256</v>
      </c>
      <c r="K411" t="inlineStr">
        <is>
          <t>10/27/2017</t>
        </is>
      </c>
      <c r="L411">
        <v>24</v>
      </c>
      <c r="M411">
        <v>1</v>
      </c>
      <c r="N411">
        <v>7</v>
      </c>
      <c r="O411">
        <v>1</v>
      </c>
      <c r="P411" t="inlineStr">
        <is>
          <t>C</t>
        </is>
      </c>
    </row>
    <row r="412">
      <c r="A412" t="inlineStr">
        <is>
          <t>0</t>
        </is>
      </c>
      <c r="B412" t="inlineStr">
        <is>
          <t>SR 1001</t>
        </is>
      </c>
      <c r="C412">
        <v>0.2</v>
      </c>
      <c r="D412" t="inlineStr">
        <is>
          <t>N</t>
        </is>
      </c>
      <c r="E412" t="inlineStr">
        <is>
          <t>SR 1547</t>
        </is>
      </c>
      <c r="F412" t="inlineStr">
        <is>
          <t>SR 1607</t>
        </is>
      </c>
      <c r="G412" t="inlineStr">
        <is>
          <t>SR 1001</t>
        </is>
      </c>
      <c r="H412">
        <v>999.999</v>
      </c>
      <c r="J412">
        <v>108343169</v>
      </c>
      <c r="K412" t="inlineStr">
        <is>
          <t>12/11/2025</t>
        </is>
      </c>
      <c r="L412">
        <v>29</v>
      </c>
      <c r="M412">
        <v>1</v>
      </c>
      <c r="N412">
        <v>0</v>
      </c>
      <c r="O412">
        <v>5</v>
      </c>
      <c r="P412" t="inlineStr">
        <is>
          <t>O</t>
        </is>
      </c>
      <c r="Q412">
        <v>35.14858</v>
      </c>
      <c r="R412">
        <v>-80.47485</v>
      </c>
      <c r="S412" t="inlineStr">
        <is>
          <t>DMV349CLEANED</t>
        </is>
      </c>
    </row>
    <row r="413">
      <c r="A413" t="inlineStr">
        <is>
          <t>0</t>
        </is>
      </c>
      <c r="B413" t="inlineStr">
        <is>
          <t>SR 1001</t>
        </is>
      </c>
      <c r="C413">
        <v>0.0</v>
      </c>
      <c r="E413" t="inlineStr">
        <is>
          <t>SR 1604</t>
        </is>
      </c>
      <c r="F413" t="inlineStr">
        <is>
          <t>SR 1547</t>
        </is>
      </c>
      <c r="G413" t="inlineStr">
        <is>
          <t>SR 1001</t>
        </is>
      </c>
      <c r="H413">
        <v>999.999</v>
      </c>
      <c r="J413">
        <v>104914991</v>
      </c>
      <c r="K413" t="inlineStr">
        <is>
          <t>11/13/2016</t>
        </is>
      </c>
      <c r="L413">
        <v>17</v>
      </c>
      <c r="M413">
        <v>1</v>
      </c>
      <c r="N413">
        <v>0</v>
      </c>
      <c r="O413">
        <v>1</v>
      </c>
      <c r="P413" t="inlineStr">
        <is>
          <t>O</t>
        </is>
      </c>
    </row>
    <row r="414">
      <c r="A414" t="inlineStr">
        <is>
          <t>0</t>
        </is>
      </c>
      <c r="B414" t="inlineStr">
        <is>
          <t>SR 1001</t>
        </is>
      </c>
      <c r="C414">
        <v>0.0</v>
      </c>
      <c r="E414" t="inlineStr">
        <is>
          <t>SR 1607</t>
        </is>
      </c>
      <c r="F414" t="inlineStr">
        <is>
          <t>SR 1604</t>
        </is>
      </c>
      <c r="G414" t="inlineStr">
        <is>
          <t>SR 1001</t>
        </is>
      </c>
      <c r="H414">
        <v>999.999</v>
      </c>
      <c r="J414">
        <v>108506936</v>
      </c>
      <c r="K414" t="inlineStr">
        <is>
          <t>5/19/2026</t>
        </is>
      </c>
      <c r="L414">
        <v>24</v>
      </c>
      <c r="M414">
        <v>1</v>
      </c>
      <c r="N414">
        <v>8</v>
      </c>
      <c r="O414">
        <v>1</v>
      </c>
      <c r="P414" t="inlineStr">
        <is>
          <t>O</t>
        </is>
      </c>
      <c r="Q414">
        <v>35.154566</v>
      </c>
      <c r="R414">
        <v>-80.47302</v>
      </c>
      <c r="S414" t="inlineStr">
        <is>
          <t>DMV349</t>
        </is>
      </c>
    </row>
    <row r="415">
      <c r="A415" t="inlineStr">
        <is>
          <t>558</t>
        </is>
      </c>
      <c r="B415" t="inlineStr">
        <is>
          <t>SR 1001</t>
        </is>
      </c>
      <c r="C415">
        <v>0.1</v>
      </c>
      <c r="D415" t="inlineStr">
        <is>
          <t>S</t>
        </is>
      </c>
      <c r="E415" t="inlineStr">
        <is>
          <t>SR 1610</t>
        </is>
      </c>
      <c r="F415" t="inlineStr">
        <is>
          <t>SR 1601</t>
        </is>
      </c>
      <c r="G415" t="inlineStr">
        <is>
          <t>SR 1001</t>
        </is>
      </c>
      <c r="H415">
        <v>999.999</v>
      </c>
      <c r="J415">
        <v>104726807</v>
      </c>
      <c r="K415" t="inlineStr">
        <is>
          <t>5/8/2016</t>
        </is>
      </c>
      <c r="L415">
        <v>23</v>
      </c>
      <c r="M415">
        <v>1</v>
      </c>
      <c r="N415">
        <v>5</v>
      </c>
      <c r="O415">
        <v>5</v>
      </c>
      <c r="P415" t="inlineStr">
        <is>
          <t>A</t>
        </is>
      </c>
      <c r="Q415">
        <v>35.126039</v>
      </c>
      <c r="R415">
        <v>-80.479625</v>
      </c>
      <c r="S415" t="inlineStr">
        <is>
          <t>ITRE_SEVEREINJURY</t>
        </is>
      </c>
    </row>
    <row r="416">
      <c r="A416" t="inlineStr">
        <is>
          <t>0</t>
        </is>
      </c>
      <c r="B416" t="inlineStr">
        <is>
          <t>SR 1001</t>
        </is>
      </c>
      <c r="C416">
        <v>0.1</v>
      </c>
      <c r="D416" t="inlineStr">
        <is>
          <t>S</t>
        </is>
      </c>
      <c r="E416" t="inlineStr">
        <is>
          <t>SR 1610</t>
        </is>
      </c>
      <c r="F416" t="inlineStr">
        <is>
          <t>SR 1655</t>
        </is>
      </c>
      <c r="G416" t="inlineStr">
        <is>
          <t>SR 1001</t>
        </is>
      </c>
      <c r="H416">
        <v>999.999</v>
      </c>
      <c r="J416">
        <v>106078976</v>
      </c>
      <c r="K416" t="inlineStr">
        <is>
          <t>11/30/2019</t>
        </is>
      </c>
      <c r="L416">
        <v>17</v>
      </c>
      <c r="M416">
        <v>1</v>
      </c>
      <c r="N416">
        <v>0</v>
      </c>
      <c r="O416">
        <v>5</v>
      </c>
      <c r="P416" t="inlineStr">
        <is>
          <t>O</t>
        </is>
      </c>
    </row>
    <row r="417">
      <c r="A417" t="inlineStr">
        <is>
          <t>558</t>
        </is>
      </c>
      <c r="B417" t="inlineStr">
        <is>
          <t>SR 1001</t>
        </is>
      </c>
      <c r="C417">
        <v>0.2</v>
      </c>
      <c r="D417" t="inlineStr">
        <is>
          <t>S</t>
        </is>
      </c>
      <c r="E417" t="inlineStr">
        <is>
          <t>SR 1610</t>
        </is>
      </c>
      <c r="F417" t="inlineStr">
        <is>
          <t>SR 1654</t>
        </is>
      </c>
      <c r="G417" t="inlineStr">
        <is>
          <t>SR 1001</t>
        </is>
      </c>
      <c r="H417">
        <v>999.999</v>
      </c>
      <c r="J417">
        <v>105363575</v>
      </c>
      <c r="K417" t="inlineStr">
        <is>
          <t>1/24/2018</t>
        </is>
      </c>
      <c r="L417">
        <v>29</v>
      </c>
      <c r="M417">
        <v>1</v>
      </c>
      <c r="N417">
        <v>0</v>
      </c>
      <c r="O417">
        <v>5</v>
      </c>
      <c r="P417" t="inlineStr">
        <is>
          <t>O</t>
        </is>
      </c>
    </row>
    <row r="418">
      <c r="A418" t="inlineStr">
        <is>
          <t>0</t>
        </is>
      </c>
      <c r="B418" t="inlineStr">
        <is>
          <t>SR 1001</t>
        </is>
      </c>
      <c r="C418">
        <v>0.057</v>
      </c>
      <c r="D418" t="inlineStr">
        <is>
          <t>S</t>
        </is>
      </c>
      <c r="E418" t="inlineStr">
        <is>
          <t>SR 1611</t>
        </is>
      </c>
      <c r="F418" t="inlineStr">
        <is>
          <t>SR 1615</t>
        </is>
      </c>
      <c r="G418" t="inlineStr">
        <is>
          <t>SR 1001</t>
        </is>
      </c>
      <c r="H418">
        <v>999.999</v>
      </c>
      <c r="J418">
        <v>106496450</v>
      </c>
      <c r="K418" t="inlineStr">
        <is>
          <t>2/22/2021</t>
        </is>
      </c>
      <c r="L418">
        <v>17</v>
      </c>
      <c r="M418">
        <v>1</v>
      </c>
      <c r="N418">
        <v>0</v>
      </c>
      <c r="O418">
        <v>1</v>
      </c>
      <c r="P418" t="inlineStr">
        <is>
          <t>O</t>
        </is>
      </c>
    </row>
    <row r="419">
      <c r="A419" t="inlineStr">
        <is>
          <t>558</t>
        </is>
      </c>
      <c r="B419" t="inlineStr">
        <is>
          <t>SR 1001</t>
        </is>
      </c>
      <c r="C419">
        <v>0.1</v>
      </c>
      <c r="D419" t="inlineStr">
        <is>
          <t>N</t>
        </is>
      </c>
      <c r="E419" t="inlineStr">
        <is>
          <t>SR 1628</t>
        </is>
      </c>
      <c r="F419" t="inlineStr">
        <is>
          <t>SR 1631</t>
        </is>
      </c>
      <c r="G419" t="inlineStr">
        <is>
          <t>SR 1001</t>
        </is>
      </c>
      <c r="H419">
        <v>999.999</v>
      </c>
      <c r="J419">
        <v>105062524</v>
      </c>
      <c r="K419" t="inlineStr">
        <is>
          <t>4/3/2017</t>
        </is>
      </c>
      <c r="L419">
        <v>30</v>
      </c>
      <c r="M419">
        <v>2</v>
      </c>
      <c r="N419">
        <v>0</v>
      </c>
      <c r="O419">
        <v>1</v>
      </c>
      <c r="P419" t="inlineStr">
        <is>
          <t>C</t>
        </is>
      </c>
    </row>
    <row r="420">
      <c r="A420" t="inlineStr">
        <is>
          <t>558</t>
        </is>
      </c>
      <c r="B420" t="inlineStr">
        <is>
          <t>SR 1001</t>
        </is>
      </c>
      <c r="C420">
        <v>0.2</v>
      </c>
      <c r="D420" t="inlineStr">
        <is>
          <t>N</t>
        </is>
      </c>
      <c r="E420" t="inlineStr">
        <is>
          <t>SR 1678</t>
        </is>
      </c>
      <c r="F420" t="inlineStr">
        <is>
          <t>SR 1676</t>
        </is>
      </c>
      <c r="G420" t="inlineStr">
        <is>
          <t>SR 1001</t>
        </is>
      </c>
      <c r="H420">
        <v>999.999</v>
      </c>
      <c r="J420">
        <v>105623790</v>
      </c>
      <c r="K420" t="inlineStr">
        <is>
          <t>9/27/2018</t>
        </is>
      </c>
      <c r="L420">
        <v>26</v>
      </c>
      <c r="M420">
        <v>1</v>
      </c>
      <c r="N420">
        <v>0</v>
      </c>
      <c r="O420">
        <v>1</v>
      </c>
      <c r="P420" t="inlineStr">
        <is>
          <t>O</t>
        </is>
      </c>
    </row>
    <row r="421">
      <c r="A421" t="inlineStr">
        <is>
          <t>558</t>
        </is>
      </c>
      <c r="B421" t="inlineStr">
        <is>
          <t>SR 1001</t>
        </is>
      </c>
      <c r="C421">
        <v>0.3</v>
      </c>
      <c r="D421" t="inlineStr">
        <is>
          <t>N</t>
        </is>
      </c>
      <c r="E421" t="inlineStr">
        <is>
          <t>SR 1678</t>
        </is>
      </c>
      <c r="F421" t="inlineStr">
        <is>
          <t>SR 1615</t>
        </is>
      </c>
      <c r="G421" t="inlineStr">
        <is>
          <t>SR 1001</t>
        </is>
      </c>
      <c r="H421">
        <v>999.999</v>
      </c>
      <c r="J421">
        <v>104835188</v>
      </c>
      <c r="K421" t="inlineStr">
        <is>
          <t>8/31/2016</t>
        </is>
      </c>
      <c r="L421">
        <v>29</v>
      </c>
      <c r="M421">
        <v>1</v>
      </c>
      <c r="N421">
        <v>0</v>
      </c>
      <c r="O421">
        <v>1</v>
      </c>
      <c r="P421" t="inlineStr">
        <is>
          <t>O</t>
        </is>
      </c>
    </row>
    <row r="422">
      <c r="A422" t="inlineStr">
        <is>
          <t>558</t>
        </is>
      </c>
      <c r="B422" t="inlineStr">
        <is>
          <t>SR 1001</t>
        </is>
      </c>
      <c r="C422">
        <v>0.3</v>
      </c>
      <c r="D422" t="inlineStr">
        <is>
          <t>S</t>
        </is>
      </c>
      <c r="E422" t="inlineStr">
        <is>
          <t>SR 1678</t>
        </is>
      </c>
      <c r="F422" t="inlineStr">
        <is>
          <t>SR 1618</t>
        </is>
      </c>
      <c r="G422" t="inlineStr">
        <is>
          <t>SR 1001</t>
        </is>
      </c>
      <c r="H422">
        <v>999.999</v>
      </c>
      <c r="J422">
        <v>106458989</v>
      </c>
      <c r="K422" t="inlineStr">
        <is>
          <t>12/23/2020</t>
        </is>
      </c>
      <c r="L422">
        <v>19</v>
      </c>
      <c r="M422">
        <v>1</v>
      </c>
      <c r="N422">
        <v>0</v>
      </c>
      <c r="O422">
        <v>1</v>
      </c>
      <c r="P422" t="inlineStr">
        <is>
          <t>O</t>
        </is>
      </c>
    </row>
    <row r="423">
      <c r="A423" t="inlineStr">
        <is>
          <t>558</t>
        </is>
      </c>
      <c r="B423" t="inlineStr">
        <is>
          <t>SR 1001</t>
        </is>
      </c>
      <c r="C423">
        <v>0.2</v>
      </c>
      <c r="D423" t="inlineStr">
        <is>
          <t>N</t>
        </is>
      </c>
      <c r="E423" t="inlineStr">
        <is>
          <t>SR 1688</t>
        </is>
      </c>
      <c r="F423" t="inlineStr">
        <is>
          <t>SR 1674</t>
        </is>
      </c>
      <c r="G423" t="inlineStr">
        <is>
          <t>SR 1001</t>
        </is>
      </c>
      <c r="H423">
        <v>999.999</v>
      </c>
      <c r="J423">
        <v>105820903</v>
      </c>
      <c r="K423" t="inlineStr">
        <is>
          <t>4/2/2019</t>
        </is>
      </c>
      <c r="L423">
        <v>19</v>
      </c>
      <c r="M423">
        <v>4</v>
      </c>
      <c r="N423">
        <v>0</v>
      </c>
      <c r="O423">
        <v>1</v>
      </c>
      <c r="P423" t="inlineStr">
        <is>
          <t>O</t>
        </is>
      </c>
    </row>
    <row r="424">
      <c r="A424" t="inlineStr">
        <is>
          <t>0</t>
        </is>
      </c>
      <c r="B424" t="inlineStr">
        <is>
          <t>SR 1001</t>
        </is>
      </c>
      <c r="C424">
        <v>0.15</v>
      </c>
      <c r="D424" t="inlineStr">
        <is>
          <t>W</t>
        </is>
      </c>
      <c r="E424" t="inlineStr">
        <is>
          <t>SR 1753</t>
        </is>
      </c>
      <c r="F424" t="inlineStr">
        <is>
          <t>SR 1754</t>
        </is>
      </c>
      <c r="G424" t="inlineStr">
        <is>
          <t>SR 1001</t>
        </is>
      </c>
      <c r="H424">
        <v>999.999</v>
      </c>
      <c r="J424">
        <v>105518601</v>
      </c>
      <c r="K424" t="inlineStr">
        <is>
          <t>6/16/2018</t>
        </is>
      </c>
      <c r="L424">
        <v>19</v>
      </c>
      <c r="M424">
        <v>1</v>
      </c>
      <c r="N424">
        <v>0</v>
      </c>
      <c r="O424">
        <v>1</v>
      </c>
      <c r="P424" t="inlineStr">
        <is>
          <t>O</t>
        </is>
      </c>
    </row>
    <row r="425">
      <c r="A425" t="inlineStr">
        <is>
          <t>0</t>
        </is>
      </c>
      <c r="B425" t="inlineStr">
        <is>
          <t>SR 1001</t>
        </is>
      </c>
      <c r="C425">
        <v>0.1</v>
      </c>
      <c r="D425" t="inlineStr">
        <is>
          <t>E</t>
        </is>
      </c>
      <c r="E425" t="inlineStr">
        <is>
          <t>ZEPHYR</t>
        </is>
      </c>
      <c r="F425" t="inlineStr">
        <is>
          <t>SR 1794</t>
        </is>
      </c>
      <c r="G425" t="inlineStr">
        <is>
          <t>SR 1001</t>
        </is>
      </c>
      <c r="H425">
        <v>999.999</v>
      </c>
      <c r="J425">
        <v>106364269</v>
      </c>
      <c r="K425" t="inlineStr">
        <is>
          <t>10/8/2020</t>
        </is>
      </c>
      <c r="L425">
        <v>29</v>
      </c>
      <c r="M425">
        <v>1</v>
      </c>
      <c r="N425">
        <v>0</v>
      </c>
      <c r="O425">
        <v>1</v>
      </c>
      <c r="P425" t="inlineStr">
        <is>
          <t>O</t>
        </is>
      </c>
    </row>
    <row r="426">
      <c r="A426" t="inlineStr">
        <is>
          <t>0</t>
        </is>
      </c>
      <c r="B426" t="inlineStr">
        <is>
          <t>SR 1006</t>
        </is>
      </c>
      <c r="C426">
        <v>0.0</v>
      </c>
      <c r="E426" t="inlineStr">
        <is>
          <t>SR 1606</t>
        </is>
      </c>
      <c r="F426" t="inlineStr">
        <is>
          <t>SR 2188</t>
        </is>
      </c>
      <c r="G426" t="inlineStr">
        <is>
          <t>SR 1006</t>
        </is>
      </c>
      <c r="H426">
        <v>999.999</v>
      </c>
      <c r="J426">
        <v>107569594</v>
      </c>
      <c r="K426" t="inlineStr">
        <is>
          <t>12/18/2023</t>
        </is>
      </c>
      <c r="L426">
        <v>24</v>
      </c>
      <c r="M426">
        <v>1</v>
      </c>
      <c r="N426">
        <v>8</v>
      </c>
      <c r="O426">
        <v>1</v>
      </c>
      <c r="P426" t="inlineStr">
        <is>
          <t>B</t>
        </is>
      </c>
      <c r="Q426">
        <v>35.03187</v>
      </c>
      <c r="R426">
        <v>-80.47551</v>
      </c>
      <c r="S426" t="inlineStr">
        <is>
          <t>DMV349CLEANED</t>
        </is>
      </c>
    </row>
    <row r="427">
      <c r="A427" t="inlineStr">
        <is>
          <t>0</t>
        </is>
      </c>
      <c r="B427" t="inlineStr">
        <is>
          <t>SR 1547</t>
        </is>
      </c>
      <c r="C427">
        <v>0.0</v>
      </c>
      <c r="E427" t="inlineStr">
        <is>
          <t>SR 1606</t>
        </is>
      </c>
      <c r="F427" t="inlineStr">
        <is>
          <t>US 601</t>
        </is>
      </c>
      <c r="G427" t="inlineStr">
        <is>
          <t>SR 1547</t>
        </is>
      </c>
      <c r="H427">
        <v>2.101</v>
      </c>
      <c r="J427">
        <v>107547852</v>
      </c>
      <c r="K427" t="inlineStr">
        <is>
          <t>11/28/2023</t>
        </is>
      </c>
      <c r="L427">
        <v>30</v>
      </c>
      <c r="M427">
        <v>1</v>
      </c>
      <c r="N427">
        <v>7</v>
      </c>
      <c r="O427">
        <v>1</v>
      </c>
      <c r="P427" t="inlineStr">
        <is>
          <t>B</t>
        </is>
      </c>
      <c r="Q427">
        <v>35.1478</v>
      </c>
      <c r="R427">
        <v>-80.47555</v>
      </c>
      <c r="S427" t="inlineStr">
        <is>
          <t>DMV349CLEANED</t>
        </is>
      </c>
    </row>
    <row r="428">
      <c r="A428" t="inlineStr">
        <is>
          <t>0</t>
        </is>
      </c>
      <c r="B428" t="inlineStr">
        <is>
          <t>SR 1547</t>
        </is>
      </c>
      <c r="C428">
        <v>0.0</v>
      </c>
      <c r="E428" t="inlineStr">
        <is>
          <t>SR 1606</t>
        </is>
      </c>
      <c r="F428" t="inlineStr">
        <is>
          <t>SR 1607</t>
        </is>
      </c>
      <c r="G428" t="inlineStr">
        <is>
          <t>SR 1547</t>
        </is>
      </c>
      <c r="H428">
        <v>2.101</v>
      </c>
      <c r="J428">
        <v>106800779</v>
      </c>
      <c r="K428" t="inlineStr">
        <is>
          <t>12/11/2021</t>
        </is>
      </c>
      <c r="L428">
        <v>30</v>
      </c>
      <c r="M428">
        <v>1</v>
      </c>
      <c r="N428">
        <v>7</v>
      </c>
      <c r="O428">
        <v>1</v>
      </c>
      <c r="P428" t="inlineStr">
        <is>
          <t>C</t>
        </is>
      </c>
    </row>
    <row r="429">
      <c r="A429" t="inlineStr">
        <is>
          <t>637</t>
        </is>
      </c>
      <c r="B429" t="inlineStr">
        <is>
          <t>SR 1547</t>
        </is>
      </c>
      <c r="C429">
        <v>0.0</v>
      </c>
      <c r="E429" t="inlineStr">
        <is>
          <t>SR 1606</t>
        </is>
      </c>
      <c r="F429" t="inlineStr">
        <is>
          <t>SR 1607</t>
        </is>
      </c>
      <c r="G429" t="inlineStr">
        <is>
          <t>SR 1547</t>
        </is>
      </c>
      <c r="H429">
        <v>2.101</v>
      </c>
      <c r="J429">
        <v>105954257</v>
      </c>
      <c r="K429" t="inlineStr">
        <is>
          <t>8/8/2019</t>
        </is>
      </c>
      <c r="L429">
        <v>30</v>
      </c>
      <c r="M429">
        <v>1</v>
      </c>
      <c r="N429">
        <v>7</v>
      </c>
      <c r="O429">
        <v>1</v>
      </c>
      <c r="P429" t="inlineStr">
        <is>
          <t>B</t>
        </is>
      </c>
    </row>
    <row r="430">
      <c r="A430" t="inlineStr">
        <is>
          <t>637</t>
        </is>
      </c>
      <c r="B430" t="inlineStr">
        <is>
          <t>SR 1604</t>
        </is>
      </c>
      <c r="C430">
        <v>0.0</v>
      </c>
      <c r="E430" t="inlineStr">
        <is>
          <t>SR 1606</t>
        </is>
      </c>
      <c r="F430" t="inlineStr">
        <is>
          <t>CL-STANLY</t>
        </is>
      </c>
      <c r="G430" t="inlineStr">
        <is>
          <t>SR 1604</t>
        </is>
      </c>
      <c r="H430">
        <v>0.0</v>
      </c>
      <c r="J430">
        <v>107178464</v>
      </c>
      <c r="K430" t="inlineStr">
        <is>
          <t>11/30/2022</t>
        </is>
      </c>
      <c r="L430">
        <v>24</v>
      </c>
      <c r="M430">
        <v>2</v>
      </c>
      <c r="N430">
        <v>8</v>
      </c>
      <c r="O430">
        <v>5</v>
      </c>
      <c r="P430" t="inlineStr">
        <is>
          <t>C</t>
        </is>
      </c>
    </row>
    <row r="431">
      <c r="A431" t="inlineStr">
        <is>
          <t>558</t>
        </is>
      </c>
      <c r="B431" t="inlineStr">
        <is>
          <t>SR 1604</t>
        </is>
      </c>
      <c r="C431">
        <v>0.0</v>
      </c>
      <c r="E431" t="inlineStr">
        <is>
          <t>SR 1606</t>
        </is>
      </c>
      <c r="F431" t="inlineStr">
        <is>
          <t>SR 1666</t>
        </is>
      </c>
      <c r="G431" t="inlineStr">
        <is>
          <t>SR 1604</t>
        </is>
      </c>
      <c r="H431">
        <v>0.0</v>
      </c>
      <c r="J431">
        <v>105337660</v>
      </c>
      <c r="K431" t="inlineStr">
        <is>
          <t>12/20/2017</t>
        </is>
      </c>
      <c r="L431">
        <v>3</v>
      </c>
      <c r="M431">
        <v>2</v>
      </c>
      <c r="N431">
        <v>8</v>
      </c>
      <c r="O431">
        <v>5</v>
      </c>
      <c r="P431" t="inlineStr">
        <is>
          <t>O</t>
        </is>
      </c>
    </row>
    <row r="432">
      <c r="A432" t="inlineStr">
        <is>
          <t>637</t>
        </is>
      </c>
      <c r="B432" t="inlineStr">
        <is>
          <t>SR 1606</t>
        </is>
      </c>
      <c r="C432">
        <v>1.5</v>
      </c>
      <c r="D432" t="inlineStr">
        <is>
          <t>N</t>
        </is>
      </c>
      <c r="E432" t="inlineStr">
        <is>
          <t>SR 1547</t>
        </is>
      </c>
      <c r="F432" t="inlineStr">
        <is>
          <t>SR 1607</t>
        </is>
      </c>
      <c r="G432" t="inlineStr">
        <is>
          <t>SR 1606</t>
        </is>
      </c>
      <c r="H432">
        <v>0.087</v>
      </c>
      <c r="J432">
        <v>105318190</v>
      </c>
      <c r="K432" t="inlineStr">
        <is>
          <t>12/9/2017</t>
        </is>
      </c>
      <c r="L432">
        <v>18</v>
      </c>
      <c r="M432">
        <v>2</v>
      </c>
      <c r="N432">
        <v>0</v>
      </c>
      <c r="O432">
        <v>1</v>
      </c>
      <c r="P432" t="inlineStr">
        <is>
          <t>O</t>
        </is>
      </c>
    </row>
    <row r="433">
      <c r="A433" t="inlineStr">
        <is>
          <t>0</t>
        </is>
      </c>
      <c r="B433" t="inlineStr">
        <is>
          <t>SR 1606</t>
        </is>
      </c>
      <c r="C433">
        <v>0.1</v>
      </c>
      <c r="D433" t="inlineStr">
        <is>
          <t>N</t>
        </is>
      </c>
      <c r="E433" t="inlineStr">
        <is>
          <t>SR 1604</t>
        </is>
      </c>
      <c r="F433" t="inlineStr">
        <is>
          <t>CL-STANLY</t>
        </is>
      </c>
      <c r="G433" t="inlineStr">
        <is>
          <t>SR 1606</t>
        </is>
      </c>
      <c r="H433">
        <v>0.105</v>
      </c>
      <c r="J433">
        <v>107999824</v>
      </c>
      <c r="K433" t="inlineStr">
        <is>
          <t>1/21/2025</t>
        </is>
      </c>
      <c r="L433">
        <v>19</v>
      </c>
      <c r="M433">
        <v>5</v>
      </c>
      <c r="N433">
        <v>0</v>
      </c>
      <c r="O433">
        <v>5</v>
      </c>
      <c r="P433" t="inlineStr">
        <is>
          <t>O</t>
        </is>
      </c>
      <c r="Q433">
        <v>35.169336</v>
      </c>
      <c r="R433">
        <v>-80.47313</v>
      </c>
      <c r="S433" t="inlineStr">
        <is>
          <t>DMV349CLEANED</t>
        </is>
      </c>
    </row>
    <row r="434">
      <c r="A434" t="inlineStr">
        <is>
          <t>637</t>
        </is>
      </c>
      <c r="B434" t="inlineStr">
        <is>
          <t>SR 1606</t>
        </is>
      </c>
      <c r="C434">
        <v>0.1</v>
      </c>
      <c r="D434" t="inlineStr">
        <is>
          <t>S</t>
        </is>
      </c>
      <c r="E434" t="inlineStr">
        <is>
          <t>SR 1604</t>
        </is>
      </c>
      <c r="F434" t="inlineStr">
        <is>
          <t>CL-STANLY</t>
        </is>
      </c>
      <c r="G434" t="inlineStr">
        <is>
          <t>SR 1606</t>
        </is>
      </c>
      <c r="H434">
        <v>0.305</v>
      </c>
      <c r="J434">
        <v>106248459</v>
      </c>
      <c r="K434" t="inlineStr">
        <is>
          <t>6/11/2020</t>
        </is>
      </c>
      <c r="L434">
        <v>17</v>
      </c>
      <c r="M434">
        <v>1</v>
      </c>
      <c r="N434">
        <v>0</v>
      </c>
      <c r="O434">
        <v>5</v>
      </c>
      <c r="P434" t="inlineStr">
        <is>
          <t>O</t>
        </is>
      </c>
    </row>
    <row r="435">
      <c r="A435" t="inlineStr">
        <is>
          <t>637</t>
        </is>
      </c>
      <c r="B435" t="inlineStr">
        <is>
          <t>SR 1606</t>
        </is>
      </c>
      <c r="C435">
        <v>0.76</v>
      </c>
      <c r="D435" t="inlineStr">
        <is>
          <t>N</t>
        </is>
      </c>
      <c r="E435" t="inlineStr">
        <is>
          <t>SR 1607</t>
        </is>
      </c>
      <c r="F435" t="inlineStr">
        <is>
          <t>SR 1604</t>
        </is>
      </c>
      <c r="G435" t="inlineStr">
        <is>
          <t>SR 1606</t>
        </is>
      </c>
      <c r="H435">
        <v>0.324</v>
      </c>
      <c r="J435">
        <v>107977960</v>
      </c>
      <c r="K435" t="inlineStr">
        <is>
          <t>1/1/2025</t>
        </is>
      </c>
      <c r="L435">
        <v>17</v>
      </c>
      <c r="M435">
        <v>1</v>
      </c>
      <c r="N435">
        <v>0</v>
      </c>
      <c r="O435">
        <v>5</v>
      </c>
      <c r="P435" t="inlineStr">
        <is>
          <t>O</t>
        </is>
      </c>
      <c r="Q435">
        <v>35.16079</v>
      </c>
      <c r="R435">
        <v>-80.47312</v>
      </c>
      <c r="S435" t="inlineStr">
        <is>
          <t>DMV349CLEANED</t>
        </is>
      </c>
    </row>
    <row r="436">
      <c r="A436" t="inlineStr">
        <is>
          <t>0</t>
        </is>
      </c>
      <c r="B436" t="inlineStr">
        <is>
          <t>SR 1606</t>
        </is>
      </c>
      <c r="C436">
        <v>0.3</v>
      </c>
      <c r="D436" t="inlineStr">
        <is>
          <t>N</t>
        </is>
      </c>
      <c r="E436" t="inlineStr">
        <is>
          <t>SR 1607</t>
        </is>
      </c>
      <c r="F436" t="inlineStr">
        <is>
          <t>SR 1604</t>
        </is>
      </c>
      <c r="G436" t="inlineStr">
        <is>
          <t>SR 1606</t>
        </is>
      </c>
      <c r="H436">
        <v>0.784</v>
      </c>
      <c r="J436">
        <v>108416489</v>
      </c>
      <c r="K436" t="inlineStr">
        <is>
          <t>2/27/2026</t>
        </is>
      </c>
      <c r="L436">
        <v>19</v>
      </c>
      <c r="M436">
        <v>1</v>
      </c>
      <c r="N436">
        <v>0</v>
      </c>
      <c r="O436">
        <v>5</v>
      </c>
      <c r="P436" t="inlineStr">
        <is>
          <t>O</t>
        </is>
      </c>
      <c r="Q436">
        <v>35.159026</v>
      </c>
      <c r="R436">
        <v>-80.4732</v>
      </c>
      <c r="S436" t="inlineStr">
        <is>
          <t>DMV349CLEANED</t>
        </is>
      </c>
    </row>
    <row r="437">
      <c r="A437" t="inlineStr">
        <is>
          <t>0</t>
        </is>
      </c>
      <c r="B437" t="inlineStr">
        <is>
          <t>SR 1606</t>
        </is>
      </c>
      <c r="C437">
        <v>5.0</v>
      </c>
      <c r="D437" t="inlineStr">
        <is>
          <t>N</t>
        </is>
      </c>
      <c r="E437" t="inlineStr">
        <is>
          <t>SR 1678</t>
        </is>
      </c>
      <c r="F437" t="inlineStr">
        <is>
          <t>SR 1613</t>
        </is>
      </c>
      <c r="G437" t="inlineStr">
        <is>
          <t>SR 1606</t>
        </is>
      </c>
      <c r="H437">
        <v>0.796</v>
      </c>
      <c r="J437">
        <v>105613443</v>
      </c>
      <c r="K437" t="inlineStr">
        <is>
          <t>9/24/2018</t>
        </is>
      </c>
      <c r="L437">
        <v>22</v>
      </c>
      <c r="M437">
        <v>1</v>
      </c>
      <c r="N437">
        <v>5</v>
      </c>
      <c r="O437">
        <v>5</v>
      </c>
      <c r="P437" t="inlineStr">
        <is>
          <t>C</t>
        </is>
      </c>
    </row>
    <row r="438">
      <c r="A438" t="inlineStr">
        <is>
          <t>637</t>
        </is>
      </c>
      <c r="B438" t="inlineStr">
        <is>
          <t>SR 1606</t>
        </is>
      </c>
      <c r="C438">
        <v>0.095</v>
      </c>
      <c r="D438" t="inlineStr">
        <is>
          <t>N</t>
        </is>
      </c>
      <c r="E438" t="inlineStr">
        <is>
          <t>SR 1607</t>
        </is>
      </c>
      <c r="F438" t="inlineStr">
        <is>
          <t>SR 1604</t>
        </is>
      </c>
      <c r="G438" t="inlineStr">
        <is>
          <t>SR 1606</t>
        </is>
      </c>
      <c r="H438">
        <v>0.989</v>
      </c>
      <c r="J438">
        <v>107325118</v>
      </c>
      <c r="K438" t="inlineStr">
        <is>
          <t>5/4/2023</t>
        </is>
      </c>
      <c r="L438">
        <v>17</v>
      </c>
      <c r="M438">
        <v>1</v>
      </c>
      <c r="N438">
        <v>0</v>
      </c>
      <c r="O438">
        <v>5</v>
      </c>
      <c r="P438" t="inlineStr">
        <is>
          <t>O</t>
        </is>
      </c>
    </row>
    <row r="439">
      <c r="A439" t="inlineStr">
        <is>
          <t>0</t>
        </is>
      </c>
      <c r="B439" t="inlineStr">
        <is>
          <t>SR 1606</t>
        </is>
      </c>
      <c r="C439">
        <v>0.0</v>
      </c>
      <c r="E439" t="inlineStr">
        <is>
          <t>SR 1607</t>
        </is>
      </c>
      <c r="F439" t="inlineStr">
        <is>
          <t>SR 1547</t>
        </is>
      </c>
      <c r="G439" t="inlineStr">
        <is>
          <t>SR 1606</t>
        </is>
      </c>
      <c r="H439">
        <v>1.084</v>
      </c>
      <c r="J439">
        <v>107591326</v>
      </c>
      <c r="K439" t="inlineStr">
        <is>
          <t>1/10/2024</t>
        </is>
      </c>
      <c r="L439">
        <v>24</v>
      </c>
      <c r="M439">
        <v>1</v>
      </c>
      <c r="N439">
        <v>7</v>
      </c>
      <c r="O439">
        <v>1</v>
      </c>
      <c r="P439" t="inlineStr">
        <is>
          <t>C</t>
        </is>
      </c>
      <c r="Q439">
        <v>35.15454</v>
      </c>
      <c r="R439">
        <v>-80.47302</v>
      </c>
      <c r="S439" t="inlineStr">
        <is>
          <t>DMV349CLEANED</t>
        </is>
      </c>
    </row>
    <row r="440">
      <c r="A440" t="inlineStr">
        <is>
          <t>0</t>
        </is>
      </c>
      <c r="B440" t="inlineStr">
        <is>
          <t>SR 1606</t>
        </is>
      </c>
      <c r="C440">
        <v>0.0</v>
      </c>
      <c r="E440" t="inlineStr">
        <is>
          <t>SR 1607</t>
        </is>
      </c>
      <c r="F440" t="inlineStr">
        <is>
          <t>CL-STANLY</t>
        </is>
      </c>
      <c r="G440" t="inlineStr">
        <is>
          <t>SR 1606</t>
        </is>
      </c>
      <c r="H440">
        <v>1.084</v>
      </c>
      <c r="J440">
        <v>105199689</v>
      </c>
      <c r="K440" t="inlineStr">
        <is>
          <t>8/21/2017</t>
        </is>
      </c>
      <c r="L440">
        <v>26</v>
      </c>
      <c r="M440">
        <v>1</v>
      </c>
      <c r="N440">
        <v>7</v>
      </c>
      <c r="O440">
        <v>1</v>
      </c>
      <c r="P440" t="inlineStr">
        <is>
          <t>O</t>
        </is>
      </c>
    </row>
    <row r="441">
      <c r="A441" t="inlineStr">
        <is>
          <t>0</t>
        </is>
      </c>
      <c r="B441" t="inlineStr">
        <is>
          <t>SR 1606</t>
        </is>
      </c>
      <c r="C441">
        <v>0.1</v>
      </c>
      <c r="D441" t="inlineStr">
        <is>
          <t>S</t>
        </is>
      </c>
      <c r="E441" t="inlineStr">
        <is>
          <t>SR 1607</t>
        </is>
      </c>
      <c r="F441" t="inlineStr">
        <is>
          <t>SR 1605</t>
        </is>
      </c>
      <c r="G441" t="inlineStr">
        <is>
          <t>SR 1606</t>
        </is>
      </c>
      <c r="H441">
        <v>1.184</v>
      </c>
      <c r="J441">
        <v>107119047</v>
      </c>
      <c r="K441" t="inlineStr">
        <is>
          <t>10/22/2022</t>
        </is>
      </c>
      <c r="L441">
        <v>17</v>
      </c>
      <c r="M441">
        <v>1</v>
      </c>
      <c r="N441">
        <v>0</v>
      </c>
      <c r="O441">
        <v>5</v>
      </c>
      <c r="P441" t="inlineStr">
        <is>
          <t>O</t>
        </is>
      </c>
    </row>
    <row r="442">
      <c r="A442" t="inlineStr">
        <is>
          <t>637</t>
        </is>
      </c>
      <c r="B442" t="inlineStr">
        <is>
          <t>SR 1606</t>
        </is>
      </c>
      <c r="C442">
        <v>0.1</v>
      </c>
      <c r="D442" t="inlineStr">
        <is>
          <t>S</t>
        </is>
      </c>
      <c r="E442" t="inlineStr">
        <is>
          <t>SR 1607</t>
        </is>
      </c>
      <c r="F442" t="inlineStr">
        <is>
          <t>SR 1547</t>
        </is>
      </c>
      <c r="G442" t="inlineStr">
        <is>
          <t>SR 1606</t>
        </is>
      </c>
      <c r="H442">
        <v>1.184</v>
      </c>
      <c r="J442">
        <v>106121140</v>
      </c>
      <c r="K442" t="inlineStr">
        <is>
          <t>1/10/2020</t>
        </is>
      </c>
      <c r="L442">
        <v>19</v>
      </c>
      <c r="M442">
        <v>1</v>
      </c>
      <c r="N442">
        <v>0</v>
      </c>
      <c r="O442">
        <v>1</v>
      </c>
    </row>
    <row r="443">
      <c r="A443" t="inlineStr">
        <is>
          <t>637</t>
        </is>
      </c>
      <c r="B443" t="inlineStr">
        <is>
          <t>SR 1606</t>
        </is>
      </c>
      <c r="C443">
        <v>0.2</v>
      </c>
      <c r="D443" t="inlineStr">
        <is>
          <t>N</t>
        </is>
      </c>
      <c r="E443" t="inlineStr">
        <is>
          <t>SR 1547</t>
        </is>
      </c>
      <c r="F443" t="inlineStr">
        <is>
          <t>SR 1607</t>
        </is>
      </c>
      <c r="G443" t="inlineStr">
        <is>
          <t>SR 1606</t>
        </is>
      </c>
      <c r="H443">
        <v>1.387</v>
      </c>
      <c r="J443">
        <v>107731025</v>
      </c>
      <c r="K443" t="inlineStr">
        <is>
          <t>5/25/2024</t>
        </is>
      </c>
      <c r="L443">
        <v>29</v>
      </c>
      <c r="M443">
        <v>1</v>
      </c>
      <c r="N443">
        <v>0</v>
      </c>
      <c r="O443">
        <v>5</v>
      </c>
      <c r="P443" t="inlineStr">
        <is>
          <t>O</t>
        </is>
      </c>
      <c r="Q443">
        <v>35.15063</v>
      </c>
      <c r="R443">
        <v>-80.47334</v>
      </c>
      <c r="S443" t="inlineStr">
        <is>
          <t>DMV349CLEANED</t>
        </is>
      </c>
    </row>
    <row r="444">
      <c r="A444" t="inlineStr">
        <is>
          <t>637</t>
        </is>
      </c>
      <c r="B444" t="inlineStr">
        <is>
          <t>SR 1606</t>
        </is>
      </c>
      <c r="C444">
        <v>0.18</v>
      </c>
      <c r="D444" t="inlineStr">
        <is>
          <t>N</t>
        </is>
      </c>
      <c r="E444" t="inlineStr">
        <is>
          <t>SR 1547</t>
        </is>
      </c>
      <c r="F444" t="inlineStr">
        <is>
          <t>SR 1607</t>
        </is>
      </c>
      <c r="G444" t="inlineStr">
        <is>
          <t>SR 1606</t>
        </is>
      </c>
      <c r="H444">
        <v>1.407</v>
      </c>
      <c r="J444">
        <v>108377689</v>
      </c>
      <c r="K444" t="inlineStr">
        <is>
          <t>1/9/2026</t>
        </is>
      </c>
      <c r="L444">
        <v>19</v>
      </c>
      <c r="M444">
        <v>1</v>
      </c>
      <c r="N444">
        <v>5</v>
      </c>
      <c r="O444">
        <v>5</v>
      </c>
      <c r="P444" t="inlineStr">
        <is>
          <t>K</t>
        </is>
      </c>
      <c r="Q444">
        <v>35.150173</v>
      </c>
      <c r="R444">
        <v>-80.47355</v>
      </c>
      <c r="S444" t="inlineStr">
        <is>
          <t>DMV349CLEANED</t>
        </is>
      </c>
    </row>
    <row r="445">
      <c r="A445" t="inlineStr">
        <is>
          <t>0</t>
        </is>
      </c>
      <c r="B445" t="inlineStr">
        <is>
          <t>SR 1606</t>
        </is>
      </c>
      <c r="C445">
        <v>0.1</v>
      </c>
      <c r="D445" t="inlineStr">
        <is>
          <t>N</t>
        </is>
      </c>
      <c r="E445" t="inlineStr">
        <is>
          <t>SR 1547</t>
        </is>
      </c>
      <c r="F445" t="inlineStr">
        <is>
          <t>SR 1607</t>
        </is>
      </c>
      <c r="G445" t="inlineStr">
        <is>
          <t>SR 1606</t>
        </is>
      </c>
      <c r="H445">
        <v>1.487</v>
      </c>
      <c r="J445">
        <v>108244970</v>
      </c>
      <c r="K445" t="inlineStr">
        <is>
          <t>9/26/2025</t>
        </is>
      </c>
      <c r="L445">
        <v>21</v>
      </c>
      <c r="M445">
        <v>2</v>
      </c>
      <c r="N445">
        <v>5</v>
      </c>
      <c r="O445">
        <v>1</v>
      </c>
      <c r="P445" t="inlineStr">
        <is>
          <t>O</t>
        </is>
      </c>
      <c r="Q445">
        <v>35.148995</v>
      </c>
      <c r="R445">
        <v>-80.47455</v>
      </c>
      <c r="S445" t="inlineStr">
        <is>
          <t>DMV349CLEANED</t>
        </is>
      </c>
    </row>
    <row r="446">
      <c r="A446" t="inlineStr">
        <is>
          <t>637</t>
        </is>
      </c>
      <c r="B446" t="inlineStr">
        <is>
          <t>SR 1606</t>
        </is>
      </c>
      <c r="C446">
        <v>0.1</v>
      </c>
      <c r="D446" t="inlineStr">
        <is>
          <t>N</t>
        </is>
      </c>
      <c r="E446" t="inlineStr">
        <is>
          <t>SR 1547</t>
        </is>
      </c>
      <c r="F446" t="inlineStr">
        <is>
          <t>NC 218</t>
        </is>
      </c>
      <c r="G446" t="inlineStr">
        <is>
          <t>SR 1606</t>
        </is>
      </c>
      <c r="H446">
        <v>1.487</v>
      </c>
      <c r="J446">
        <v>108318481</v>
      </c>
      <c r="K446" t="inlineStr">
        <is>
          <t>11/5/2025</t>
        </is>
      </c>
      <c r="L446">
        <v>18</v>
      </c>
      <c r="M446">
        <v>1</v>
      </c>
      <c r="N446">
        <v>0</v>
      </c>
      <c r="O446">
        <v>1</v>
      </c>
      <c r="P446" t="inlineStr">
        <is>
          <t>O</t>
        </is>
      </c>
      <c r="Q446">
        <v>35.14495</v>
      </c>
      <c r="R446">
        <v>-80.47997</v>
      </c>
      <c r="S446" t="inlineStr">
        <is>
          <t>DMV349CLEANED</t>
        </is>
      </c>
    </row>
    <row r="447">
      <c r="A447" t="inlineStr">
        <is>
          <t>0</t>
        </is>
      </c>
      <c r="B447" t="inlineStr">
        <is>
          <t>SR 1606</t>
        </is>
      </c>
      <c r="C447">
        <v>1.3</v>
      </c>
      <c r="D447" t="inlineStr">
        <is>
          <t>S</t>
        </is>
      </c>
      <c r="E447" t="inlineStr">
        <is>
          <t>SR 1604</t>
        </is>
      </c>
      <c r="F447" t="inlineStr">
        <is>
          <t>SR 1605</t>
        </is>
      </c>
      <c r="G447" t="inlineStr">
        <is>
          <t>SR 1606</t>
        </is>
      </c>
      <c r="H447">
        <v>1.505</v>
      </c>
      <c r="J447">
        <v>106134680</v>
      </c>
      <c r="K447" t="inlineStr">
        <is>
          <t>1/22/2020</t>
        </is>
      </c>
      <c r="L447">
        <v>29</v>
      </c>
      <c r="M447">
        <v>1</v>
      </c>
      <c r="N447">
        <v>0</v>
      </c>
      <c r="O447">
        <v>1</v>
      </c>
      <c r="P447" t="inlineStr">
        <is>
          <t>O</t>
        </is>
      </c>
    </row>
    <row r="448">
      <c r="A448" t="inlineStr">
        <is>
          <t>0</t>
        </is>
      </c>
      <c r="B448" t="inlineStr">
        <is>
          <t>SR 1606</t>
        </is>
      </c>
      <c r="C448">
        <v>0.0</v>
      </c>
      <c r="E448" t="inlineStr">
        <is>
          <t>SR 1547</t>
        </is>
      </c>
      <c r="F448" t="inlineStr">
        <is>
          <t>NC 218</t>
        </is>
      </c>
      <c r="G448" t="inlineStr">
        <is>
          <t>SR 1606</t>
        </is>
      </c>
      <c r="H448">
        <v>1.587</v>
      </c>
      <c r="J448">
        <v>107707929</v>
      </c>
      <c r="K448" t="inlineStr">
        <is>
          <t>5/3/2024</t>
        </is>
      </c>
      <c r="L448">
        <v>30</v>
      </c>
      <c r="M448">
        <v>1</v>
      </c>
      <c r="N448">
        <v>7</v>
      </c>
      <c r="O448">
        <v>1</v>
      </c>
      <c r="P448" t="inlineStr">
        <is>
          <t>C</t>
        </is>
      </c>
      <c r="Q448">
        <v>35.14785</v>
      </c>
      <c r="R448">
        <v>-80.47548</v>
      </c>
      <c r="S448" t="inlineStr">
        <is>
          <t>DMV349CLEANED</t>
        </is>
      </c>
    </row>
    <row r="449">
      <c r="A449" t="inlineStr">
        <is>
          <t>637</t>
        </is>
      </c>
      <c r="B449" t="inlineStr">
        <is>
          <t>SR 1606</t>
        </is>
      </c>
      <c r="C449">
        <v>0.0</v>
      </c>
      <c r="E449" t="inlineStr">
        <is>
          <t>SR 1547</t>
        </is>
      </c>
      <c r="F449" t="inlineStr">
        <is>
          <t>SR 1607</t>
        </is>
      </c>
      <c r="G449" t="inlineStr">
        <is>
          <t>SR 1606</t>
        </is>
      </c>
      <c r="H449">
        <v>1.587</v>
      </c>
      <c r="J449">
        <v>107892491</v>
      </c>
      <c r="K449" t="inlineStr">
        <is>
          <t>10/19/2024</t>
        </is>
      </c>
      <c r="L449">
        <v>30</v>
      </c>
      <c r="M449">
        <v>1</v>
      </c>
      <c r="N449">
        <v>7</v>
      </c>
      <c r="O449">
        <v>1</v>
      </c>
      <c r="P449" t="inlineStr">
        <is>
          <t>O</t>
        </is>
      </c>
      <c r="Q449">
        <v>35.14</v>
      </c>
      <c r="R449">
        <v>-80.47</v>
      </c>
      <c r="S449" t="inlineStr">
        <is>
          <t>DMV349</t>
        </is>
      </c>
    </row>
    <row r="450">
      <c r="A450" t="inlineStr">
        <is>
          <t>637</t>
        </is>
      </c>
      <c r="B450" t="inlineStr">
        <is>
          <t>SR 1606</t>
        </is>
      </c>
      <c r="C450">
        <v>0.0</v>
      </c>
      <c r="E450" t="inlineStr">
        <is>
          <t>SR 1547</t>
        </is>
      </c>
      <c r="F450" t="inlineStr">
        <is>
          <t>SR 1607</t>
        </is>
      </c>
      <c r="G450" t="inlineStr">
        <is>
          <t>SR 1606</t>
        </is>
      </c>
      <c r="H450">
        <v>1.587</v>
      </c>
      <c r="J450">
        <v>107737177</v>
      </c>
      <c r="K450" t="inlineStr">
        <is>
          <t>5/29/2024</t>
        </is>
      </c>
      <c r="L450">
        <v>30</v>
      </c>
      <c r="M450">
        <v>1</v>
      </c>
      <c r="N450">
        <v>7</v>
      </c>
      <c r="O450">
        <v>5</v>
      </c>
      <c r="P450" t="inlineStr">
        <is>
          <t>O</t>
        </is>
      </c>
      <c r="Q450">
        <v>35.14776</v>
      </c>
      <c r="R450">
        <v>-80.47546</v>
      </c>
      <c r="S450" t="inlineStr">
        <is>
          <t>DMV349CLEANED</t>
        </is>
      </c>
    </row>
    <row r="451">
      <c r="A451" t="inlineStr">
        <is>
          <t>0</t>
        </is>
      </c>
      <c r="B451" t="inlineStr">
        <is>
          <t>SR 1606</t>
        </is>
      </c>
      <c r="C451">
        <v>0.0</v>
      </c>
      <c r="E451" t="inlineStr">
        <is>
          <t>SR 1547</t>
        </is>
      </c>
      <c r="F451" t="inlineStr">
        <is>
          <t>SR 1607</t>
        </is>
      </c>
      <c r="G451" t="inlineStr">
        <is>
          <t>SR 1606</t>
        </is>
      </c>
      <c r="H451">
        <v>1.587</v>
      </c>
      <c r="J451">
        <v>107659363</v>
      </c>
      <c r="K451" t="inlineStr">
        <is>
          <t>3/18/2024</t>
        </is>
      </c>
      <c r="L451">
        <v>30</v>
      </c>
      <c r="M451">
        <v>1</v>
      </c>
      <c r="N451">
        <v>7</v>
      </c>
      <c r="O451">
        <v>1</v>
      </c>
      <c r="P451" t="inlineStr">
        <is>
          <t>O</t>
        </is>
      </c>
      <c r="Q451">
        <v>35.14808</v>
      </c>
      <c r="R451">
        <v>-80.47567</v>
      </c>
      <c r="S451" t="inlineStr">
        <is>
          <t>DMV349CLEANED</t>
        </is>
      </c>
    </row>
    <row r="452">
      <c r="A452" t="inlineStr">
        <is>
          <t>637</t>
        </is>
      </c>
      <c r="B452" t="inlineStr">
        <is>
          <t>SR 1606</t>
        </is>
      </c>
      <c r="C452">
        <v>0.0</v>
      </c>
      <c r="E452" t="inlineStr">
        <is>
          <t>SR 1547</t>
        </is>
      </c>
      <c r="F452" t="inlineStr">
        <is>
          <t>SR 1607</t>
        </is>
      </c>
      <c r="G452" t="inlineStr">
        <is>
          <t>SR 1606</t>
        </is>
      </c>
      <c r="H452">
        <v>1.587</v>
      </c>
      <c r="J452">
        <v>107313774</v>
      </c>
      <c r="K452" t="inlineStr">
        <is>
          <t>4/11/2023</t>
        </is>
      </c>
      <c r="L452">
        <v>30</v>
      </c>
      <c r="M452">
        <v>1</v>
      </c>
      <c r="N452">
        <v>7</v>
      </c>
      <c r="O452">
        <v>1</v>
      </c>
      <c r="P452" t="inlineStr">
        <is>
          <t>O</t>
        </is>
      </c>
    </row>
    <row r="453">
      <c r="A453" t="inlineStr">
        <is>
          <t>0</t>
        </is>
      </c>
      <c r="B453" t="inlineStr">
        <is>
          <t>SR 1606</t>
        </is>
      </c>
      <c r="C453">
        <v>0.0</v>
      </c>
      <c r="E453" t="inlineStr">
        <is>
          <t>SR 1547</t>
        </is>
      </c>
      <c r="F453" t="inlineStr">
        <is>
          <t>SR 1607</t>
        </is>
      </c>
      <c r="G453" t="inlineStr">
        <is>
          <t>SR 1606</t>
        </is>
      </c>
      <c r="H453">
        <v>1.587</v>
      </c>
      <c r="J453">
        <v>107089024</v>
      </c>
      <c r="K453" t="inlineStr">
        <is>
          <t>9/22/2022</t>
        </is>
      </c>
      <c r="L453">
        <v>30</v>
      </c>
      <c r="M453">
        <v>1</v>
      </c>
      <c r="N453">
        <v>7</v>
      </c>
      <c r="O453">
        <v>1</v>
      </c>
      <c r="P453" t="inlineStr">
        <is>
          <t>B</t>
        </is>
      </c>
    </row>
    <row r="454">
      <c r="A454" t="inlineStr">
        <is>
          <t>637</t>
        </is>
      </c>
      <c r="B454" t="inlineStr">
        <is>
          <t>SR 1606</t>
        </is>
      </c>
      <c r="C454">
        <v>0.0</v>
      </c>
      <c r="E454" t="inlineStr">
        <is>
          <t>SR 1547</t>
        </is>
      </c>
      <c r="F454" t="inlineStr">
        <is>
          <t>NC 218</t>
        </is>
      </c>
      <c r="G454" t="inlineStr">
        <is>
          <t>SR 1606</t>
        </is>
      </c>
      <c r="H454">
        <v>1.587</v>
      </c>
      <c r="J454">
        <v>106990488</v>
      </c>
      <c r="K454" t="inlineStr">
        <is>
          <t>6/16/2022</t>
        </is>
      </c>
      <c r="L454">
        <v>30</v>
      </c>
      <c r="M454">
        <v>1</v>
      </c>
      <c r="N454">
        <v>7</v>
      </c>
      <c r="O454">
        <v>1</v>
      </c>
      <c r="P454" t="inlineStr">
        <is>
          <t>O</t>
        </is>
      </c>
    </row>
    <row r="455">
      <c r="A455" t="inlineStr">
        <is>
          <t>637</t>
        </is>
      </c>
      <c r="B455" t="inlineStr">
        <is>
          <t>SR 1606</t>
        </is>
      </c>
      <c r="C455">
        <v>0.0</v>
      </c>
      <c r="E455" t="inlineStr">
        <is>
          <t>SR 1547</t>
        </is>
      </c>
      <c r="F455" t="inlineStr">
        <is>
          <t>SR 1607</t>
        </is>
      </c>
      <c r="G455" t="inlineStr">
        <is>
          <t>SR 1606</t>
        </is>
      </c>
      <c r="H455">
        <v>1.587</v>
      </c>
      <c r="J455">
        <v>107059898</v>
      </c>
      <c r="K455" t="inlineStr">
        <is>
          <t>8/29/2022</t>
        </is>
      </c>
      <c r="L455">
        <v>30</v>
      </c>
      <c r="M455">
        <v>1</v>
      </c>
      <c r="N455">
        <v>7</v>
      </c>
      <c r="O455">
        <v>3</v>
      </c>
      <c r="P455" t="inlineStr">
        <is>
          <t>O</t>
        </is>
      </c>
    </row>
    <row r="456">
      <c r="A456" t="inlineStr">
        <is>
          <t>0</t>
        </is>
      </c>
      <c r="B456" t="inlineStr">
        <is>
          <t>SR 1606</t>
        </is>
      </c>
      <c r="C456">
        <v>0.0</v>
      </c>
      <c r="E456" t="inlineStr">
        <is>
          <t>SR 1547</t>
        </is>
      </c>
      <c r="F456" t="inlineStr">
        <is>
          <t>SR 1607</t>
        </is>
      </c>
      <c r="G456" t="inlineStr">
        <is>
          <t>SR 1606</t>
        </is>
      </c>
      <c r="H456">
        <v>1.587</v>
      </c>
      <c r="J456">
        <v>106277793</v>
      </c>
      <c r="K456" t="inlineStr">
        <is>
          <t>7/14/2020</t>
        </is>
      </c>
      <c r="L456">
        <v>30</v>
      </c>
      <c r="M456">
        <v>1</v>
      </c>
      <c r="N456">
        <v>7</v>
      </c>
      <c r="O456">
        <v>1</v>
      </c>
      <c r="P456" t="inlineStr">
        <is>
          <t>C</t>
        </is>
      </c>
    </row>
    <row r="457">
      <c r="A457" t="inlineStr">
        <is>
          <t>0</t>
        </is>
      </c>
      <c r="B457" t="inlineStr">
        <is>
          <t>SR 1606</t>
        </is>
      </c>
      <c r="C457">
        <v>0.0</v>
      </c>
      <c r="E457" t="inlineStr">
        <is>
          <t>SR 1547</t>
        </is>
      </c>
      <c r="F457" t="inlineStr">
        <is>
          <t>NC 218</t>
        </is>
      </c>
      <c r="G457" t="inlineStr">
        <is>
          <t>SR 1606</t>
        </is>
      </c>
      <c r="H457">
        <v>1.587</v>
      </c>
      <c r="J457">
        <v>105873568</v>
      </c>
      <c r="K457" t="inlineStr">
        <is>
          <t>5/18/2019</t>
        </is>
      </c>
      <c r="L457">
        <v>30</v>
      </c>
      <c r="M457">
        <v>1</v>
      </c>
      <c r="N457">
        <v>7</v>
      </c>
      <c r="O457">
        <v>1</v>
      </c>
      <c r="P457" t="inlineStr">
        <is>
          <t>O</t>
        </is>
      </c>
    </row>
    <row r="458">
      <c r="A458" t="inlineStr">
        <is>
          <t>637</t>
        </is>
      </c>
      <c r="B458" t="inlineStr">
        <is>
          <t>SR 1606</t>
        </is>
      </c>
      <c r="C458">
        <v>0.0</v>
      </c>
      <c r="E458" t="inlineStr">
        <is>
          <t>SR 1547</t>
        </is>
      </c>
      <c r="F458" t="inlineStr">
        <is>
          <t>NC 218</t>
        </is>
      </c>
      <c r="G458" t="inlineStr">
        <is>
          <t>SR 1606</t>
        </is>
      </c>
      <c r="H458">
        <v>1.587</v>
      </c>
      <c r="J458">
        <v>105289308</v>
      </c>
      <c r="K458" t="inlineStr">
        <is>
          <t>11/11/2017</t>
        </is>
      </c>
      <c r="L458">
        <v>30</v>
      </c>
      <c r="M458">
        <v>1</v>
      </c>
      <c r="N458">
        <v>7</v>
      </c>
      <c r="O458">
        <v>1</v>
      </c>
      <c r="P458" t="inlineStr">
        <is>
          <t>B</t>
        </is>
      </c>
    </row>
    <row r="459">
      <c r="A459" t="inlineStr">
        <is>
          <t>0</t>
        </is>
      </c>
      <c r="B459" t="inlineStr">
        <is>
          <t>SR 1606</t>
        </is>
      </c>
      <c r="C459">
        <v>0.0</v>
      </c>
      <c r="E459" t="inlineStr">
        <is>
          <t>SR 1547</t>
        </is>
      </c>
      <c r="F459" t="inlineStr">
        <is>
          <t>SR 1607</t>
        </is>
      </c>
      <c r="G459" t="inlineStr">
        <is>
          <t>SR 1606</t>
        </is>
      </c>
      <c r="H459">
        <v>1.587</v>
      </c>
      <c r="J459">
        <v>107960659</v>
      </c>
      <c r="K459" t="inlineStr">
        <is>
          <t>12/15/2024</t>
        </is>
      </c>
      <c r="L459">
        <v>30</v>
      </c>
      <c r="M459">
        <v>1</v>
      </c>
      <c r="N459">
        <v>7</v>
      </c>
      <c r="O459">
        <v>5</v>
      </c>
      <c r="P459" t="inlineStr">
        <is>
          <t>C</t>
        </is>
      </c>
      <c r="Q459">
        <v>35.147841</v>
      </c>
      <c r="R459">
        <v>-80.47553</v>
      </c>
      <c r="S459" t="inlineStr">
        <is>
          <t>DMV349CLEANED</t>
        </is>
      </c>
    </row>
    <row r="460">
      <c r="A460" t="inlineStr">
        <is>
          <t>637</t>
        </is>
      </c>
      <c r="B460" t="inlineStr">
        <is>
          <t>SR 1606</t>
        </is>
      </c>
      <c r="C460">
        <v>0.0</v>
      </c>
      <c r="E460" t="inlineStr">
        <is>
          <t>SR 1547</t>
        </is>
      </c>
      <c r="F460" t="inlineStr">
        <is>
          <t>NC 218</t>
        </is>
      </c>
      <c r="G460" t="inlineStr">
        <is>
          <t>SR 1606</t>
        </is>
      </c>
      <c r="H460">
        <v>1.587</v>
      </c>
      <c r="J460">
        <v>107701512</v>
      </c>
      <c r="K460" t="inlineStr">
        <is>
          <t>4/27/2024</t>
        </is>
      </c>
      <c r="L460">
        <v>30</v>
      </c>
      <c r="M460">
        <v>1</v>
      </c>
      <c r="N460">
        <v>8</v>
      </c>
      <c r="O460">
        <v>1</v>
      </c>
      <c r="P460" t="inlineStr">
        <is>
          <t>O</t>
        </is>
      </c>
      <c r="Q460">
        <v>35.15793</v>
      </c>
      <c r="R460">
        <v>-80.47559</v>
      </c>
      <c r="S460" t="inlineStr">
        <is>
          <t>DMV349CLEANED</t>
        </is>
      </c>
    </row>
    <row r="461">
      <c r="A461" t="inlineStr">
        <is>
          <t>637</t>
        </is>
      </c>
      <c r="B461" t="inlineStr">
        <is>
          <t>SR 1606</t>
        </is>
      </c>
      <c r="C461">
        <v>0.1</v>
      </c>
      <c r="D461" t="inlineStr">
        <is>
          <t>S</t>
        </is>
      </c>
      <c r="E461" t="inlineStr">
        <is>
          <t>SR 1547</t>
        </is>
      </c>
      <c r="F461" t="inlineStr">
        <is>
          <t>NC 218</t>
        </is>
      </c>
      <c r="G461" t="inlineStr">
        <is>
          <t>SR 1606</t>
        </is>
      </c>
      <c r="H461">
        <v>1.687</v>
      </c>
      <c r="J461">
        <v>106095719</v>
      </c>
      <c r="K461" t="inlineStr">
        <is>
          <t>12/9/2019</t>
        </is>
      </c>
      <c r="L461">
        <v>17</v>
      </c>
      <c r="M461">
        <v>1</v>
      </c>
      <c r="N461">
        <v>0</v>
      </c>
      <c r="O461">
        <v>3</v>
      </c>
      <c r="P461" t="inlineStr">
        <is>
          <t>O</t>
        </is>
      </c>
    </row>
    <row r="462">
      <c r="A462" t="inlineStr">
        <is>
          <t>637</t>
        </is>
      </c>
      <c r="B462" t="inlineStr">
        <is>
          <t>SR 1606</t>
        </is>
      </c>
      <c r="C462">
        <v>0.2</v>
      </c>
      <c r="D462" t="inlineStr">
        <is>
          <t>S</t>
        </is>
      </c>
      <c r="E462" t="inlineStr">
        <is>
          <t>SR 1547</t>
        </is>
      </c>
      <c r="F462" t="inlineStr">
        <is>
          <t>NC 218</t>
        </is>
      </c>
      <c r="G462" t="inlineStr">
        <is>
          <t>SR 1606</t>
        </is>
      </c>
      <c r="H462">
        <v>1.787</v>
      </c>
      <c r="J462">
        <v>105043332</v>
      </c>
      <c r="K462" t="inlineStr">
        <is>
          <t>3/16/2017</t>
        </is>
      </c>
      <c r="L462">
        <v>29</v>
      </c>
      <c r="M462">
        <v>1</v>
      </c>
      <c r="N462">
        <v>0</v>
      </c>
      <c r="O462">
        <v>1</v>
      </c>
      <c r="P462" t="inlineStr">
        <is>
          <t>O</t>
        </is>
      </c>
    </row>
    <row r="463">
      <c r="A463" t="inlineStr">
        <is>
          <t>0</t>
        </is>
      </c>
      <c r="B463" t="inlineStr">
        <is>
          <t>SR 1606</t>
        </is>
      </c>
      <c r="C463">
        <v>0.2</v>
      </c>
      <c r="D463" t="inlineStr">
        <is>
          <t>S</t>
        </is>
      </c>
      <c r="E463" t="inlineStr">
        <is>
          <t>SR 1547</t>
        </is>
      </c>
      <c r="F463" t="inlineStr">
        <is>
          <t>SR 1607</t>
        </is>
      </c>
      <c r="G463" t="inlineStr">
        <is>
          <t>SR 1606</t>
        </is>
      </c>
      <c r="H463">
        <v>1.787</v>
      </c>
      <c r="J463">
        <v>104980363</v>
      </c>
      <c r="K463" t="inlineStr">
        <is>
          <t>1/18/2017</t>
        </is>
      </c>
      <c r="L463">
        <v>29</v>
      </c>
      <c r="M463">
        <v>1</v>
      </c>
      <c r="N463">
        <v>0</v>
      </c>
      <c r="O463">
        <v>1</v>
      </c>
      <c r="P463" t="inlineStr">
        <is>
          <t>A</t>
        </is>
      </c>
    </row>
    <row r="464">
      <c r="A464" t="inlineStr">
        <is>
          <t>650</t>
        </is>
      </c>
      <c r="B464" t="inlineStr">
        <is>
          <t>SR 1606</t>
        </is>
      </c>
      <c r="C464">
        <v>1.0</v>
      </c>
      <c r="D464" t="inlineStr">
        <is>
          <t>N</t>
        </is>
      </c>
      <c r="E464" t="inlineStr">
        <is>
          <t>NC 218</t>
        </is>
      </c>
      <c r="F464" t="inlineStr">
        <is>
          <t>SR 1547</t>
        </is>
      </c>
      <c r="G464" t="inlineStr">
        <is>
          <t>SR 1606</t>
        </is>
      </c>
      <c r="H464">
        <v>1.941</v>
      </c>
      <c r="J464">
        <v>106491238</v>
      </c>
      <c r="K464" t="inlineStr">
        <is>
          <t>2/16/2021</t>
        </is>
      </c>
      <c r="L464">
        <v>17</v>
      </c>
      <c r="M464">
        <v>2</v>
      </c>
      <c r="N464">
        <v>0</v>
      </c>
      <c r="O464">
        <v>1</v>
      </c>
      <c r="P464" t="inlineStr">
        <is>
          <t>O</t>
        </is>
      </c>
    </row>
    <row r="465">
      <c r="A465" t="inlineStr">
        <is>
          <t>637</t>
        </is>
      </c>
      <c r="B465" t="inlineStr">
        <is>
          <t>SR 1606</t>
        </is>
      </c>
      <c r="C465">
        <v>0.8</v>
      </c>
      <c r="D465" t="inlineStr">
        <is>
          <t>N</t>
        </is>
      </c>
      <c r="E465" t="inlineStr">
        <is>
          <t>NC 218</t>
        </is>
      </c>
      <c r="F465" t="inlineStr">
        <is>
          <t>SR 1547</t>
        </is>
      </c>
      <c r="G465" t="inlineStr">
        <is>
          <t>SR 1606</t>
        </is>
      </c>
      <c r="H465">
        <v>2.141</v>
      </c>
      <c r="J465">
        <v>107927512</v>
      </c>
      <c r="K465" t="inlineStr">
        <is>
          <t>11/18/2024</t>
        </is>
      </c>
      <c r="L465">
        <v>17</v>
      </c>
      <c r="M465">
        <v>1</v>
      </c>
      <c r="N465">
        <v>0</v>
      </c>
      <c r="O465">
        <v>5</v>
      </c>
      <c r="P465" t="inlineStr">
        <is>
          <t>O</t>
        </is>
      </c>
      <c r="Q465">
        <v>35.14643</v>
      </c>
      <c r="R465">
        <v>-80.47709</v>
      </c>
      <c r="S465" t="inlineStr">
        <is>
          <t>DMV349CLEANED</t>
        </is>
      </c>
    </row>
    <row r="466">
      <c r="A466" t="inlineStr">
        <is>
          <t>0</t>
        </is>
      </c>
      <c r="B466" t="inlineStr">
        <is>
          <t>SR 1606</t>
        </is>
      </c>
      <c r="C466">
        <v>0.8</v>
      </c>
      <c r="D466" t="inlineStr">
        <is>
          <t>N</t>
        </is>
      </c>
      <c r="E466" t="inlineStr">
        <is>
          <t>NC 218</t>
        </is>
      </c>
      <c r="F466" t="inlineStr">
        <is>
          <t>SR 1547</t>
        </is>
      </c>
      <c r="G466" t="inlineStr">
        <is>
          <t>SR 1606</t>
        </is>
      </c>
      <c r="H466">
        <v>2.141</v>
      </c>
      <c r="J466">
        <v>105380811</v>
      </c>
      <c r="K466" t="inlineStr">
        <is>
          <t>2/1/2018</t>
        </is>
      </c>
      <c r="L466">
        <v>28</v>
      </c>
      <c r="M466">
        <v>1</v>
      </c>
      <c r="N466">
        <v>0</v>
      </c>
      <c r="O466">
        <v>5</v>
      </c>
      <c r="P466" t="inlineStr">
        <is>
          <t>O</t>
        </is>
      </c>
    </row>
    <row r="467">
      <c r="A467" t="inlineStr">
        <is>
          <t>0</t>
        </is>
      </c>
      <c r="B467" t="inlineStr">
        <is>
          <t>SR 1606</t>
        </is>
      </c>
      <c r="C467">
        <v>0.6</v>
      </c>
      <c r="D467" t="inlineStr">
        <is>
          <t>S</t>
        </is>
      </c>
      <c r="E467" t="inlineStr">
        <is>
          <t>SR 1547</t>
        </is>
      </c>
      <c r="F467" t="inlineStr">
        <is>
          <t>NC 218</t>
        </is>
      </c>
      <c r="G467" t="inlineStr">
        <is>
          <t>SR 1606</t>
        </is>
      </c>
      <c r="H467">
        <v>2.187</v>
      </c>
      <c r="J467">
        <v>107283618</v>
      </c>
      <c r="K467" t="inlineStr">
        <is>
          <t>3/25/2023</t>
        </is>
      </c>
      <c r="L467">
        <v>19</v>
      </c>
      <c r="M467">
        <v>2</v>
      </c>
      <c r="N467">
        <v>0</v>
      </c>
      <c r="O467">
        <v>1</v>
      </c>
      <c r="P467" t="inlineStr">
        <is>
          <t>O</t>
        </is>
      </c>
    </row>
    <row r="468">
      <c r="A468" t="inlineStr">
        <is>
          <t>637</t>
        </is>
      </c>
      <c r="B468" t="inlineStr">
        <is>
          <t>SR 1606</t>
        </is>
      </c>
      <c r="C468">
        <v>1.0</v>
      </c>
      <c r="D468" t="inlineStr">
        <is>
          <t>S</t>
        </is>
      </c>
      <c r="E468" t="inlineStr">
        <is>
          <t>SR 1547</t>
        </is>
      </c>
      <c r="F468" t="inlineStr">
        <is>
          <t>NC 218</t>
        </is>
      </c>
      <c r="G468" t="inlineStr">
        <is>
          <t>SR 1606</t>
        </is>
      </c>
      <c r="H468">
        <v>2.587</v>
      </c>
      <c r="J468">
        <v>105685863</v>
      </c>
      <c r="K468" t="inlineStr">
        <is>
          <t>11/21/2018</t>
        </is>
      </c>
      <c r="L468">
        <v>17</v>
      </c>
      <c r="M468">
        <v>1</v>
      </c>
      <c r="N468">
        <v>0</v>
      </c>
      <c r="O468">
        <v>1</v>
      </c>
      <c r="P468" t="inlineStr">
        <is>
          <t>O</t>
        </is>
      </c>
    </row>
    <row r="469">
      <c r="A469" t="inlineStr">
        <is>
          <t>0</t>
        </is>
      </c>
      <c r="B469" t="inlineStr">
        <is>
          <t>SR 1606</t>
        </is>
      </c>
      <c r="C469">
        <v>0.1</v>
      </c>
      <c r="D469" t="inlineStr">
        <is>
          <t>N</t>
        </is>
      </c>
      <c r="E469" t="inlineStr">
        <is>
          <t>NC 218</t>
        </is>
      </c>
      <c r="F469" t="inlineStr">
        <is>
          <t>SR 1547</t>
        </is>
      </c>
      <c r="G469" t="inlineStr">
        <is>
          <t>SR 1606</t>
        </is>
      </c>
      <c r="H469">
        <v>2.841</v>
      </c>
      <c r="J469">
        <v>105201844</v>
      </c>
      <c r="K469" t="inlineStr">
        <is>
          <t>8/22/2017</t>
        </is>
      </c>
      <c r="L469">
        <v>29</v>
      </c>
      <c r="M469">
        <v>1</v>
      </c>
      <c r="N469">
        <v>0</v>
      </c>
      <c r="O469">
        <v>1</v>
      </c>
      <c r="P469" t="inlineStr">
        <is>
          <t>O</t>
        </is>
      </c>
    </row>
    <row r="470">
      <c r="A470" t="inlineStr">
        <is>
          <t>637</t>
        </is>
      </c>
      <c r="B470" t="inlineStr">
        <is>
          <t>SR 1606</t>
        </is>
      </c>
      <c r="C470">
        <v>0.004</v>
      </c>
      <c r="D470" t="inlineStr">
        <is>
          <t>N</t>
        </is>
      </c>
      <c r="E470" t="inlineStr">
        <is>
          <t>NC 218</t>
        </is>
      </c>
      <c r="F470" t="inlineStr">
        <is>
          <t>SR 1547</t>
        </is>
      </c>
      <c r="G470" t="inlineStr">
        <is>
          <t>SR 1606</t>
        </is>
      </c>
      <c r="H470">
        <v>2.937</v>
      </c>
      <c r="J470">
        <v>104726358</v>
      </c>
      <c r="K470" t="inlineStr">
        <is>
          <t>5/7/2016</t>
        </is>
      </c>
      <c r="L470">
        <v>19</v>
      </c>
      <c r="M470">
        <v>1</v>
      </c>
      <c r="N470">
        <v>0</v>
      </c>
      <c r="O470">
        <v>5</v>
      </c>
      <c r="P470" t="inlineStr">
        <is>
          <t>C</t>
        </is>
      </c>
    </row>
    <row r="471">
      <c r="A471" t="inlineStr">
        <is>
          <t>637</t>
        </is>
      </c>
      <c r="B471" t="inlineStr">
        <is>
          <t>SR 1606</t>
        </is>
      </c>
      <c r="C471">
        <v>0.0</v>
      </c>
      <c r="E471" t="inlineStr">
        <is>
          <t>NC 218</t>
        </is>
      </c>
      <c r="F471" t="inlineStr">
        <is>
          <t>*LCL OLD FISH RD</t>
        </is>
      </c>
      <c r="G471" t="inlineStr">
        <is>
          <t>SR 1606</t>
        </is>
      </c>
      <c r="H471">
        <v>2.941</v>
      </c>
      <c r="J471">
        <v>108248400</v>
      </c>
      <c r="K471" t="inlineStr">
        <is>
          <t>9/24/2025</t>
        </is>
      </c>
      <c r="L471">
        <v>28</v>
      </c>
      <c r="M471">
        <v>1</v>
      </c>
      <c r="N471">
        <v>10</v>
      </c>
      <c r="O471">
        <v>1</v>
      </c>
      <c r="P471" t="inlineStr">
        <is>
          <t>O</t>
        </is>
      </c>
      <c r="Q471">
        <v>35.130707</v>
      </c>
      <c r="R471">
        <v>-80.47909</v>
      </c>
      <c r="S471" t="inlineStr">
        <is>
          <t>DMV349CLEANED</t>
        </is>
      </c>
    </row>
    <row r="472">
      <c r="A472" t="inlineStr">
        <is>
          <t>0</t>
        </is>
      </c>
      <c r="B472" t="inlineStr">
        <is>
          <t>SR 1606</t>
        </is>
      </c>
      <c r="C472">
        <v>0.0</v>
      </c>
      <c r="E472" t="inlineStr">
        <is>
          <t>NC 218</t>
        </is>
      </c>
      <c r="F472" t="inlineStr">
        <is>
          <t>SR 1610</t>
        </is>
      </c>
      <c r="G472" t="inlineStr">
        <is>
          <t>SR 1606</t>
        </is>
      </c>
      <c r="H472">
        <v>2.941</v>
      </c>
      <c r="J472">
        <v>106157650</v>
      </c>
      <c r="K472" t="inlineStr">
        <is>
          <t>2/13/2020</t>
        </is>
      </c>
      <c r="L472">
        <v>21</v>
      </c>
      <c r="M472">
        <v>1</v>
      </c>
      <c r="N472">
        <v>8</v>
      </c>
      <c r="O472">
        <v>5</v>
      </c>
      <c r="P472" t="inlineStr">
        <is>
          <t>C</t>
        </is>
      </c>
    </row>
    <row r="473">
      <c r="A473" t="inlineStr">
        <is>
          <t>637</t>
        </is>
      </c>
      <c r="B473" t="inlineStr">
        <is>
          <t>SR 1606</t>
        </is>
      </c>
      <c r="C473">
        <v>0.0</v>
      </c>
      <c r="E473" t="inlineStr">
        <is>
          <t>NC 218</t>
        </is>
      </c>
      <c r="F473" t="inlineStr">
        <is>
          <t>SR 1609</t>
        </is>
      </c>
      <c r="G473" t="inlineStr">
        <is>
          <t>SR 1606</t>
        </is>
      </c>
      <c r="H473">
        <v>2.941</v>
      </c>
      <c r="J473">
        <v>105168368</v>
      </c>
      <c r="K473" t="inlineStr">
        <is>
          <t>7/21/2017</t>
        </is>
      </c>
      <c r="L473">
        <v>30</v>
      </c>
      <c r="M473">
        <v>1</v>
      </c>
      <c r="N473">
        <v>7</v>
      </c>
      <c r="O473">
        <v>1</v>
      </c>
      <c r="P473" t="inlineStr">
        <is>
          <t>O</t>
        </is>
      </c>
    </row>
    <row r="474">
      <c r="A474" t="inlineStr">
        <is>
          <t>637</t>
        </is>
      </c>
      <c r="B474" t="inlineStr">
        <is>
          <t>SR 1606</t>
        </is>
      </c>
      <c r="C474">
        <v>0.006</v>
      </c>
      <c r="D474" t="inlineStr">
        <is>
          <t>S</t>
        </is>
      </c>
      <c r="E474" t="inlineStr">
        <is>
          <t>NC 218</t>
        </is>
      </c>
      <c r="F474" t="inlineStr">
        <is>
          <t>SR 1610</t>
        </is>
      </c>
      <c r="G474" t="inlineStr">
        <is>
          <t>SR 1606</t>
        </is>
      </c>
      <c r="H474">
        <v>2.947</v>
      </c>
      <c r="J474">
        <v>107743765</v>
      </c>
      <c r="K474" t="inlineStr">
        <is>
          <t>6/5/2024</t>
        </is>
      </c>
      <c r="L474">
        <v>29</v>
      </c>
      <c r="M474">
        <v>2</v>
      </c>
      <c r="N474">
        <v>7</v>
      </c>
      <c r="O474">
        <v>1</v>
      </c>
      <c r="P474" t="inlineStr">
        <is>
          <t>O</t>
        </is>
      </c>
    </row>
    <row r="475">
      <c r="A475" t="inlineStr">
        <is>
          <t>637</t>
        </is>
      </c>
      <c r="B475" t="inlineStr">
        <is>
          <t>SR 1606</t>
        </is>
      </c>
      <c r="C475">
        <v>0.0</v>
      </c>
      <c r="E475" t="inlineStr">
        <is>
          <t>SR 1610</t>
        </is>
      </c>
      <c r="F475" t="inlineStr">
        <is>
          <t>NC 218</t>
        </is>
      </c>
      <c r="G475" t="inlineStr">
        <is>
          <t>SR 1606</t>
        </is>
      </c>
      <c r="H475">
        <v>3.158</v>
      </c>
      <c r="J475">
        <v>108370708</v>
      </c>
      <c r="K475" t="inlineStr">
        <is>
          <t>1/13/2026</t>
        </is>
      </c>
      <c r="L475">
        <v>25</v>
      </c>
      <c r="M475">
        <v>1</v>
      </c>
      <c r="N475">
        <v>0</v>
      </c>
      <c r="O475">
        <v>1</v>
      </c>
      <c r="P475" t="inlineStr">
        <is>
          <t>O</t>
        </is>
      </c>
      <c r="Q475">
        <v>35.127524</v>
      </c>
      <c r="R475">
        <v>-80.47974</v>
      </c>
      <c r="S475" t="inlineStr">
        <is>
          <t>DMV349CLEANED</t>
        </is>
      </c>
    </row>
    <row r="476">
      <c r="A476" t="inlineStr">
        <is>
          <t>0</t>
        </is>
      </c>
      <c r="B476" t="inlineStr">
        <is>
          <t>SR 1606</t>
        </is>
      </c>
      <c r="C476">
        <v>0.04</v>
      </c>
      <c r="D476" t="inlineStr">
        <is>
          <t>N</t>
        </is>
      </c>
      <c r="E476" t="inlineStr">
        <is>
          <t>SR 1654</t>
        </is>
      </c>
      <c r="F476" t="inlineStr">
        <is>
          <t>SR 1610</t>
        </is>
      </c>
      <c r="G476" t="inlineStr">
        <is>
          <t>SR 1606</t>
        </is>
      </c>
      <c r="H476">
        <v>3.539</v>
      </c>
      <c r="J476">
        <v>107733744</v>
      </c>
      <c r="K476" t="inlineStr">
        <is>
          <t>5/27/2024</t>
        </is>
      </c>
      <c r="L476">
        <v>19</v>
      </c>
      <c r="M476">
        <v>1</v>
      </c>
      <c r="N476">
        <v>0</v>
      </c>
      <c r="O476">
        <v>1</v>
      </c>
      <c r="P476" t="inlineStr">
        <is>
          <t>O</t>
        </is>
      </c>
      <c r="Q476">
        <v>35.12204</v>
      </c>
      <c r="R476">
        <v>-80.47925</v>
      </c>
      <c r="S476" t="inlineStr">
        <is>
          <t>DMV349CLEANED</t>
        </is>
      </c>
    </row>
    <row r="477">
      <c r="A477" t="inlineStr">
        <is>
          <t>558</t>
        </is>
      </c>
      <c r="B477" t="inlineStr">
        <is>
          <t>SR 1606</t>
        </is>
      </c>
      <c r="C477">
        <v>0.1</v>
      </c>
      <c r="D477" t="inlineStr">
        <is>
          <t>S</t>
        </is>
      </c>
      <c r="E477" t="inlineStr">
        <is>
          <t>SR 1654</t>
        </is>
      </c>
      <c r="F477" t="inlineStr">
        <is>
          <t>SR 1675</t>
        </is>
      </c>
      <c r="G477" t="inlineStr">
        <is>
          <t>SR 1606</t>
        </is>
      </c>
      <c r="H477">
        <v>3.679</v>
      </c>
      <c r="J477">
        <v>105220541</v>
      </c>
      <c r="K477" t="inlineStr">
        <is>
          <t>9/11/2017</t>
        </is>
      </c>
      <c r="L477">
        <v>19</v>
      </c>
      <c r="M477">
        <v>2</v>
      </c>
      <c r="N477">
        <v>0</v>
      </c>
      <c r="O477">
        <v>5</v>
      </c>
      <c r="P477" t="inlineStr">
        <is>
          <t>O</t>
        </is>
      </c>
    </row>
    <row r="478">
      <c r="A478" t="inlineStr">
        <is>
          <t>0</t>
        </is>
      </c>
      <c r="B478" t="inlineStr">
        <is>
          <t>SR 1606</t>
        </is>
      </c>
      <c r="C478">
        <v>0.0</v>
      </c>
      <c r="E478" t="inlineStr">
        <is>
          <t>SR 1675</t>
        </is>
      </c>
      <c r="F478" t="inlineStr">
        <is>
          <t>SR 1611</t>
        </is>
      </c>
      <c r="G478" t="inlineStr">
        <is>
          <t>SR 1606</t>
        </is>
      </c>
      <c r="H478">
        <v>3.821</v>
      </c>
      <c r="J478">
        <v>106117532</v>
      </c>
      <c r="K478" t="inlineStr">
        <is>
          <t>1/5/2020</t>
        </is>
      </c>
      <c r="L478">
        <v>24</v>
      </c>
      <c r="M478">
        <v>1</v>
      </c>
      <c r="N478">
        <v>8</v>
      </c>
      <c r="O478">
        <v>1</v>
      </c>
      <c r="P478" t="inlineStr">
        <is>
          <t>C</t>
        </is>
      </c>
    </row>
    <row r="479">
      <c r="A479" t="inlineStr">
        <is>
          <t>558</t>
        </is>
      </c>
      <c r="B479" t="inlineStr">
        <is>
          <t>SR 1606</t>
        </is>
      </c>
      <c r="C479">
        <v>0.002</v>
      </c>
      <c r="D479" t="inlineStr">
        <is>
          <t>S</t>
        </is>
      </c>
      <c r="E479" t="inlineStr">
        <is>
          <t>SR 1611</t>
        </is>
      </c>
      <c r="F479" t="inlineStr">
        <is>
          <t>SR 1615</t>
        </is>
      </c>
      <c r="G479" t="inlineStr">
        <is>
          <t>SR 1606</t>
        </is>
      </c>
      <c r="H479">
        <v>4.011</v>
      </c>
      <c r="J479">
        <v>104963318</v>
      </c>
      <c r="K479" t="inlineStr">
        <is>
          <t>12/27/2016</t>
        </is>
      </c>
      <c r="L479">
        <v>21</v>
      </c>
      <c r="M479">
        <v>1</v>
      </c>
      <c r="N479">
        <v>8</v>
      </c>
      <c r="O479">
        <v>1</v>
      </c>
      <c r="P479" t="inlineStr">
        <is>
          <t>A</t>
        </is>
      </c>
    </row>
    <row r="480">
      <c r="A480" t="inlineStr">
        <is>
          <t>558</t>
        </is>
      </c>
      <c r="B480" t="inlineStr">
        <is>
          <t>SR 1606</t>
        </is>
      </c>
      <c r="C480">
        <v>0.2</v>
      </c>
      <c r="D480" t="inlineStr">
        <is>
          <t>SW</t>
        </is>
      </c>
      <c r="E480" t="inlineStr">
        <is>
          <t>SR 1611</t>
        </is>
      </c>
      <c r="F480" t="inlineStr">
        <is>
          <t>SR 1615</t>
        </is>
      </c>
      <c r="G480" t="inlineStr">
        <is>
          <t>SR 1606</t>
        </is>
      </c>
      <c r="H480">
        <v>4.209</v>
      </c>
      <c r="J480">
        <v>106998073</v>
      </c>
      <c r="K480" t="inlineStr">
        <is>
          <t>6/25/2022</t>
        </is>
      </c>
      <c r="L480">
        <v>19</v>
      </c>
      <c r="M480">
        <v>1</v>
      </c>
      <c r="N480">
        <v>0</v>
      </c>
      <c r="O480">
        <v>1</v>
      </c>
      <c r="P480" t="inlineStr">
        <is>
          <t>B</t>
        </is>
      </c>
    </row>
    <row r="481">
      <c r="A481" t="inlineStr">
        <is>
          <t>558</t>
        </is>
      </c>
      <c r="B481" t="inlineStr">
        <is>
          <t>SR 1606</t>
        </is>
      </c>
      <c r="C481">
        <v>0.21</v>
      </c>
      <c r="D481" t="inlineStr">
        <is>
          <t>S</t>
        </is>
      </c>
      <c r="E481" t="inlineStr">
        <is>
          <t>SR 1611</t>
        </is>
      </c>
      <c r="F481" t="inlineStr">
        <is>
          <t>SR 1615</t>
        </is>
      </c>
      <c r="G481" t="inlineStr">
        <is>
          <t>SR 1606</t>
        </is>
      </c>
      <c r="H481">
        <v>4.219</v>
      </c>
      <c r="J481">
        <v>107562167</v>
      </c>
      <c r="K481" t="inlineStr">
        <is>
          <t>12/13/2023</t>
        </is>
      </c>
      <c r="L481">
        <v>29</v>
      </c>
      <c r="M481">
        <v>1</v>
      </c>
      <c r="N481">
        <v>0</v>
      </c>
      <c r="O481">
        <v>5</v>
      </c>
      <c r="P481" t="inlineStr">
        <is>
          <t>O</t>
        </is>
      </c>
      <c r="Q481">
        <v>35.11529</v>
      </c>
      <c r="R481">
        <v>-80.48699</v>
      </c>
      <c r="S481" t="inlineStr">
        <is>
          <t>DMV349CLEANED</t>
        </is>
      </c>
    </row>
    <row r="482">
      <c r="A482" t="inlineStr">
        <is>
          <t>558</t>
        </is>
      </c>
      <c r="B482" t="inlineStr">
        <is>
          <t>SR 1606</t>
        </is>
      </c>
      <c r="C482">
        <v>0.25</v>
      </c>
      <c r="D482" t="inlineStr">
        <is>
          <t>S</t>
        </is>
      </c>
      <c r="E482" t="inlineStr">
        <is>
          <t>SR 1611</t>
        </is>
      </c>
      <c r="F482" t="inlineStr">
        <is>
          <t>SR 1615</t>
        </is>
      </c>
      <c r="G482" t="inlineStr">
        <is>
          <t>SR 1606</t>
        </is>
      </c>
      <c r="H482">
        <v>4.259</v>
      </c>
      <c r="J482">
        <v>108527675</v>
      </c>
      <c r="K482" t="inlineStr">
        <is>
          <t>6/11/2026</t>
        </is>
      </c>
      <c r="L482">
        <v>21</v>
      </c>
      <c r="M482">
        <v>1</v>
      </c>
      <c r="N482">
        <v>0</v>
      </c>
      <c r="O482">
        <v>1</v>
      </c>
      <c r="P482" t="inlineStr">
        <is>
          <t>C</t>
        </is>
      </c>
      <c r="Q482">
        <v>35.116088</v>
      </c>
      <c r="R482">
        <v>-80.48566</v>
      </c>
      <c r="S482" t="inlineStr">
        <is>
          <t>DMV349</t>
        </is>
      </c>
    </row>
    <row r="483">
      <c r="A483" t="inlineStr">
        <is>
          <t>0</t>
        </is>
      </c>
      <c r="B483" t="inlineStr">
        <is>
          <t>SR 1606</t>
        </is>
      </c>
      <c r="C483">
        <v>2.7</v>
      </c>
      <c r="D483" t="inlineStr">
        <is>
          <t>S</t>
        </is>
      </c>
      <c r="E483" t="inlineStr">
        <is>
          <t>SR 1547</t>
        </is>
      </c>
      <c r="F483" t="inlineStr">
        <is>
          <t>NC 218</t>
        </is>
      </c>
      <c r="G483" t="inlineStr">
        <is>
          <t>SR 1606</t>
        </is>
      </c>
      <c r="H483">
        <v>4.287</v>
      </c>
      <c r="J483">
        <v>106169959</v>
      </c>
      <c r="K483" t="inlineStr">
        <is>
          <t>2/25/2020</t>
        </is>
      </c>
      <c r="L483">
        <v>17</v>
      </c>
      <c r="M483">
        <v>1</v>
      </c>
      <c r="N483">
        <v>0</v>
      </c>
      <c r="O483">
        <v>5</v>
      </c>
      <c r="P483" t="inlineStr">
        <is>
          <t>O</t>
        </is>
      </c>
    </row>
    <row r="484">
      <c r="A484" t="inlineStr">
        <is>
          <t>558</t>
        </is>
      </c>
      <c r="B484" t="inlineStr">
        <is>
          <t>SR 1606</t>
        </is>
      </c>
      <c r="C484">
        <v>0.009</v>
      </c>
      <c r="D484" t="inlineStr">
        <is>
          <t>N</t>
        </is>
      </c>
      <c r="E484" t="inlineStr">
        <is>
          <t>SR 1615</t>
        </is>
      </c>
      <c r="F484" t="inlineStr">
        <is>
          <t>SR 1611</t>
        </is>
      </c>
      <c r="G484" t="inlineStr">
        <is>
          <t>SR 1606</t>
        </is>
      </c>
      <c r="H484">
        <v>4.582</v>
      </c>
      <c r="J484">
        <v>105132992</v>
      </c>
      <c r="K484" t="inlineStr">
        <is>
          <t>6/11/2017</t>
        </is>
      </c>
      <c r="L484">
        <v>17</v>
      </c>
      <c r="M484">
        <v>1</v>
      </c>
      <c r="N484">
        <v>0</v>
      </c>
      <c r="O484">
        <v>5</v>
      </c>
      <c r="P484" t="inlineStr">
        <is>
          <t>O</t>
        </is>
      </c>
    </row>
    <row r="485">
      <c r="A485" t="inlineStr">
        <is>
          <t>558</t>
        </is>
      </c>
      <c r="B485" t="inlineStr">
        <is>
          <t>SR 1606</t>
        </is>
      </c>
      <c r="C485">
        <v>0.25</v>
      </c>
      <c r="D485" t="inlineStr">
        <is>
          <t>N</t>
        </is>
      </c>
      <c r="E485" t="inlineStr">
        <is>
          <t>SR 1638</t>
        </is>
      </c>
      <c r="F485" t="inlineStr">
        <is>
          <t>SR 1615</t>
        </is>
      </c>
      <c r="G485" t="inlineStr">
        <is>
          <t>SR 1606</t>
        </is>
      </c>
      <c r="H485">
        <v>4.766</v>
      </c>
      <c r="J485">
        <v>106462109</v>
      </c>
      <c r="K485" t="inlineStr">
        <is>
          <t>1/12/2021</t>
        </is>
      </c>
      <c r="L485">
        <v>19</v>
      </c>
      <c r="M485">
        <v>1</v>
      </c>
      <c r="N485">
        <v>0</v>
      </c>
      <c r="O485">
        <v>1</v>
      </c>
      <c r="P485" t="inlineStr">
        <is>
          <t>O</t>
        </is>
      </c>
    </row>
    <row r="486">
      <c r="A486" t="inlineStr">
        <is>
          <t>558</t>
        </is>
      </c>
      <c r="B486" t="inlineStr">
        <is>
          <t>SR 1606</t>
        </is>
      </c>
      <c r="C486">
        <v>0.4</v>
      </c>
      <c r="D486" t="inlineStr">
        <is>
          <t>S</t>
        </is>
      </c>
      <c r="E486" t="inlineStr">
        <is>
          <t>SR 1615</t>
        </is>
      </c>
      <c r="F486" t="inlineStr">
        <is>
          <t>SR 1678</t>
        </is>
      </c>
      <c r="G486" t="inlineStr">
        <is>
          <t>SR 1606</t>
        </is>
      </c>
      <c r="H486">
        <v>4.991</v>
      </c>
      <c r="J486">
        <v>106958785</v>
      </c>
      <c r="K486" t="inlineStr">
        <is>
          <t>5/16/2022</t>
        </is>
      </c>
      <c r="L486">
        <v>21</v>
      </c>
      <c r="M486">
        <v>1</v>
      </c>
      <c r="N486">
        <v>8</v>
      </c>
      <c r="O486">
        <v>1</v>
      </c>
      <c r="P486" t="inlineStr">
        <is>
          <t>C</t>
        </is>
      </c>
    </row>
    <row r="487">
      <c r="A487" t="inlineStr">
        <is>
          <t>0</t>
        </is>
      </c>
      <c r="B487" t="inlineStr">
        <is>
          <t>SR 1606</t>
        </is>
      </c>
      <c r="C487">
        <v>0.8</v>
      </c>
      <c r="D487" t="inlineStr">
        <is>
          <t>N</t>
        </is>
      </c>
      <c r="E487" t="inlineStr">
        <is>
          <t>SR 1678</t>
        </is>
      </c>
      <c r="F487" t="inlineStr">
        <is>
          <t>SR 1615</t>
        </is>
      </c>
      <c r="G487" t="inlineStr">
        <is>
          <t>SR 1606</t>
        </is>
      </c>
      <c r="H487">
        <v>4.996</v>
      </c>
      <c r="J487">
        <v>107584544</v>
      </c>
      <c r="K487" t="inlineStr">
        <is>
          <t>1/3/2024</t>
        </is>
      </c>
      <c r="L487">
        <v>17</v>
      </c>
      <c r="M487">
        <v>2</v>
      </c>
      <c r="N487">
        <v>0</v>
      </c>
      <c r="O487">
        <v>5</v>
      </c>
      <c r="P487" t="inlineStr">
        <is>
          <t>O</t>
        </is>
      </c>
      <c r="Q487">
        <v>35.10365</v>
      </c>
      <c r="R487">
        <v>-80.49062</v>
      </c>
      <c r="S487" t="inlineStr">
        <is>
          <t>DMV349CLEANED</t>
        </is>
      </c>
    </row>
    <row r="488">
      <c r="A488" t="inlineStr">
        <is>
          <t>558</t>
        </is>
      </c>
      <c r="B488" t="inlineStr">
        <is>
          <t>SR 1606</t>
        </is>
      </c>
      <c r="C488">
        <v>0.0</v>
      </c>
      <c r="E488" t="inlineStr">
        <is>
          <t>SR 1638</t>
        </is>
      </c>
      <c r="F488" t="inlineStr">
        <is>
          <t>SR 1678</t>
        </is>
      </c>
      <c r="G488" t="inlineStr">
        <is>
          <t>SR 1606</t>
        </is>
      </c>
      <c r="H488">
        <v>5.016</v>
      </c>
      <c r="J488">
        <v>105600736</v>
      </c>
      <c r="K488" t="inlineStr">
        <is>
          <t>9/10/2018</t>
        </is>
      </c>
      <c r="L488">
        <v>19</v>
      </c>
      <c r="M488">
        <v>2</v>
      </c>
      <c r="N488">
        <v>8</v>
      </c>
      <c r="O488">
        <v>1</v>
      </c>
      <c r="P488" t="inlineStr">
        <is>
          <t>C</t>
        </is>
      </c>
    </row>
    <row r="489">
      <c r="A489" t="inlineStr">
        <is>
          <t>558</t>
        </is>
      </c>
      <c r="B489" t="inlineStr">
        <is>
          <t>SR 1606</t>
        </is>
      </c>
      <c r="C489">
        <v>0.0</v>
      </c>
      <c r="D489" t="inlineStr">
        <is>
          <t>S</t>
        </is>
      </c>
      <c r="E489" t="inlineStr">
        <is>
          <t>SR 1638</t>
        </is>
      </c>
      <c r="F489" t="inlineStr">
        <is>
          <t>SR 1678</t>
        </is>
      </c>
      <c r="G489" t="inlineStr">
        <is>
          <t>SR 1606</t>
        </is>
      </c>
      <c r="H489">
        <v>5.016</v>
      </c>
      <c r="J489">
        <v>105805384</v>
      </c>
      <c r="K489" t="inlineStr">
        <is>
          <t>3/5/2019</t>
        </is>
      </c>
      <c r="L489">
        <v>23</v>
      </c>
      <c r="M489">
        <v>1</v>
      </c>
      <c r="N489">
        <v>0</v>
      </c>
      <c r="O489">
        <v>1</v>
      </c>
      <c r="P489" t="inlineStr">
        <is>
          <t>O</t>
        </is>
      </c>
    </row>
    <row r="490">
      <c r="A490" t="inlineStr">
        <is>
          <t>558</t>
        </is>
      </c>
      <c r="B490" t="inlineStr">
        <is>
          <t>SR 1606</t>
        </is>
      </c>
      <c r="C490">
        <v>0.079</v>
      </c>
      <c r="D490" t="inlineStr">
        <is>
          <t>S</t>
        </is>
      </c>
      <c r="E490" t="inlineStr">
        <is>
          <t>SR 1638</t>
        </is>
      </c>
      <c r="F490" t="inlineStr">
        <is>
          <t>SR 1678</t>
        </is>
      </c>
      <c r="G490" t="inlineStr">
        <is>
          <t>SR 1606</t>
        </is>
      </c>
      <c r="H490">
        <v>5.095</v>
      </c>
      <c r="J490">
        <v>107321031</v>
      </c>
      <c r="K490" t="inlineStr">
        <is>
          <t>4/20/2023</t>
        </is>
      </c>
      <c r="L490">
        <v>22</v>
      </c>
      <c r="M490">
        <v>1</v>
      </c>
      <c r="N490">
        <v>0</v>
      </c>
      <c r="O490">
        <v>1</v>
      </c>
      <c r="P490" t="inlineStr">
        <is>
          <t>K</t>
        </is>
      </c>
    </row>
    <row r="491">
      <c r="A491" t="inlineStr">
        <is>
          <t>0</t>
        </is>
      </c>
      <c r="B491" t="inlineStr">
        <is>
          <t>SR 1606</t>
        </is>
      </c>
      <c r="C491">
        <v>0.6</v>
      </c>
      <c r="D491" t="inlineStr">
        <is>
          <t>N</t>
        </is>
      </c>
      <c r="E491" t="inlineStr">
        <is>
          <t>SR 1678</t>
        </is>
      </c>
      <c r="F491" t="inlineStr">
        <is>
          <t>SR 1638</t>
        </is>
      </c>
      <c r="G491" t="inlineStr">
        <is>
          <t>SR 1606</t>
        </is>
      </c>
      <c r="H491">
        <v>5.196</v>
      </c>
      <c r="J491">
        <v>106432490</v>
      </c>
      <c r="K491" t="inlineStr">
        <is>
          <t>12/9/2020</t>
        </is>
      </c>
      <c r="L491">
        <v>17</v>
      </c>
      <c r="M491">
        <v>1</v>
      </c>
      <c r="N491">
        <v>0</v>
      </c>
      <c r="O491">
        <v>5</v>
      </c>
      <c r="P491" t="inlineStr">
        <is>
          <t>O</t>
        </is>
      </c>
    </row>
    <row r="492">
      <c r="A492" t="inlineStr">
        <is>
          <t>558</t>
        </is>
      </c>
      <c r="B492" t="inlineStr">
        <is>
          <t>SR 1606</t>
        </is>
      </c>
      <c r="C492">
        <v>0.2</v>
      </c>
      <c r="D492" t="inlineStr">
        <is>
          <t>S</t>
        </is>
      </c>
      <c r="E492" t="inlineStr">
        <is>
          <t>SR 1638</t>
        </is>
      </c>
      <c r="F492" t="inlineStr">
        <is>
          <t>SR 1618</t>
        </is>
      </c>
      <c r="G492" t="inlineStr">
        <is>
          <t>SR 1606</t>
        </is>
      </c>
      <c r="H492">
        <v>5.216</v>
      </c>
      <c r="J492">
        <v>107149014</v>
      </c>
      <c r="K492" t="inlineStr">
        <is>
          <t>11/12/2022</t>
        </is>
      </c>
      <c r="L492">
        <v>17</v>
      </c>
      <c r="M492">
        <v>1</v>
      </c>
      <c r="N492">
        <v>0</v>
      </c>
      <c r="O492">
        <v>1</v>
      </c>
      <c r="P492" t="inlineStr">
        <is>
          <t>O</t>
        </is>
      </c>
    </row>
    <row r="493">
      <c r="A493" t="inlineStr">
        <is>
          <t>558</t>
        </is>
      </c>
      <c r="B493" t="inlineStr">
        <is>
          <t>SR 1606</t>
        </is>
      </c>
      <c r="C493">
        <v>0.3</v>
      </c>
      <c r="D493" t="inlineStr">
        <is>
          <t>S</t>
        </is>
      </c>
      <c r="E493" t="inlineStr">
        <is>
          <t>SR 1638</t>
        </is>
      </c>
      <c r="F493" t="inlineStr">
        <is>
          <t>SR 1001</t>
        </is>
      </c>
      <c r="G493" t="inlineStr">
        <is>
          <t>SR 1606</t>
        </is>
      </c>
      <c r="H493">
        <v>5.316</v>
      </c>
      <c r="J493">
        <v>108460445</v>
      </c>
      <c r="K493" t="inlineStr">
        <is>
          <t>4/8/2026</t>
        </is>
      </c>
      <c r="L493">
        <v>23</v>
      </c>
      <c r="M493">
        <v>1</v>
      </c>
      <c r="N493">
        <v>5</v>
      </c>
      <c r="O493">
        <v>1</v>
      </c>
      <c r="P493" t="inlineStr">
        <is>
          <t>O</t>
        </is>
      </c>
      <c r="Q493">
        <v>35.099553</v>
      </c>
      <c r="R493">
        <v>-80.49195</v>
      </c>
      <c r="S493" t="inlineStr">
        <is>
          <t>DMV349</t>
        </is>
      </c>
    </row>
    <row r="494">
      <c r="A494" t="inlineStr">
        <is>
          <t>558</t>
        </is>
      </c>
      <c r="B494" t="inlineStr">
        <is>
          <t>SR 1606</t>
        </is>
      </c>
      <c r="C494">
        <v>0.4</v>
      </c>
      <c r="D494" t="inlineStr">
        <is>
          <t>S</t>
        </is>
      </c>
      <c r="E494" t="inlineStr">
        <is>
          <t>SR 1638</t>
        </is>
      </c>
      <c r="F494" t="inlineStr">
        <is>
          <t>SR 1001</t>
        </is>
      </c>
      <c r="G494" t="inlineStr">
        <is>
          <t>SR 1606</t>
        </is>
      </c>
      <c r="H494">
        <v>5.416</v>
      </c>
      <c r="J494">
        <v>107082969</v>
      </c>
      <c r="K494" t="inlineStr">
        <is>
          <t>9/16/2022</t>
        </is>
      </c>
      <c r="L494">
        <v>27</v>
      </c>
      <c r="M494">
        <v>1</v>
      </c>
      <c r="N494">
        <v>0</v>
      </c>
      <c r="O494">
        <v>1</v>
      </c>
      <c r="P494" t="inlineStr">
        <is>
          <t>A</t>
        </is>
      </c>
    </row>
    <row r="495">
      <c r="A495" t="inlineStr">
        <is>
          <t>0</t>
        </is>
      </c>
      <c r="B495" t="inlineStr">
        <is>
          <t>SR 1606</t>
        </is>
      </c>
      <c r="C495">
        <v>0.2</v>
      </c>
      <c r="D495" t="inlineStr">
        <is>
          <t>N</t>
        </is>
      </c>
      <c r="E495" t="inlineStr">
        <is>
          <t>SR 1678</t>
        </is>
      </c>
      <c r="F495" t="inlineStr">
        <is>
          <t>SR 1638</t>
        </is>
      </c>
      <c r="G495" t="inlineStr">
        <is>
          <t>SR 1606</t>
        </is>
      </c>
      <c r="H495">
        <v>5.596</v>
      </c>
      <c r="J495">
        <v>107360456</v>
      </c>
      <c r="K495" t="inlineStr">
        <is>
          <t>6/6/2023</t>
        </is>
      </c>
      <c r="L495">
        <v>29</v>
      </c>
      <c r="M495">
        <v>1</v>
      </c>
      <c r="N495">
        <v>0</v>
      </c>
      <c r="O495">
        <v>1</v>
      </c>
      <c r="P495" t="inlineStr">
        <is>
          <t>O</t>
        </is>
      </c>
    </row>
    <row r="496">
      <c r="A496" t="inlineStr">
        <is>
          <t>558</t>
        </is>
      </c>
      <c r="B496" t="inlineStr">
        <is>
          <t>SR 1606</t>
        </is>
      </c>
      <c r="C496">
        <v>0.076</v>
      </c>
      <c r="D496" t="inlineStr">
        <is>
          <t>N</t>
        </is>
      </c>
      <c r="E496" t="inlineStr">
        <is>
          <t>SR 1688</t>
        </is>
      </c>
      <c r="F496" t="inlineStr">
        <is>
          <t>SR 1638</t>
        </is>
      </c>
      <c r="G496" t="inlineStr">
        <is>
          <t>SR 1606</t>
        </is>
      </c>
      <c r="H496">
        <v>5.652</v>
      </c>
      <c r="J496">
        <v>108134261</v>
      </c>
      <c r="K496" t="inlineStr">
        <is>
          <t>6/6/2025</t>
        </is>
      </c>
      <c r="L496">
        <v>19</v>
      </c>
      <c r="M496">
        <v>1</v>
      </c>
      <c r="N496">
        <v>0</v>
      </c>
      <c r="O496">
        <v>5</v>
      </c>
      <c r="P496" t="inlineStr">
        <is>
          <t>B</t>
        </is>
      </c>
      <c r="Q496">
        <v>35.097676</v>
      </c>
      <c r="R496">
        <v>-80.49236</v>
      </c>
      <c r="S496" t="inlineStr">
        <is>
          <t>DMV349CLEANED</t>
        </is>
      </c>
    </row>
    <row r="497">
      <c r="A497" t="inlineStr">
        <is>
          <t>558</t>
        </is>
      </c>
      <c r="B497" t="inlineStr">
        <is>
          <t>SR 1606</t>
        </is>
      </c>
      <c r="C497">
        <v>0.0</v>
      </c>
      <c r="E497" t="inlineStr">
        <is>
          <t>SR 1688</t>
        </is>
      </c>
      <c r="F497" t="inlineStr">
        <is>
          <t>SR 1618</t>
        </is>
      </c>
      <c r="G497" t="inlineStr">
        <is>
          <t>SR 1606</t>
        </is>
      </c>
      <c r="H497">
        <v>5.728</v>
      </c>
      <c r="J497">
        <v>107281872</v>
      </c>
      <c r="K497" t="inlineStr">
        <is>
          <t>3/23/2023</t>
        </is>
      </c>
      <c r="L497">
        <v>23</v>
      </c>
      <c r="M497">
        <v>1</v>
      </c>
      <c r="N497">
        <v>0</v>
      </c>
      <c r="O497">
        <v>1</v>
      </c>
      <c r="P497" t="inlineStr">
        <is>
          <t>O</t>
        </is>
      </c>
    </row>
    <row r="498">
      <c r="A498" t="inlineStr">
        <is>
          <t>558</t>
        </is>
      </c>
      <c r="B498" t="inlineStr">
        <is>
          <t>SR 1606</t>
        </is>
      </c>
      <c r="C498">
        <v>0.01</v>
      </c>
      <c r="D498" t="inlineStr">
        <is>
          <t>S</t>
        </is>
      </c>
      <c r="E498" t="inlineStr">
        <is>
          <t>SR 1688</t>
        </is>
      </c>
      <c r="F498" t="inlineStr">
        <is>
          <t>SR 1678</t>
        </is>
      </c>
      <c r="G498" t="inlineStr">
        <is>
          <t>SR 1606</t>
        </is>
      </c>
      <c r="H498">
        <v>5.738</v>
      </c>
      <c r="J498">
        <v>107112659</v>
      </c>
      <c r="K498" t="inlineStr">
        <is>
          <t>10/6/2022</t>
        </is>
      </c>
      <c r="L498">
        <v>21</v>
      </c>
      <c r="M498">
        <v>1</v>
      </c>
      <c r="N498">
        <v>0</v>
      </c>
      <c r="O498">
        <v>5</v>
      </c>
      <c r="P498" t="inlineStr">
        <is>
          <t>A</t>
        </is>
      </c>
    </row>
    <row r="499">
      <c r="A499" t="inlineStr">
        <is>
          <t>558</t>
        </is>
      </c>
      <c r="B499" t="inlineStr">
        <is>
          <t>SR 1606</t>
        </is>
      </c>
      <c r="C499">
        <v>0.002</v>
      </c>
      <c r="D499" t="inlineStr">
        <is>
          <t>N</t>
        </is>
      </c>
      <c r="E499" t="inlineStr">
        <is>
          <t>SR 1678</t>
        </is>
      </c>
      <c r="F499" t="inlineStr">
        <is>
          <t>SR 1638</t>
        </is>
      </c>
      <c r="G499" t="inlineStr">
        <is>
          <t>SR 1606</t>
        </is>
      </c>
      <c r="H499">
        <v>5.794</v>
      </c>
      <c r="J499">
        <v>106109136</v>
      </c>
      <c r="K499" t="inlineStr">
        <is>
          <t>12/18/2019</t>
        </is>
      </c>
      <c r="L499">
        <v>21</v>
      </c>
      <c r="M499">
        <v>1</v>
      </c>
      <c r="N499">
        <v>0</v>
      </c>
      <c r="O499">
        <v>1</v>
      </c>
      <c r="P499" t="inlineStr">
        <is>
          <t>O</t>
        </is>
      </c>
    </row>
    <row r="500">
      <c r="A500" t="inlineStr">
        <is>
          <t>558</t>
        </is>
      </c>
      <c r="B500" t="inlineStr">
        <is>
          <t>SR 1606</t>
        </is>
      </c>
      <c r="C500">
        <v>0.006</v>
      </c>
      <c r="D500" t="inlineStr">
        <is>
          <t>S</t>
        </is>
      </c>
      <c r="E500" t="inlineStr">
        <is>
          <t>SR 1678</t>
        </is>
      </c>
      <c r="F500" t="inlineStr">
        <is>
          <t>SR 1001</t>
        </is>
      </c>
      <c r="G500" t="inlineStr">
        <is>
          <t>SR 1606</t>
        </is>
      </c>
      <c r="H500">
        <v>5.802</v>
      </c>
      <c r="J500">
        <v>107611797</v>
      </c>
      <c r="K500" t="inlineStr">
        <is>
          <t>1/31/2024</t>
        </is>
      </c>
      <c r="L500">
        <v>19</v>
      </c>
      <c r="M500">
        <v>1</v>
      </c>
      <c r="N500">
        <v>0</v>
      </c>
      <c r="O500">
        <v>1</v>
      </c>
      <c r="P500" t="inlineStr">
        <is>
          <t>O</t>
        </is>
      </c>
      <c r="Q500">
        <v>35.09593</v>
      </c>
      <c r="R500">
        <v>-80.49285</v>
      </c>
      <c r="S500" t="inlineStr">
        <is>
          <t>DMV349CLEANED</t>
        </is>
      </c>
    </row>
    <row r="501">
      <c r="A501" t="inlineStr">
        <is>
          <t>558</t>
        </is>
      </c>
      <c r="B501" t="inlineStr">
        <is>
          <t>SR 1606</t>
        </is>
      </c>
      <c r="C501">
        <v>0.055</v>
      </c>
      <c r="D501" t="inlineStr">
        <is>
          <t>S</t>
        </is>
      </c>
      <c r="E501" t="inlineStr">
        <is>
          <t>SR 1678</t>
        </is>
      </c>
      <c r="F501" t="inlineStr">
        <is>
          <t>SR 1618</t>
        </is>
      </c>
      <c r="G501" t="inlineStr">
        <is>
          <t>SR 1606</t>
        </is>
      </c>
      <c r="H501">
        <v>5.851</v>
      </c>
      <c r="J501">
        <v>108466476</v>
      </c>
      <c r="K501" t="inlineStr">
        <is>
          <t>4/9/2026</t>
        </is>
      </c>
      <c r="L501">
        <v>28</v>
      </c>
      <c r="M501">
        <v>1</v>
      </c>
      <c r="N501">
        <v>0</v>
      </c>
      <c r="O501">
        <v>5</v>
      </c>
      <c r="P501" t="inlineStr">
        <is>
          <t>C</t>
        </is>
      </c>
      <c r="Q501">
        <v>35.09216</v>
      </c>
      <c r="R501">
        <v>-80.49361</v>
      </c>
      <c r="S501" t="inlineStr">
        <is>
          <t>DMV349</t>
        </is>
      </c>
    </row>
    <row r="502">
      <c r="A502" t="inlineStr">
        <is>
          <t>558</t>
        </is>
      </c>
      <c r="B502" t="inlineStr">
        <is>
          <t>SR 1606</t>
        </is>
      </c>
      <c r="C502">
        <v>0.1</v>
      </c>
      <c r="D502" t="inlineStr">
        <is>
          <t>S</t>
        </is>
      </c>
      <c r="E502" t="inlineStr">
        <is>
          <t>SR 1678</t>
        </is>
      </c>
      <c r="F502" t="inlineStr">
        <is>
          <t>SR 1001</t>
        </is>
      </c>
      <c r="G502" t="inlineStr">
        <is>
          <t>SR 1606</t>
        </is>
      </c>
      <c r="H502">
        <v>5.896</v>
      </c>
      <c r="J502">
        <v>105783157</v>
      </c>
      <c r="K502" t="inlineStr">
        <is>
          <t>2/20/2019</t>
        </is>
      </c>
      <c r="L502">
        <v>26</v>
      </c>
      <c r="M502">
        <v>2</v>
      </c>
      <c r="N502">
        <v>0</v>
      </c>
      <c r="O502">
        <v>1</v>
      </c>
      <c r="P502" t="inlineStr">
        <is>
          <t>O</t>
        </is>
      </c>
    </row>
    <row r="503">
      <c r="A503" t="inlineStr">
        <is>
          <t>0</t>
        </is>
      </c>
      <c r="B503" t="inlineStr">
        <is>
          <t>SR 1606</t>
        </is>
      </c>
      <c r="C503">
        <v>0.1</v>
      </c>
      <c r="D503" t="inlineStr">
        <is>
          <t>N</t>
        </is>
      </c>
      <c r="E503" t="inlineStr">
        <is>
          <t>SR 1001</t>
        </is>
      </c>
      <c r="F503" t="inlineStr">
        <is>
          <t>SR 1678</t>
        </is>
      </c>
      <c r="G503" t="inlineStr">
        <is>
          <t>SR 1606</t>
        </is>
      </c>
      <c r="H503">
        <v>5.966</v>
      </c>
      <c r="J503">
        <v>106017162</v>
      </c>
      <c r="K503" t="inlineStr">
        <is>
          <t>10/2/2019</t>
        </is>
      </c>
      <c r="L503">
        <v>21</v>
      </c>
      <c r="M503">
        <v>1</v>
      </c>
      <c r="N503">
        <v>0</v>
      </c>
      <c r="O503">
        <v>1</v>
      </c>
      <c r="P503" t="inlineStr">
        <is>
          <t>B</t>
        </is>
      </c>
    </row>
    <row r="504">
      <c r="A504" t="inlineStr">
        <is>
          <t>558</t>
        </is>
      </c>
      <c r="B504" t="inlineStr">
        <is>
          <t>SR 1606</t>
        </is>
      </c>
      <c r="C504">
        <v>0.009</v>
      </c>
      <c r="D504" t="inlineStr">
        <is>
          <t>E</t>
        </is>
      </c>
      <c r="E504" t="inlineStr">
        <is>
          <t>SR 1618</t>
        </is>
      </c>
      <c r="F504" t="inlineStr">
        <is>
          <t>SR 1001</t>
        </is>
      </c>
      <c r="G504" t="inlineStr">
        <is>
          <t>SR 1606</t>
        </is>
      </c>
      <c r="H504">
        <v>6.057</v>
      </c>
      <c r="J504">
        <v>105225441</v>
      </c>
      <c r="K504" t="inlineStr">
        <is>
          <t>9/19/2017</t>
        </is>
      </c>
      <c r="L504">
        <v>30</v>
      </c>
      <c r="M504">
        <v>1</v>
      </c>
      <c r="N504">
        <v>10</v>
      </c>
      <c r="O504">
        <v>1</v>
      </c>
      <c r="P504" t="inlineStr">
        <is>
          <t>O</t>
        </is>
      </c>
    </row>
    <row r="505">
      <c r="A505" t="inlineStr">
        <is>
          <t>558</t>
        </is>
      </c>
      <c r="B505" t="inlineStr">
        <is>
          <t>SR 1606</t>
        </is>
      </c>
      <c r="C505">
        <v>0.0</v>
      </c>
      <c r="E505" t="inlineStr">
        <is>
          <t>SR 1001</t>
        </is>
      </c>
      <c r="F505" t="inlineStr">
        <is>
          <t>SR 1678</t>
        </is>
      </c>
      <c r="G505" t="inlineStr">
        <is>
          <t>SR 1606</t>
        </is>
      </c>
      <c r="H505">
        <v>6.066</v>
      </c>
      <c r="J505">
        <v>105404553</v>
      </c>
      <c r="K505" t="inlineStr">
        <is>
          <t>3/6/2018</t>
        </is>
      </c>
      <c r="L505">
        <v>30</v>
      </c>
      <c r="M505">
        <v>2</v>
      </c>
      <c r="N505">
        <v>0</v>
      </c>
      <c r="O505">
        <v>1</v>
      </c>
      <c r="P505" t="inlineStr">
        <is>
          <t>C</t>
        </is>
      </c>
    </row>
    <row r="506">
      <c r="A506" t="inlineStr">
        <is>
          <t>558</t>
        </is>
      </c>
      <c r="B506" t="inlineStr">
        <is>
          <t>SR 1606</t>
        </is>
      </c>
      <c r="C506">
        <v>0.0</v>
      </c>
      <c r="E506" t="inlineStr">
        <is>
          <t>SR 1618</t>
        </is>
      </c>
      <c r="F506" t="inlineStr">
        <is>
          <t>SR 1678</t>
        </is>
      </c>
      <c r="G506" t="inlineStr">
        <is>
          <t>SR 1606</t>
        </is>
      </c>
      <c r="H506">
        <v>6.066</v>
      </c>
      <c r="J506">
        <v>107997463</v>
      </c>
      <c r="K506" t="inlineStr">
        <is>
          <t>1/18/2025</t>
        </is>
      </c>
      <c r="L506">
        <v>30</v>
      </c>
      <c r="M506">
        <v>2</v>
      </c>
      <c r="N506">
        <v>10</v>
      </c>
      <c r="O506">
        <v>5</v>
      </c>
      <c r="P506" t="inlineStr">
        <is>
          <t>O</t>
        </is>
      </c>
      <c r="Q506">
        <v>35.089242</v>
      </c>
      <c r="R506">
        <v>-80.49407</v>
      </c>
      <c r="S506" t="inlineStr">
        <is>
          <t>DMV349CLEANED</t>
        </is>
      </c>
    </row>
    <row r="507">
      <c r="A507" t="inlineStr">
        <is>
          <t>558</t>
        </is>
      </c>
      <c r="B507" t="inlineStr">
        <is>
          <t>SR 1606</t>
        </is>
      </c>
      <c r="C507">
        <v>0.0</v>
      </c>
      <c r="E507" t="inlineStr">
        <is>
          <t>SR 1618</t>
        </is>
      </c>
      <c r="F507" t="inlineStr">
        <is>
          <t>SR 1001</t>
        </is>
      </c>
      <c r="G507" t="inlineStr">
        <is>
          <t>SR 1606</t>
        </is>
      </c>
      <c r="H507">
        <v>6.066</v>
      </c>
      <c r="J507">
        <v>106871624</v>
      </c>
      <c r="K507" t="inlineStr">
        <is>
          <t>2/17/2022</t>
        </is>
      </c>
      <c r="L507">
        <v>26</v>
      </c>
      <c r="M507">
        <v>1</v>
      </c>
      <c r="N507">
        <v>10</v>
      </c>
      <c r="O507">
        <v>1</v>
      </c>
      <c r="P507" t="inlineStr">
        <is>
          <t>O</t>
        </is>
      </c>
    </row>
    <row r="508">
      <c r="A508" t="inlineStr">
        <is>
          <t>558</t>
        </is>
      </c>
      <c r="B508" t="inlineStr">
        <is>
          <t>SR 1606</t>
        </is>
      </c>
      <c r="C508">
        <v>0.0</v>
      </c>
      <c r="E508" t="inlineStr">
        <is>
          <t>SR 1618</t>
        </is>
      </c>
      <c r="F508" t="inlineStr">
        <is>
          <t>SR 1619</t>
        </is>
      </c>
      <c r="G508" t="inlineStr">
        <is>
          <t>SR 1606</t>
        </is>
      </c>
      <c r="H508">
        <v>6.066</v>
      </c>
      <c r="J508">
        <v>106509401</v>
      </c>
      <c r="K508" t="inlineStr">
        <is>
          <t>3/5/2021</t>
        </is>
      </c>
      <c r="L508">
        <v>26</v>
      </c>
      <c r="M508">
        <v>1</v>
      </c>
      <c r="N508">
        <v>10</v>
      </c>
      <c r="O508">
        <v>5</v>
      </c>
      <c r="P508" t="inlineStr">
        <is>
          <t>O</t>
        </is>
      </c>
    </row>
    <row r="509">
      <c r="A509" t="inlineStr">
        <is>
          <t>558</t>
        </is>
      </c>
      <c r="B509" t="inlineStr">
        <is>
          <t>SR 1606</t>
        </is>
      </c>
      <c r="C509">
        <v>0.0</v>
      </c>
      <c r="E509" t="inlineStr">
        <is>
          <t>SR 1618</t>
        </is>
      </c>
      <c r="F509" t="inlineStr">
        <is>
          <t>SR 1681</t>
        </is>
      </c>
      <c r="G509" t="inlineStr">
        <is>
          <t>SR 1606</t>
        </is>
      </c>
      <c r="H509">
        <v>6.066</v>
      </c>
      <c r="J509">
        <v>106388383</v>
      </c>
      <c r="K509" t="inlineStr">
        <is>
          <t>10/30/2020</t>
        </is>
      </c>
      <c r="L509">
        <v>26</v>
      </c>
      <c r="M509">
        <v>1</v>
      </c>
      <c r="N509">
        <v>10</v>
      </c>
      <c r="O509">
        <v>5</v>
      </c>
      <c r="P509" t="inlineStr">
        <is>
          <t>O</t>
        </is>
      </c>
    </row>
    <row r="510">
      <c r="A510" t="inlineStr">
        <is>
          <t>558</t>
        </is>
      </c>
      <c r="B510" t="inlineStr">
        <is>
          <t>SR 1606</t>
        </is>
      </c>
      <c r="C510">
        <v>0.0</v>
      </c>
      <c r="E510" t="inlineStr">
        <is>
          <t>SR 1618</t>
        </is>
      </c>
      <c r="F510" t="inlineStr">
        <is>
          <t>SR 1606</t>
        </is>
      </c>
      <c r="G510" t="inlineStr">
        <is>
          <t>SR 1606</t>
        </is>
      </c>
      <c r="H510">
        <v>6.066</v>
      </c>
      <c r="J510">
        <v>104942525</v>
      </c>
      <c r="K510" t="inlineStr">
        <is>
          <t>12/9/2016</t>
        </is>
      </c>
      <c r="L510">
        <v>26</v>
      </c>
      <c r="M510">
        <v>1</v>
      </c>
      <c r="N510">
        <v>10</v>
      </c>
      <c r="O510">
        <v>1</v>
      </c>
      <c r="P510" t="inlineStr">
        <is>
          <t>C</t>
        </is>
      </c>
    </row>
    <row r="511">
      <c r="A511" t="inlineStr">
        <is>
          <t>0</t>
        </is>
      </c>
      <c r="B511" t="inlineStr">
        <is>
          <t>SR 1606</t>
        </is>
      </c>
      <c r="C511">
        <v>0.19</v>
      </c>
      <c r="D511" t="inlineStr">
        <is>
          <t>S</t>
        </is>
      </c>
      <c r="E511" t="inlineStr">
        <is>
          <t>SR 1637</t>
        </is>
      </c>
      <c r="F511" t="inlineStr">
        <is>
          <t>SR 1619</t>
        </is>
      </c>
      <c r="G511" t="inlineStr">
        <is>
          <t>SR 1606</t>
        </is>
      </c>
      <c r="H511">
        <v>6.066</v>
      </c>
      <c r="J511">
        <v>107028892</v>
      </c>
      <c r="K511" t="inlineStr">
        <is>
          <t>7/24/2022</t>
        </is>
      </c>
      <c r="L511">
        <v>14</v>
      </c>
      <c r="M511">
        <v>1</v>
      </c>
      <c r="N511">
        <v>0</v>
      </c>
      <c r="O511">
        <v>1</v>
      </c>
      <c r="P511" t="inlineStr">
        <is>
          <t>A</t>
        </is>
      </c>
      <c r="Q511">
        <v>35.085832</v>
      </c>
      <c r="R511">
        <v>-80.493478</v>
      </c>
      <c r="S511" t="inlineStr">
        <is>
          <t>VHB_PEDBIKE</t>
        </is>
      </c>
    </row>
    <row r="512">
      <c r="A512" t="inlineStr">
        <is>
          <t>558</t>
        </is>
      </c>
      <c r="B512" t="inlineStr">
        <is>
          <t>SR 1606</t>
        </is>
      </c>
      <c r="C512">
        <v>0.3</v>
      </c>
      <c r="D512" t="inlineStr">
        <is>
          <t>S</t>
        </is>
      </c>
      <c r="E512" t="inlineStr">
        <is>
          <t>SR 1678</t>
        </is>
      </c>
      <c r="F512" t="inlineStr">
        <is>
          <t>SR 1618</t>
        </is>
      </c>
      <c r="G512" t="inlineStr">
        <is>
          <t>SR 1606</t>
        </is>
      </c>
      <c r="H512">
        <v>6.066</v>
      </c>
      <c r="J512">
        <v>106581212</v>
      </c>
      <c r="K512" t="inlineStr">
        <is>
          <t>5/21/2021</t>
        </is>
      </c>
      <c r="L512">
        <v>21</v>
      </c>
      <c r="M512">
        <v>1</v>
      </c>
      <c r="N512">
        <v>0</v>
      </c>
      <c r="O512">
        <v>1</v>
      </c>
      <c r="P512" t="inlineStr">
        <is>
          <t>C</t>
        </is>
      </c>
    </row>
    <row r="513">
      <c r="A513" t="inlineStr">
        <is>
          <t>558</t>
        </is>
      </c>
      <c r="B513" t="inlineStr">
        <is>
          <t>SR 1606</t>
        </is>
      </c>
      <c r="C513">
        <v>0.0</v>
      </c>
      <c r="E513" t="inlineStr">
        <is>
          <t>NC 200</t>
        </is>
      </c>
      <c r="F513" t="inlineStr">
        <is>
          <t>SR 1627</t>
        </is>
      </c>
      <c r="G513" t="inlineStr">
        <is>
          <t>SR 1606</t>
        </is>
      </c>
      <c r="H513">
        <v>999.999</v>
      </c>
      <c r="J513">
        <v>106732357</v>
      </c>
      <c r="K513" t="inlineStr">
        <is>
          <t>10/17/2021</t>
        </is>
      </c>
      <c r="L513">
        <v>30</v>
      </c>
      <c r="M513">
        <v>1</v>
      </c>
      <c r="N513">
        <v>7</v>
      </c>
      <c r="O513">
        <v>1</v>
      </c>
      <c r="P513" t="inlineStr">
        <is>
          <t>C</t>
        </is>
      </c>
    </row>
    <row r="514">
      <c r="A514" t="inlineStr">
        <is>
          <t>558</t>
        </is>
      </c>
      <c r="B514" t="inlineStr">
        <is>
          <t>SR 1606</t>
        </is>
      </c>
      <c r="C514">
        <v>0.002</v>
      </c>
      <c r="D514" t="inlineStr">
        <is>
          <t>E</t>
        </is>
      </c>
      <c r="E514" t="inlineStr">
        <is>
          <t>NC 200</t>
        </is>
      </c>
      <c r="F514" t="inlineStr">
        <is>
          <t>SR 1673</t>
        </is>
      </c>
      <c r="G514" t="inlineStr">
        <is>
          <t>SR 1606</t>
        </is>
      </c>
      <c r="H514">
        <v>999.999</v>
      </c>
      <c r="J514">
        <v>105391943</v>
      </c>
      <c r="K514" t="inlineStr">
        <is>
          <t>2/23/2018</t>
        </is>
      </c>
      <c r="L514">
        <v>30</v>
      </c>
      <c r="M514">
        <v>1</v>
      </c>
      <c r="N514">
        <v>7</v>
      </c>
      <c r="O514">
        <v>1</v>
      </c>
      <c r="P514" t="inlineStr">
        <is>
          <t>O</t>
        </is>
      </c>
    </row>
    <row r="515">
      <c r="A515" t="inlineStr">
        <is>
          <t>0</t>
        </is>
      </c>
      <c r="B515" t="inlineStr">
        <is>
          <t>SR 1606</t>
        </is>
      </c>
      <c r="C515">
        <v>0.25</v>
      </c>
      <c r="D515" t="inlineStr">
        <is>
          <t>N</t>
        </is>
      </c>
      <c r="E515" t="inlineStr">
        <is>
          <t>NC 200</t>
        </is>
      </c>
      <c r="F515" t="inlineStr">
        <is>
          <t>PRESSON FARM</t>
        </is>
      </c>
      <c r="G515" t="inlineStr">
        <is>
          <t>SR 1606</t>
        </is>
      </c>
      <c r="H515">
        <v>999.999</v>
      </c>
      <c r="J515">
        <v>106052165</v>
      </c>
      <c r="K515" t="inlineStr">
        <is>
          <t>11/5/2019</t>
        </is>
      </c>
      <c r="L515">
        <v>17</v>
      </c>
      <c r="M515">
        <v>1</v>
      </c>
      <c r="N515">
        <v>0</v>
      </c>
      <c r="O515">
        <v>5</v>
      </c>
      <c r="P515" t="inlineStr">
        <is>
          <t>O</t>
        </is>
      </c>
    </row>
    <row r="516">
      <c r="A516" t="inlineStr">
        <is>
          <t>558</t>
        </is>
      </c>
      <c r="B516" t="inlineStr">
        <is>
          <t>SR 1606</t>
        </is>
      </c>
      <c r="C516">
        <v>0.25</v>
      </c>
      <c r="D516" t="inlineStr">
        <is>
          <t>NW</t>
        </is>
      </c>
      <c r="E516" t="inlineStr">
        <is>
          <t>NC 200</t>
        </is>
      </c>
      <c r="F516" t="inlineStr">
        <is>
          <t>PRESSON FARM</t>
        </is>
      </c>
      <c r="G516" t="inlineStr">
        <is>
          <t>SR 1606</t>
        </is>
      </c>
      <c r="H516">
        <v>999.999</v>
      </c>
      <c r="J516">
        <v>107613194</v>
      </c>
      <c r="K516" t="inlineStr">
        <is>
          <t>2/3/2024</t>
        </is>
      </c>
      <c r="L516">
        <v>23</v>
      </c>
      <c r="M516">
        <v>1</v>
      </c>
      <c r="N516">
        <v>0</v>
      </c>
      <c r="O516">
        <v>1</v>
      </c>
      <c r="P516" t="inlineStr">
        <is>
          <t>O</t>
        </is>
      </c>
      <c r="Q516">
        <v>35.06</v>
      </c>
      <c r="R516">
        <v>-80.49</v>
      </c>
      <c r="S516" t="inlineStr">
        <is>
          <t>DMV349</t>
        </is>
      </c>
    </row>
    <row r="517">
      <c r="A517" t="inlineStr">
        <is>
          <t>558</t>
        </is>
      </c>
      <c r="B517" t="inlineStr">
        <is>
          <t>SR 1606</t>
        </is>
      </c>
      <c r="C517">
        <v>0.6</v>
      </c>
      <c r="D517" t="inlineStr">
        <is>
          <t>W</t>
        </is>
      </c>
      <c r="E517" t="inlineStr">
        <is>
          <t>NC 200</t>
        </is>
      </c>
      <c r="F517" t="inlineStr">
        <is>
          <t>SR 1697</t>
        </is>
      </c>
      <c r="G517" t="inlineStr">
        <is>
          <t>SR 1606</t>
        </is>
      </c>
      <c r="H517">
        <v>999.999</v>
      </c>
      <c r="J517">
        <v>108023442</v>
      </c>
      <c r="K517" t="inlineStr">
        <is>
          <t>2/16/2025</t>
        </is>
      </c>
      <c r="L517">
        <v>21</v>
      </c>
      <c r="M517">
        <v>1</v>
      </c>
      <c r="N517">
        <v>0</v>
      </c>
      <c r="O517">
        <v>1</v>
      </c>
      <c r="P517" t="inlineStr">
        <is>
          <t>A</t>
        </is>
      </c>
      <c r="Q517">
        <v>35.06645</v>
      </c>
      <c r="R517">
        <v>-80.49057</v>
      </c>
      <c r="S517" t="inlineStr">
        <is>
          <t>DMV349CLEANED</t>
        </is>
      </c>
    </row>
    <row r="518">
      <c r="A518" t="inlineStr">
        <is>
          <t>558</t>
        </is>
      </c>
      <c r="B518" t="inlineStr">
        <is>
          <t>SR 1606</t>
        </is>
      </c>
      <c r="C518">
        <v>1.5</v>
      </c>
      <c r="D518" t="inlineStr">
        <is>
          <t>NW</t>
        </is>
      </c>
      <c r="E518" t="inlineStr">
        <is>
          <t>NC 200</t>
        </is>
      </c>
      <c r="F518" t="inlineStr">
        <is>
          <t>MILL CREEK CHUR</t>
        </is>
      </c>
      <c r="G518" t="inlineStr">
        <is>
          <t>SR 1606</t>
        </is>
      </c>
      <c r="H518">
        <v>999.999</v>
      </c>
      <c r="J518">
        <v>107505990</v>
      </c>
      <c r="K518" t="inlineStr">
        <is>
          <t>10/27/2023</t>
        </is>
      </c>
      <c r="L518">
        <v>17</v>
      </c>
      <c r="M518">
        <v>1</v>
      </c>
      <c r="N518">
        <v>0</v>
      </c>
      <c r="O518">
        <v>3</v>
      </c>
      <c r="P518" t="inlineStr">
        <is>
          <t>O</t>
        </is>
      </c>
    </row>
    <row r="519">
      <c r="A519" t="inlineStr">
        <is>
          <t>0</t>
        </is>
      </c>
      <c r="B519" t="inlineStr">
        <is>
          <t>SR 1606</t>
        </is>
      </c>
      <c r="C519">
        <v>0.0</v>
      </c>
      <c r="D519" t="inlineStr">
        <is>
          <t>N</t>
        </is>
      </c>
      <c r="E519" t="inlineStr">
        <is>
          <t>NEW SALEM</t>
        </is>
      </c>
      <c r="F519" t="inlineStr">
        <is>
          <t>G B HILL</t>
        </is>
      </c>
      <c r="G519" t="inlineStr">
        <is>
          <t>SR 1606</t>
        </is>
      </c>
      <c r="H519">
        <v>999.999</v>
      </c>
      <c r="J519">
        <v>105775814</v>
      </c>
      <c r="K519" t="inlineStr">
        <is>
          <t>2/13/2019</t>
        </is>
      </c>
      <c r="L519">
        <v>30</v>
      </c>
      <c r="M519">
        <v>1</v>
      </c>
      <c r="N519">
        <v>7</v>
      </c>
      <c r="O519">
        <v>1</v>
      </c>
      <c r="P519" t="inlineStr">
        <is>
          <t>O</t>
        </is>
      </c>
    </row>
    <row r="520">
      <c r="A520" t="inlineStr">
        <is>
          <t>0</t>
        </is>
      </c>
      <c r="B520" t="inlineStr">
        <is>
          <t>SR 1606</t>
        </is>
      </c>
      <c r="C520">
        <v>0.2</v>
      </c>
      <c r="D520" t="inlineStr">
        <is>
          <t>N</t>
        </is>
      </c>
      <c r="E520" t="inlineStr">
        <is>
          <t>SR 1006</t>
        </is>
      </c>
      <c r="F520" t="inlineStr">
        <is>
          <t>SR 1001</t>
        </is>
      </c>
      <c r="G520" t="inlineStr">
        <is>
          <t>SR 1606</t>
        </is>
      </c>
      <c r="H520">
        <v>999.999</v>
      </c>
      <c r="J520">
        <v>105161843</v>
      </c>
      <c r="K520" t="inlineStr">
        <is>
          <t>7/13/2017</t>
        </is>
      </c>
      <c r="L520">
        <v>29</v>
      </c>
      <c r="M520">
        <v>1</v>
      </c>
      <c r="N520">
        <v>0</v>
      </c>
      <c r="O520">
        <v>1</v>
      </c>
      <c r="P520" t="inlineStr">
        <is>
          <t>O</t>
        </is>
      </c>
    </row>
    <row r="521">
      <c r="A521" t="inlineStr">
        <is>
          <t>0</t>
        </is>
      </c>
      <c r="B521" t="inlineStr">
        <is>
          <t>SR 1606</t>
        </is>
      </c>
      <c r="C521">
        <v>0.3</v>
      </c>
      <c r="D521" t="inlineStr">
        <is>
          <t>N</t>
        </is>
      </c>
      <c r="E521" t="inlineStr">
        <is>
          <t>SR 1006</t>
        </is>
      </c>
      <c r="F521" t="inlineStr">
        <is>
          <t>SR 1627</t>
        </is>
      </c>
      <c r="G521" t="inlineStr">
        <is>
          <t>SR 1606</t>
        </is>
      </c>
      <c r="H521">
        <v>999.999</v>
      </c>
      <c r="J521">
        <v>108052545</v>
      </c>
      <c r="K521" t="inlineStr">
        <is>
          <t>3/18/2025</t>
        </is>
      </c>
      <c r="L521">
        <v>19</v>
      </c>
      <c r="M521">
        <v>1</v>
      </c>
      <c r="N521">
        <v>0</v>
      </c>
      <c r="O521">
        <v>5</v>
      </c>
      <c r="P521" t="inlineStr">
        <is>
          <t>C</t>
        </is>
      </c>
      <c r="Q521">
        <v>35.036125</v>
      </c>
      <c r="R521">
        <v>-80.47554</v>
      </c>
      <c r="S521" t="inlineStr">
        <is>
          <t>DMV349CLEANED</t>
        </is>
      </c>
    </row>
    <row r="522">
      <c r="A522" t="inlineStr">
        <is>
          <t>0</t>
        </is>
      </c>
      <c r="B522" t="inlineStr">
        <is>
          <t>SR 1606</t>
        </is>
      </c>
      <c r="C522">
        <v>0.5</v>
      </c>
      <c r="D522" t="inlineStr">
        <is>
          <t>N</t>
        </is>
      </c>
      <c r="E522" t="inlineStr">
        <is>
          <t>SR 1006</t>
        </is>
      </c>
      <c r="F522" t="inlineStr">
        <is>
          <t>SR 1627</t>
        </is>
      </c>
      <c r="G522" t="inlineStr">
        <is>
          <t>SR 1606</t>
        </is>
      </c>
      <c r="H522">
        <v>999.999</v>
      </c>
      <c r="J522">
        <v>104914987</v>
      </c>
      <c r="K522" t="inlineStr">
        <is>
          <t>11/12/2016</t>
        </is>
      </c>
      <c r="L522">
        <v>19</v>
      </c>
      <c r="M522">
        <v>1</v>
      </c>
      <c r="N522">
        <v>0</v>
      </c>
      <c r="O522">
        <v>5</v>
      </c>
      <c r="P522" t="inlineStr">
        <is>
          <t>A</t>
        </is>
      </c>
      <c r="Q522">
        <v>35.038986</v>
      </c>
      <c r="R522">
        <v>-80.476556</v>
      </c>
      <c r="S522" t="inlineStr">
        <is>
          <t>ITRE_SEVEREINJURY</t>
        </is>
      </c>
    </row>
    <row r="523">
      <c r="A523" t="inlineStr">
        <is>
          <t>0</t>
        </is>
      </c>
      <c r="B523" t="inlineStr">
        <is>
          <t>SR 1606</t>
        </is>
      </c>
      <c r="C523">
        <v>1.2</v>
      </c>
      <c r="D523" t="inlineStr">
        <is>
          <t>N</t>
        </is>
      </c>
      <c r="E523" t="inlineStr">
        <is>
          <t>SR 1006</t>
        </is>
      </c>
      <c r="F523" t="inlineStr">
        <is>
          <t>SR 1627</t>
        </is>
      </c>
      <c r="G523" t="inlineStr">
        <is>
          <t>SR 1606</t>
        </is>
      </c>
      <c r="H523">
        <v>999.999</v>
      </c>
      <c r="J523">
        <v>106782341</v>
      </c>
      <c r="K523" t="inlineStr">
        <is>
          <t>11/26/2021</t>
        </is>
      </c>
      <c r="L523">
        <v>17</v>
      </c>
      <c r="M523">
        <v>1</v>
      </c>
      <c r="N523">
        <v>0</v>
      </c>
      <c r="O523">
        <v>5</v>
      </c>
      <c r="P523" t="inlineStr">
        <is>
          <t>O</t>
        </is>
      </c>
    </row>
    <row r="524">
      <c r="A524" t="inlineStr">
        <is>
          <t>0</t>
        </is>
      </c>
      <c r="B524" t="inlineStr">
        <is>
          <t>SR 1606</t>
        </is>
      </c>
      <c r="C524">
        <v>3.0</v>
      </c>
      <c r="D524" t="inlineStr">
        <is>
          <t>N</t>
        </is>
      </c>
      <c r="E524" t="inlineStr">
        <is>
          <t>SR 1006</t>
        </is>
      </c>
      <c r="F524" t="inlineStr">
        <is>
          <t>SR 1627</t>
        </is>
      </c>
      <c r="G524" t="inlineStr">
        <is>
          <t>SR 1606</t>
        </is>
      </c>
      <c r="H524">
        <v>999.999</v>
      </c>
      <c r="J524">
        <v>105850446</v>
      </c>
      <c r="K524" t="inlineStr">
        <is>
          <t>4/29/2019</t>
        </is>
      </c>
      <c r="L524">
        <v>19</v>
      </c>
      <c r="M524">
        <v>1</v>
      </c>
      <c r="N524">
        <v>0</v>
      </c>
      <c r="O524">
        <v>3</v>
      </c>
      <c r="P524" t="inlineStr">
        <is>
          <t>A</t>
        </is>
      </c>
      <c r="Q524">
        <v>35.038154</v>
      </c>
      <c r="R524">
        <v>-80.476569</v>
      </c>
      <c r="S524" t="inlineStr">
        <is>
          <t>NCDOT_TSU</t>
        </is>
      </c>
    </row>
    <row r="525">
      <c r="A525" t="inlineStr">
        <is>
          <t>637</t>
        </is>
      </c>
      <c r="B525" t="inlineStr">
        <is>
          <t>SR 1606</t>
        </is>
      </c>
      <c r="C525">
        <v>0.1</v>
      </c>
      <c r="D525" t="inlineStr">
        <is>
          <t>SW</t>
        </is>
      </c>
      <c r="E525" t="inlineStr">
        <is>
          <t>SR 1507</t>
        </is>
      </c>
      <c r="F525" t="inlineStr">
        <is>
          <t>NC 218</t>
        </is>
      </c>
      <c r="G525" t="inlineStr">
        <is>
          <t>SR 1606</t>
        </is>
      </c>
      <c r="H525">
        <v>999.999</v>
      </c>
      <c r="J525">
        <v>107737133</v>
      </c>
      <c r="K525" t="inlineStr">
        <is>
          <t>5/30/2024</t>
        </is>
      </c>
      <c r="L525">
        <v>29</v>
      </c>
      <c r="M525">
        <v>1</v>
      </c>
      <c r="N525">
        <v>0</v>
      </c>
      <c r="O525">
        <v>1</v>
      </c>
      <c r="P525" t="inlineStr">
        <is>
          <t>O</t>
        </is>
      </c>
      <c r="Q525">
        <v>35.145932</v>
      </c>
      <c r="R525">
        <v>-80.478031</v>
      </c>
      <c r="S525" t="inlineStr">
        <is>
          <t>ITRE_CMV</t>
        </is>
      </c>
    </row>
    <row r="526">
      <c r="A526" t="inlineStr">
        <is>
          <t>558</t>
        </is>
      </c>
      <c r="B526" t="inlineStr">
        <is>
          <t>SR 1606</t>
        </is>
      </c>
      <c r="C526">
        <v>0.2</v>
      </c>
      <c r="D526" t="inlineStr">
        <is>
          <t>S</t>
        </is>
      </c>
      <c r="E526" t="inlineStr">
        <is>
          <t>SR 1605</t>
        </is>
      </c>
      <c r="F526" t="inlineStr">
        <is>
          <t>SR 1638</t>
        </is>
      </c>
      <c r="G526" t="inlineStr">
        <is>
          <t>SR 1606</t>
        </is>
      </c>
      <c r="H526">
        <v>999.999</v>
      </c>
      <c r="J526">
        <v>104772437</v>
      </c>
      <c r="K526" t="inlineStr">
        <is>
          <t>6/22/2016</t>
        </is>
      </c>
      <c r="L526">
        <v>17</v>
      </c>
      <c r="M526">
        <v>1</v>
      </c>
      <c r="N526">
        <v>0</v>
      </c>
      <c r="O526">
        <v>5</v>
      </c>
      <c r="P526" t="inlineStr">
        <is>
          <t>O</t>
        </is>
      </c>
    </row>
    <row r="527">
      <c r="A527" t="inlineStr">
        <is>
          <t>558</t>
        </is>
      </c>
      <c r="B527" t="inlineStr">
        <is>
          <t>SR 1606</t>
        </is>
      </c>
      <c r="C527">
        <v>0.0</v>
      </c>
      <c r="E527" t="inlineStr">
        <is>
          <t>SR 1606</t>
        </is>
      </c>
      <c r="G527" t="inlineStr">
        <is>
          <t>SR 1606</t>
        </is>
      </c>
      <c r="H527">
        <v>999.999</v>
      </c>
      <c r="J527">
        <v>104720551</v>
      </c>
      <c r="K527" t="inlineStr">
        <is>
          <t>5/1/2016</t>
        </is>
      </c>
      <c r="L527">
        <v>30</v>
      </c>
      <c r="M527">
        <v>1</v>
      </c>
      <c r="N527">
        <v>7</v>
      </c>
      <c r="O527">
        <v>1</v>
      </c>
      <c r="P527" t="inlineStr">
        <is>
          <t>O</t>
        </is>
      </c>
    </row>
    <row r="528">
      <c r="A528" t="inlineStr">
        <is>
          <t>0</t>
        </is>
      </c>
      <c r="B528" t="inlineStr">
        <is>
          <t>SR 1606</t>
        </is>
      </c>
      <c r="C528">
        <v>0.1</v>
      </c>
      <c r="D528" t="inlineStr">
        <is>
          <t>S</t>
        </is>
      </c>
      <c r="E528" t="inlineStr">
        <is>
          <t>SR 1617</t>
        </is>
      </c>
      <c r="F528" t="inlineStr">
        <is>
          <t>SR 1634</t>
        </is>
      </c>
      <c r="G528" t="inlineStr">
        <is>
          <t>SR 1606</t>
        </is>
      </c>
      <c r="H528">
        <v>999.999</v>
      </c>
      <c r="J528">
        <v>104922359</v>
      </c>
      <c r="K528" t="inlineStr">
        <is>
          <t>11/17/2016</t>
        </is>
      </c>
      <c r="L528">
        <v>17</v>
      </c>
      <c r="M528">
        <v>1</v>
      </c>
      <c r="N528">
        <v>0</v>
      </c>
      <c r="O528">
        <v>5</v>
      </c>
      <c r="P528" t="inlineStr">
        <is>
          <t>O</t>
        </is>
      </c>
    </row>
    <row r="529">
      <c r="A529" t="inlineStr">
        <is>
          <t>0</t>
        </is>
      </c>
      <c r="B529" t="inlineStr">
        <is>
          <t>SR 1606</t>
        </is>
      </c>
      <c r="C529">
        <v>0.8</v>
      </c>
      <c r="D529" t="inlineStr">
        <is>
          <t>S</t>
        </is>
      </c>
      <c r="E529" t="inlineStr">
        <is>
          <t>SR 1617</t>
        </is>
      </c>
      <c r="F529" t="inlineStr">
        <is>
          <t>SR 1615</t>
        </is>
      </c>
      <c r="G529" t="inlineStr">
        <is>
          <t>SR 1606</t>
        </is>
      </c>
      <c r="H529">
        <v>999.999</v>
      </c>
      <c r="J529">
        <v>105825314</v>
      </c>
      <c r="K529" t="inlineStr">
        <is>
          <t>4/2/2019</t>
        </is>
      </c>
      <c r="L529">
        <v>19</v>
      </c>
      <c r="M529">
        <v>6</v>
      </c>
      <c r="N529">
        <v>0</v>
      </c>
      <c r="O529">
        <v>1</v>
      </c>
      <c r="P529" t="inlineStr">
        <is>
          <t>B</t>
        </is>
      </c>
    </row>
    <row r="530">
      <c r="A530" t="inlineStr">
        <is>
          <t>0</t>
        </is>
      </c>
      <c r="B530" t="inlineStr">
        <is>
          <t>SR 1606</t>
        </is>
      </c>
      <c r="C530">
        <v>0.08</v>
      </c>
      <c r="D530" t="inlineStr">
        <is>
          <t>N</t>
        </is>
      </c>
      <c r="E530" t="inlineStr">
        <is>
          <t>SR 1619</t>
        </is>
      </c>
      <c r="F530" t="inlineStr">
        <is>
          <t>SR 1001</t>
        </is>
      </c>
      <c r="G530" t="inlineStr">
        <is>
          <t>SR 1606</t>
        </is>
      </c>
      <c r="H530">
        <v>999.999</v>
      </c>
      <c r="J530">
        <v>106276502</v>
      </c>
      <c r="K530" t="inlineStr">
        <is>
          <t>7/14/2020</t>
        </is>
      </c>
      <c r="L530">
        <v>17</v>
      </c>
      <c r="M530">
        <v>1</v>
      </c>
      <c r="N530">
        <v>0</v>
      </c>
      <c r="O530">
        <v>5</v>
      </c>
      <c r="P530" t="inlineStr">
        <is>
          <t>O</t>
        </is>
      </c>
    </row>
    <row r="531">
      <c r="A531" t="inlineStr">
        <is>
          <t>558</t>
        </is>
      </c>
      <c r="B531" t="inlineStr">
        <is>
          <t>SR 1606</t>
        </is>
      </c>
      <c r="C531">
        <v>0.3</v>
      </c>
      <c r="D531" t="inlineStr">
        <is>
          <t>E</t>
        </is>
      </c>
      <c r="E531" t="inlineStr">
        <is>
          <t>SR 1619</t>
        </is>
      </c>
      <c r="F531" t="inlineStr">
        <is>
          <t>NC 200</t>
        </is>
      </c>
      <c r="G531" t="inlineStr">
        <is>
          <t>SR 1606</t>
        </is>
      </c>
      <c r="H531">
        <v>999.999</v>
      </c>
      <c r="J531">
        <v>107329736</v>
      </c>
      <c r="K531" t="inlineStr">
        <is>
          <t>5/7/2023</t>
        </is>
      </c>
      <c r="L531">
        <v>19</v>
      </c>
      <c r="M531">
        <v>1</v>
      </c>
      <c r="N531">
        <v>0</v>
      </c>
      <c r="O531">
        <v>5</v>
      </c>
      <c r="P531" t="inlineStr">
        <is>
          <t>A</t>
        </is>
      </c>
      <c r="Q531">
        <v>35.063101</v>
      </c>
      <c r="R531">
        <v>-80.489374</v>
      </c>
      <c r="S531" t="inlineStr">
        <is>
          <t>NCDOT_TSU</t>
        </is>
      </c>
    </row>
    <row r="532">
      <c r="A532" t="inlineStr">
        <is>
          <t>0</t>
        </is>
      </c>
      <c r="B532" t="inlineStr">
        <is>
          <t>SR 1606</t>
        </is>
      </c>
      <c r="C532">
        <v>0.5</v>
      </c>
      <c r="D532" t="inlineStr">
        <is>
          <t>S</t>
        </is>
      </c>
      <c r="E532" t="inlineStr">
        <is>
          <t>SR 1619</t>
        </is>
      </c>
      <c r="F532" t="inlineStr">
        <is>
          <t>PRESSON FARM</t>
        </is>
      </c>
      <c r="G532" t="inlineStr">
        <is>
          <t>SR 1606</t>
        </is>
      </c>
      <c r="H532">
        <v>999.999</v>
      </c>
      <c r="J532">
        <v>105685420</v>
      </c>
      <c r="K532" t="inlineStr">
        <is>
          <t>11/20/2018</t>
        </is>
      </c>
      <c r="L532">
        <v>17</v>
      </c>
      <c r="M532">
        <v>1</v>
      </c>
      <c r="N532">
        <v>0</v>
      </c>
      <c r="O532">
        <v>2</v>
      </c>
      <c r="P532" t="inlineStr">
        <is>
          <t>O</t>
        </is>
      </c>
    </row>
    <row r="533">
      <c r="A533" t="inlineStr">
        <is>
          <t>558</t>
        </is>
      </c>
      <c r="B533" t="inlineStr">
        <is>
          <t>SR 1606</t>
        </is>
      </c>
      <c r="C533">
        <v>0.6</v>
      </c>
      <c r="D533" t="inlineStr">
        <is>
          <t>W</t>
        </is>
      </c>
      <c r="E533" t="inlineStr">
        <is>
          <t>SR 1619</t>
        </is>
      </c>
      <c r="F533" t="inlineStr">
        <is>
          <t>SR 1637</t>
        </is>
      </c>
      <c r="G533" t="inlineStr">
        <is>
          <t>SR 1606</t>
        </is>
      </c>
      <c r="H533">
        <v>999.999</v>
      </c>
      <c r="J533">
        <v>106249008</v>
      </c>
      <c r="K533" t="inlineStr">
        <is>
          <t>6/11/2020</t>
        </is>
      </c>
      <c r="L533">
        <v>19</v>
      </c>
      <c r="M533">
        <v>2</v>
      </c>
      <c r="N533">
        <v>0</v>
      </c>
      <c r="O533">
        <v>1</v>
      </c>
      <c r="P533" t="inlineStr">
        <is>
          <t>O</t>
        </is>
      </c>
    </row>
    <row r="534">
      <c r="A534" t="inlineStr">
        <is>
          <t>0</t>
        </is>
      </c>
      <c r="B534" t="inlineStr">
        <is>
          <t>SR 1606</t>
        </is>
      </c>
      <c r="C534">
        <v>0.0</v>
      </c>
      <c r="E534" t="inlineStr">
        <is>
          <t>SR 1627</t>
        </is>
      </c>
      <c r="F534" t="inlineStr">
        <is>
          <t>NC 200</t>
        </is>
      </c>
      <c r="G534" t="inlineStr">
        <is>
          <t>SR 1606</t>
        </is>
      </c>
      <c r="H534">
        <v>999.999</v>
      </c>
      <c r="J534">
        <v>107696630</v>
      </c>
      <c r="K534" t="inlineStr">
        <is>
          <t>4/17/2024</t>
        </is>
      </c>
      <c r="L534">
        <v>30</v>
      </c>
      <c r="M534">
        <v>1</v>
      </c>
      <c r="N534">
        <v>7</v>
      </c>
      <c r="O534">
        <v>1</v>
      </c>
      <c r="P534" t="inlineStr">
        <is>
          <t>B</t>
        </is>
      </c>
      <c r="Q534">
        <v>35.04972</v>
      </c>
      <c r="R534">
        <v>-80.48138</v>
      </c>
      <c r="S534" t="inlineStr">
        <is>
          <t>DMV349CLEANED</t>
        </is>
      </c>
    </row>
    <row r="535">
      <c r="A535" t="inlineStr">
        <is>
          <t>0</t>
        </is>
      </c>
      <c r="B535" t="inlineStr">
        <is>
          <t>SR 1606</t>
        </is>
      </c>
      <c r="C535">
        <v>0.5</v>
      </c>
      <c r="D535" t="inlineStr">
        <is>
          <t>W</t>
        </is>
      </c>
      <c r="E535" t="inlineStr">
        <is>
          <t>SR 1627</t>
        </is>
      </c>
      <c r="F535" t="inlineStr">
        <is>
          <t>NC 200</t>
        </is>
      </c>
      <c r="G535" t="inlineStr">
        <is>
          <t>SR 1606</t>
        </is>
      </c>
      <c r="H535">
        <v>999.999</v>
      </c>
      <c r="J535">
        <v>104877259</v>
      </c>
      <c r="K535" t="inlineStr">
        <is>
          <t>10/12/2016</t>
        </is>
      </c>
      <c r="L535">
        <v>29</v>
      </c>
      <c r="M535">
        <v>1</v>
      </c>
      <c r="N535">
        <v>0</v>
      </c>
      <c r="O535">
        <v>1</v>
      </c>
      <c r="P535" t="inlineStr">
        <is>
          <t>O</t>
        </is>
      </c>
    </row>
    <row r="536">
      <c r="A536" t="inlineStr">
        <is>
          <t>558</t>
        </is>
      </c>
      <c r="B536" t="inlineStr">
        <is>
          <t>SR 1606</t>
        </is>
      </c>
      <c r="C536">
        <v>0.2</v>
      </c>
      <c r="D536" t="inlineStr">
        <is>
          <t>S</t>
        </is>
      </c>
      <c r="E536" t="inlineStr">
        <is>
          <t>SR 1691</t>
        </is>
      </c>
      <c r="F536" t="inlineStr">
        <is>
          <t>NC 200</t>
        </is>
      </c>
      <c r="G536" t="inlineStr">
        <is>
          <t>SR 1606</t>
        </is>
      </c>
      <c r="H536">
        <v>999.999</v>
      </c>
      <c r="J536">
        <v>108320401</v>
      </c>
      <c r="K536" t="inlineStr">
        <is>
          <t>11/20/2025</t>
        </is>
      </c>
      <c r="L536">
        <v>23</v>
      </c>
      <c r="M536">
        <v>1</v>
      </c>
      <c r="N536">
        <v>0</v>
      </c>
      <c r="O536">
        <v>1</v>
      </c>
      <c r="P536" t="inlineStr">
        <is>
          <t>O</t>
        </is>
      </c>
      <c r="Q536">
        <v>35.07005</v>
      </c>
      <c r="R536">
        <v>-80.49195</v>
      </c>
      <c r="S536" t="inlineStr">
        <is>
          <t>DMV349CLEANED</t>
        </is>
      </c>
    </row>
    <row r="537">
      <c r="A537" t="inlineStr">
        <is>
          <t>558</t>
        </is>
      </c>
      <c r="B537" t="inlineStr">
        <is>
          <t>SR 1606</t>
        </is>
      </c>
      <c r="C537">
        <v>0.3</v>
      </c>
      <c r="D537" t="inlineStr">
        <is>
          <t>E</t>
        </is>
      </c>
      <c r="E537" t="inlineStr">
        <is>
          <t>SR 1697</t>
        </is>
      </c>
      <c r="F537" t="inlineStr">
        <is>
          <t>NC 200</t>
        </is>
      </c>
      <c r="G537" t="inlineStr">
        <is>
          <t>SR 1606</t>
        </is>
      </c>
      <c r="H537">
        <v>999.999</v>
      </c>
      <c r="J537">
        <v>107647374</v>
      </c>
      <c r="K537" t="inlineStr">
        <is>
          <t>3/7/2024</t>
        </is>
      </c>
      <c r="L537">
        <v>19</v>
      </c>
      <c r="M537">
        <v>1</v>
      </c>
      <c r="N537">
        <v>0</v>
      </c>
      <c r="O537">
        <v>1</v>
      </c>
      <c r="P537" t="inlineStr">
        <is>
          <t>O</t>
        </is>
      </c>
      <c r="Q537">
        <v>35.05937</v>
      </c>
      <c r="R537">
        <v>-80.4874</v>
      </c>
      <c r="S537" t="inlineStr">
        <is>
          <t>DMV349CLEANED</t>
        </is>
      </c>
    </row>
    <row r="538">
      <c r="A538" t="inlineStr">
        <is>
          <t>0</t>
        </is>
      </c>
      <c r="B538" t="inlineStr">
        <is>
          <t>SR 1606</t>
        </is>
      </c>
      <c r="C538">
        <v>0.0</v>
      </c>
      <c r="E538" t="inlineStr">
        <is>
          <t>SR 2785</t>
        </is>
      </c>
      <c r="F538" t="inlineStr">
        <is>
          <t>SR 1006</t>
        </is>
      </c>
      <c r="G538" t="inlineStr">
        <is>
          <t>SR 1606</t>
        </is>
      </c>
      <c r="H538">
        <v>999.999</v>
      </c>
      <c r="J538">
        <v>105844523</v>
      </c>
      <c r="K538" t="inlineStr">
        <is>
          <t>4/26/2019</t>
        </is>
      </c>
      <c r="L538">
        <v>19</v>
      </c>
      <c r="M538">
        <v>1</v>
      </c>
      <c r="N538">
        <v>8</v>
      </c>
      <c r="O538">
        <v>5</v>
      </c>
      <c r="P538" t="inlineStr">
        <is>
          <t>O</t>
        </is>
      </c>
    </row>
    <row r="539">
      <c r="A539" t="inlineStr">
        <is>
          <t>558</t>
        </is>
      </c>
      <c r="B539" t="inlineStr">
        <is>
          <t>SR 1611</t>
        </is>
      </c>
      <c r="C539">
        <v>0.006</v>
      </c>
      <c r="D539" t="inlineStr">
        <is>
          <t>W</t>
        </is>
      </c>
      <c r="E539" t="inlineStr">
        <is>
          <t>SR 1606</t>
        </is>
      </c>
      <c r="F539" t="inlineStr">
        <is>
          <t>SR 1640</t>
        </is>
      </c>
      <c r="G539" t="inlineStr">
        <is>
          <t>SR 1611</t>
        </is>
      </c>
      <c r="H539">
        <v>3.361</v>
      </c>
      <c r="J539">
        <v>105387651</v>
      </c>
      <c r="K539" t="inlineStr">
        <is>
          <t>2/18/2018</t>
        </is>
      </c>
      <c r="L539">
        <v>18</v>
      </c>
      <c r="M539">
        <v>1</v>
      </c>
      <c r="N539">
        <v>0</v>
      </c>
      <c r="O539">
        <v>1</v>
      </c>
      <c r="P539" t="inlineStr">
        <is>
          <t>O</t>
        </is>
      </c>
    </row>
    <row r="540">
      <c r="A540" t="inlineStr">
        <is>
          <t>558</t>
        </is>
      </c>
      <c r="B540" t="inlineStr">
        <is>
          <t>SR 1611</t>
        </is>
      </c>
      <c r="C540">
        <v>0.019</v>
      </c>
      <c r="D540" t="inlineStr">
        <is>
          <t>SW</t>
        </is>
      </c>
      <c r="E540" t="inlineStr">
        <is>
          <t>SR 1001</t>
        </is>
      </c>
      <c r="F540" t="inlineStr">
        <is>
          <t>SR 1640</t>
        </is>
      </c>
      <c r="G540" t="inlineStr">
        <is>
          <t>SR 1611</t>
        </is>
      </c>
      <c r="H540">
        <v>999.999</v>
      </c>
      <c r="J540">
        <v>104711866</v>
      </c>
      <c r="K540" t="inlineStr">
        <is>
          <t>4/24/2016</t>
        </is>
      </c>
      <c r="L540">
        <v>17</v>
      </c>
      <c r="M540">
        <v>1</v>
      </c>
      <c r="O540">
        <v>5</v>
      </c>
      <c r="P540" t="inlineStr">
        <is>
          <t>O</t>
        </is>
      </c>
    </row>
    <row r="541">
      <c r="A541" t="inlineStr">
        <is>
          <t>558</t>
        </is>
      </c>
      <c r="B541" t="inlineStr">
        <is>
          <t>SR 1615</t>
        </is>
      </c>
      <c r="C541">
        <v>0.02</v>
      </c>
      <c r="D541" t="inlineStr">
        <is>
          <t>S</t>
        </is>
      </c>
      <c r="E541" t="inlineStr">
        <is>
          <t>SR 1617</t>
        </is>
      </c>
      <c r="F541" t="inlineStr">
        <is>
          <t>SR 1001</t>
        </is>
      </c>
      <c r="G541" t="inlineStr">
        <is>
          <t>SR 1615</t>
        </is>
      </c>
      <c r="H541">
        <v>2.204</v>
      </c>
      <c r="J541">
        <v>107082068</v>
      </c>
      <c r="K541" t="inlineStr">
        <is>
          <t>9/8/2022</t>
        </is>
      </c>
      <c r="L541">
        <v>19</v>
      </c>
      <c r="M541">
        <v>2</v>
      </c>
      <c r="N541">
        <v>0</v>
      </c>
      <c r="O541">
        <v>5</v>
      </c>
      <c r="P541" t="inlineStr">
        <is>
          <t>B</t>
        </is>
      </c>
    </row>
    <row r="542">
      <c r="A542" t="inlineStr">
        <is>
          <t>558</t>
        </is>
      </c>
      <c r="B542" t="inlineStr">
        <is>
          <t>SR 1615</t>
        </is>
      </c>
      <c r="C542">
        <v>0.0</v>
      </c>
      <c r="E542" t="inlineStr">
        <is>
          <t>SR 1001</t>
        </is>
      </c>
      <c r="F542" t="inlineStr">
        <is>
          <t>SR 1619</t>
        </is>
      </c>
      <c r="G542" t="inlineStr">
        <is>
          <t>SR 1615</t>
        </is>
      </c>
      <c r="H542">
        <v>2.89</v>
      </c>
      <c r="J542">
        <v>107574676</v>
      </c>
      <c r="K542" t="inlineStr">
        <is>
          <t>12/23/2023</t>
        </is>
      </c>
      <c r="L542">
        <v>19</v>
      </c>
      <c r="M542">
        <v>1</v>
      </c>
      <c r="N542">
        <v>8</v>
      </c>
      <c r="O542">
        <v>5</v>
      </c>
      <c r="P542" t="inlineStr">
        <is>
          <t>O</t>
        </is>
      </c>
      <c r="Q542">
        <v>35.07595</v>
      </c>
      <c r="R542">
        <v>-80.50811</v>
      </c>
      <c r="S542" t="inlineStr">
        <is>
          <t>DMV349CLEANED</t>
        </is>
      </c>
    </row>
    <row r="543">
      <c r="A543" t="inlineStr">
        <is>
          <t>558</t>
        </is>
      </c>
      <c r="B543" t="inlineStr">
        <is>
          <t>SR 1617</t>
        </is>
      </c>
      <c r="C543">
        <v>0.1</v>
      </c>
      <c r="D543" t="inlineStr">
        <is>
          <t>E</t>
        </is>
      </c>
      <c r="E543" t="inlineStr">
        <is>
          <t>SR 1615</t>
        </is>
      </c>
      <c r="F543" t="inlineStr">
        <is>
          <t>SR 1001</t>
        </is>
      </c>
      <c r="G543" t="inlineStr">
        <is>
          <t>SR 1617</t>
        </is>
      </c>
      <c r="H543">
        <v>0.1</v>
      </c>
      <c r="J543">
        <v>106093727</v>
      </c>
      <c r="K543" t="inlineStr">
        <is>
          <t>12/12/2019</t>
        </is>
      </c>
      <c r="L543">
        <v>17</v>
      </c>
      <c r="M543">
        <v>1</v>
      </c>
      <c r="N543">
        <v>0</v>
      </c>
      <c r="O543">
        <v>5</v>
      </c>
      <c r="P543" t="inlineStr">
        <is>
          <t>C</t>
        </is>
      </c>
    </row>
    <row r="544">
      <c r="A544" t="inlineStr">
        <is>
          <t>558</t>
        </is>
      </c>
      <c r="B544" t="inlineStr">
        <is>
          <t>SR 1617</t>
        </is>
      </c>
      <c r="C544">
        <v>0.1</v>
      </c>
      <c r="D544" t="inlineStr">
        <is>
          <t>E</t>
        </is>
      </c>
      <c r="E544" t="inlineStr">
        <is>
          <t>SR 1615</t>
        </is>
      </c>
      <c r="F544" t="inlineStr">
        <is>
          <t>SR 1001</t>
        </is>
      </c>
      <c r="G544" t="inlineStr">
        <is>
          <t>SR 1617</t>
        </is>
      </c>
      <c r="H544">
        <v>0.1</v>
      </c>
      <c r="J544">
        <v>105356713</v>
      </c>
      <c r="K544" t="inlineStr">
        <is>
          <t>1/19/2018</t>
        </is>
      </c>
      <c r="L544">
        <v>19</v>
      </c>
      <c r="M544">
        <v>4</v>
      </c>
      <c r="N544">
        <v>0</v>
      </c>
      <c r="O544">
        <v>5</v>
      </c>
      <c r="P544" t="inlineStr">
        <is>
          <t>O</t>
        </is>
      </c>
    </row>
    <row r="545">
      <c r="A545" t="inlineStr">
        <is>
          <t>558</t>
        </is>
      </c>
      <c r="B545" t="inlineStr">
        <is>
          <t>SR 1617</t>
        </is>
      </c>
      <c r="C545">
        <v>0.2</v>
      </c>
      <c r="D545" t="inlineStr">
        <is>
          <t>SE</t>
        </is>
      </c>
      <c r="E545" t="inlineStr">
        <is>
          <t>SR 1615</t>
        </is>
      </c>
      <c r="F545" t="inlineStr">
        <is>
          <t>SR 1001</t>
        </is>
      </c>
      <c r="G545" t="inlineStr">
        <is>
          <t>SR 1617</t>
        </is>
      </c>
      <c r="H545">
        <v>0.2</v>
      </c>
      <c r="J545">
        <v>107295872</v>
      </c>
      <c r="K545" t="inlineStr">
        <is>
          <t>4/5/2023</t>
        </is>
      </c>
      <c r="L545">
        <v>17</v>
      </c>
      <c r="M545">
        <v>1</v>
      </c>
      <c r="N545">
        <v>0</v>
      </c>
      <c r="O545">
        <v>5</v>
      </c>
      <c r="P545" t="inlineStr">
        <is>
          <t>O</t>
        </is>
      </c>
    </row>
    <row r="546">
      <c r="A546" t="inlineStr">
        <is>
          <t>558</t>
        </is>
      </c>
      <c r="B546" t="inlineStr">
        <is>
          <t>SR 1617</t>
        </is>
      </c>
      <c r="C546">
        <v>0.028</v>
      </c>
      <c r="D546" t="inlineStr">
        <is>
          <t>W</t>
        </is>
      </c>
      <c r="E546" t="inlineStr">
        <is>
          <t>SR 1001</t>
        </is>
      </c>
      <c r="F546" t="inlineStr">
        <is>
          <t>SR 1615</t>
        </is>
      </c>
      <c r="G546" t="inlineStr">
        <is>
          <t>SR 1617</t>
        </is>
      </c>
      <c r="H546">
        <v>0.512</v>
      </c>
      <c r="J546">
        <v>105885258</v>
      </c>
      <c r="K546" t="inlineStr">
        <is>
          <t>6/4/2019</t>
        </is>
      </c>
      <c r="L546">
        <v>29</v>
      </c>
      <c r="M546">
        <v>1</v>
      </c>
      <c r="N546">
        <v>0</v>
      </c>
      <c r="O546">
        <v>1</v>
      </c>
      <c r="P546" t="inlineStr">
        <is>
          <t>O</t>
        </is>
      </c>
    </row>
    <row r="547">
      <c r="A547" t="inlineStr">
        <is>
          <t>558</t>
        </is>
      </c>
      <c r="B547" t="inlineStr">
        <is>
          <t>SR 1617</t>
        </is>
      </c>
      <c r="C547">
        <v>0.0</v>
      </c>
      <c r="E547" t="inlineStr">
        <is>
          <t>SR 1001</t>
        </is>
      </c>
      <c r="G547" t="inlineStr">
        <is>
          <t>SR 1617</t>
        </is>
      </c>
      <c r="H547">
        <v>0.54</v>
      </c>
      <c r="J547">
        <v>104716467</v>
      </c>
      <c r="K547" t="inlineStr">
        <is>
          <t>4/27/2016</t>
        </is>
      </c>
      <c r="L547">
        <v>30</v>
      </c>
      <c r="M547">
        <v>1</v>
      </c>
      <c r="N547">
        <v>7</v>
      </c>
      <c r="O547">
        <v>1</v>
      </c>
      <c r="P547" t="inlineStr">
        <is>
          <t>O</t>
        </is>
      </c>
    </row>
    <row r="548">
      <c r="A548" t="inlineStr">
        <is>
          <t>558</t>
        </is>
      </c>
      <c r="B548" t="inlineStr">
        <is>
          <t>SR 1618</t>
        </is>
      </c>
      <c r="C548">
        <v>0.0</v>
      </c>
      <c r="D548" t="inlineStr">
        <is>
          <t>E</t>
        </is>
      </c>
      <c r="E548" t="inlineStr">
        <is>
          <t>SR 1001</t>
        </is>
      </c>
      <c r="F548" t="inlineStr">
        <is>
          <t>SR 1637</t>
        </is>
      </c>
      <c r="G548" t="inlineStr">
        <is>
          <t>SR 1618</t>
        </is>
      </c>
      <c r="H548">
        <v>0.0</v>
      </c>
      <c r="J548">
        <v>105670638</v>
      </c>
      <c r="K548" t="inlineStr">
        <is>
          <t>11/9/2018</t>
        </is>
      </c>
      <c r="L548">
        <v>26</v>
      </c>
      <c r="M548">
        <v>2</v>
      </c>
      <c r="N548">
        <v>10</v>
      </c>
      <c r="O548">
        <v>5</v>
      </c>
      <c r="P548" t="inlineStr">
        <is>
          <t>O</t>
        </is>
      </c>
    </row>
    <row r="549">
      <c r="A549" t="inlineStr">
        <is>
          <t>558</t>
        </is>
      </c>
      <c r="B549" t="inlineStr">
        <is>
          <t>SR 1618</t>
        </is>
      </c>
      <c r="C549">
        <v>0.0</v>
      </c>
      <c r="E549" t="inlineStr">
        <is>
          <t>SR 1606</t>
        </is>
      </c>
      <c r="F549" t="inlineStr">
        <is>
          <t>SR 1001</t>
        </is>
      </c>
      <c r="G549" t="inlineStr">
        <is>
          <t>SR 1618</t>
        </is>
      </c>
      <c r="H549">
        <v>0.0</v>
      </c>
      <c r="J549">
        <v>106096868</v>
      </c>
      <c r="K549" t="inlineStr">
        <is>
          <t>12/12/2019</t>
        </is>
      </c>
      <c r="L549">
        <v>26</v>
      </c>
      <c r="M549">
        <v>1</v>
      </c>
      <c r="N549">
        <v>10</v>
      </c>
      <c r="O549">
        <v>1</v>
      </c>
      <c r="P549" t="inlineStr">
        <is>
          <t>C</t>
        </is>
      </c>
    </row>
    <row r="550">
      <c r="A550" t="inlineStr">
        <is>
          <t>558</t>
        </is>
      </c>
      <c r="B550" t="inlineStr">
        <is>
          <t>SR 1618</t>
        </is>
      </c>
      <c r="C550">
        <v>0.008</v>
      </c>
      <c r="D550" t="inlineStr">
        <is>
          <t>S</t>
        </is>
      </c>
      <c r="E550" t="inlineStr">
        <is>
          <t>SR 1606</t>
        </is>
      </c>
      <c r="F550" t="inlineStr">
        <is>
          <t>SR 1615</t>
        </is>
      </c>
      <c r="G550" t="inlineStr">
        <is>
          <t>SR 1618</t>
        </is>
      </c>
      <c r="H550">
        <v>0.0</v>
      </c>
      <c r="J550">
        <v>105669889</v>
      </c>
      <c r="K550" t="inlineStr">
        <is>
          <t>11/7/2018</t>
        </is>
      </c>
      <c r="L550">
        <v>21</v>
      </c>
      <c r="M550">
        <v>1</v>
      </c>
      <c r="N550">
        <v>10</v>
      </c>
      <c r="O550">
        <v>1</v>
      </c>
      <c r="P550" t="inlineStr">
        <is>
          <t>C</t>
        </is>
      </c>
    </row>
    <row r="551">
      <c r="A551" t="inlineStr">
        <is>
          <t>558</t>
        </is>
      </c>
      <c r="B551" t="inlineStr">
        <is>
          <t>SR 1618</t>
        </is>
      </c>
      <c r="C551">
        <v>0.006</v>
      </c>
      <c r="D551" t="inlineStr">
        <is>
          <t>W</t>
        </is>
      </c>
      <c r="E551" t="inlineStr">
        <is>
          <t>SR 1606</t>
        </is>
      </c>
      <c r="F551" t="inlineStr">
        <is>
          <t>SR 1615</t>
        </is>
      </c>
      <c r="G551" t="inlineStr">
        <is>
          <t>SR 1618</t>
        </is>
      </c>
      <c r="H551">
        <v>0.006</v>
      </c>
      <c r="J551">
        <v>106093757</v>
      </c>
      <c r="K551" t="inlineStr">
        <is>
          <t>12/12/2019</t>
        </is>
      </c>
      <c r="L551">
        <v>21</v>
      </c>
      <c r="M551">
        <v>1</v>
      </c>
      <c r="N551">
        <v>10</v>
      </c>
      <c r="O551">
        <v>1</v>
      </c>
      <c r="P551" t="inlineStr">
        <is>
          <t>O</t>
        </is>
      </c>
    </row>
    <row r="552">
      <c r="A552" t="inlineStr">
        <is>
          <t>558</t>
        </is>
      </c>
      <c r="B552" t="inlineStr">
        <is>
          <t>SR 1618</t>
        </is>
      </c>
      <c r="C552">
        <v>0.014</v>
      </c>
      <c r="D552" t="inlineStr">
        <is>
          <t>W</t>
        </is>
      </c>
      <c r="E552" t="inlineStr">
        <is>
          <t>SR 1606</t>
        </is>
      </c>
      <c r="F552" t="inlineStr">
        <is>
          <t>SR 2776</t>
        </is>
      </c>
      <c r="G552" t="inlineStr">
        <is>
          <t>SR 1618</t>
        </is>
      </c>
      <c r="H552">
        <v>0.014</v>
      </c>
      <c r="J552">
        <v>105139371</v>
      </c>
      <c r="K552" t="inlineStr">
        <is>
          <t>6/12/2017</t>
        </is>
      </c>
      <c r="L552">
        <v>19</v>
      </c>
      <c r="M552">
        <v>1</v>
      </c>
      <c r="N552">
        <v>10</v>
      </c>
      <c r="O552">
        <v>1</v>
      </c>
      <c r="P552" t="inlineStr">
        <is>
          <t>O</t>
        </is>
      </c>
    </row>
    <row r="553">
      <c r="A553" t="inlineStr">
        <is>
          <t>558</t>
        </is>
      </c>
      <c r="B553" t="inlineStr">
        <is>
          <t>SR 1618</t>
        </is>
      </c>
      <c r="C553">
        <v>0.019</v>
      </c>
      <c r="D553" t="inlineStr">
        <is>
          <t>W</t>
        </is>
      </c>
      <c r="E553" t="inlineStr">
        <is>
          <t>SR 1001</t>
        </is>
      </c>
      <c r="F553" t="inlineStr">
        <is>
          <t>SR 1615</t>
        </is>
      </c>
      <c r="G553" t="inlineStr">
        <is>
          <t>SR 1618</t>
        </is>
      </c>
      <c r="H553">
        <v>0.019</v>
      </c>
      <c r="J553">
        <v>105283816</v>
      </c>
      <c r="K553" t="inlineStr">
        <is>
          <t>11/7/2017</t>
        </is>
      </c>
      <c r="L553">
        <v>21</v>
      </c>
      <c r="M553">
        <v>1</v>
      </c>
      <c r="N553">
        <v>0</v>
      </c>
      <c r="O553">
        <v>1</v>
      </c>
      <c r="P553" t="inlineStr">
        <is>
          <t>C</t>
        </is>
      </c>
    </row>
    <row r="554">
      <c r="A554" t="inlineStr">
        <is>
          <t>558</t>
        </is>
      </c>
      <c r="B554" t="inlineStr">
        <is>
          <t>SR 1619</t>
        </is>
      </c>
      <c r="C554">
        <v>0.0</v>
      </c>
      <c r="E554" t="inlineStr">
        <is>
          <t>SR 1001</t>
        </is>
      </c>
      <c r="F554" t="inlineStr">
        <is>
          <t>SR 1606</t>
        </is>
      </c>
      <c r="G554" t="inlineStr">
        <is>
          <t>SR 1619</t>
        </is>
      </c>
      <c r="H554">
        <v>0.0</v>
      </c>
      <c r="J554">
        <v>104898405</v>
      </c>
      <c r="K554" t="inlineStr">
        <is>
          <t>10/31/2016</t>
        </is>
      </c>
      <c r="L554">
        <v>30</v>
      </c>
      <c r="M554">
        <v>1</v>
      </c>
      <c r="N554">
        <v>7</v>
      </c>
      <c r="O554">
        <v>1</v>
      </c>
      <c r="P554" t="inlineStr">
        <is>
          <t>C</t>
        </is>
      </c>
    </row>
    <row r="555">
      <c r="A555" t="inlineStr">
        <is>
          <t>0</t>
        </is>
      </c>
      <c r="B555" t="inlineStr">
        <is>
          <t>SR 1619</t>
        </is>
      </c>
      <c r="C555">
        <v>0.038</v>
      </c>
      <c r="D555" t="inlineStr">
        <is>
          <t>W</t>
        </is>
      </c>
      <c r="E555" t="inlineStr">
        <is>
          <t>SR 1001</t>
        </is>
      </c>
      <c r="F555" t="inlineStr">
        <is>
          <t>UNIONVILLE</t>
        </is>
      </c>
      <c r="G555" t="inlineStr">
        <is>
          <t>SR 1619</t>
        </is>
      </c>
      <c r="H555">
        <v>0.0</v>
      </c>
      <c r="J555">
        <v>105669961</v>
      </c>
      <c r="K555" t="inlineStr">
        <is>
          <t>11/7/2018</t>
        </is>
      </c>
      <c r="L555">
        <v>17</v>
      </c>
      <c r="M555">
        <v>2</v>
      </c>
      <c r="N555">
        <v>0</v>
      </c>
      <c r="O555">
        <v>5</v>
      </c>
      <c r="P555" t="inlineStr">
        <is>
          <t>O</t>
        </is>
      </c>
    </row>
    <row r="556">
      <c r="A556" t="inlineStr">
        <is>
          <t>558</t>
        </is>
      </c>
      <c r="B556" t="inlineStr">
        <is>
          <t>SR 1619</t>
        </is>
      </c>
      <c r="C556">
        <v>0.095</v>
      </c>
      <c r="D556" t="inlineStr">
        <is>
          <t>E</t>
        </is>
      </c>
      <c r="E556" t="inlineStr">
        <is>
          <t>SR 1001</t>
        </is>
      </c>
      <c r="F556" t="inlineStr">
        <is>
          <t>SR 1606</t>
        </is>
      </c>
      <c r="G556" t="inlineStr">
        <is>
          <t>SR 1619</t>
        </is>
      </c>
      <c r="H556">
        <v>0.095</v>
      </c>
      <c r="J556">
        <v>105344181</v>
      </c>
      <c r="K556" t="inlineStr">
        <is>
          <t>1/4/2018</t>
        </is>
      </c>
      <c r="L556">
        <v>29</v>
      </c>
      <c r="M556">
        <v>1</v>
      </c>
      <c r="N556">
        <v>0</v>
      </c>
      <c r="O556">
        <v>1</v>
      </c>
      <c r="P556" t="inlineStr">
        <is>
          <t>O</t>
        </is>
      </c>
    </row>
    <row r="557">
      <c r="A557" t="inlineStr">
        <is>
          <t>558</t>
        </is>
      </c>
      <c r="B557" t="inlineStr">
        <is>
          <t>SR 1619</t>
        </is>
      </c>
      <c r="C557">
        <v>0.095</v>
      </c>
      <c r="D557" t="inlineStr">
        <is>
          <t>E</t>
        </is>
      </c>
      <c r="E557" t="inlineStr">
        <is>
          <t>SR 1001</t>
        </is>
      </c>
      <c r="F557" t="inlineStr">
        <is>
          <t>SR 1606</t>
        </is>
      </c>
      <c r="G557" t="inlineStr">
        <is>
          <t>SR 1619</t>
        </is>
      </c>
      <c r="H557">
        <v>0.095</v>
      </c>
      <c r="J557">
        <v>107771302</v>
      </c>
      <c r="K557" t="inlineStr">
        <is>
          <t>6/25/2024</t>
        </is>
      </c>
      <c r="L557">
        <v>17</v>
      </c>
      <c r="M557">
        <v>1</v>
      </c>
      <c r="N557">
        <v>0</v>
      </c>
      <c r="O557">
        <v>5</v>
      </c>
      <c r="P557" t="inlineStr">
        <is>
          <t>O</t>
        </is>
      </c>
      <c r="Q557">
        <v>35.0802</v>
      </c>
      <c r="R557">
        <v>-80.49869</v>
      </c>
      <c r="S557" t="inlineStr">
        <is>
          <t>DMV349CLEANED</t>
        </is>
      </c>
    </row>
    <row r="558">
      <c r="A558" t="inlineStr">
        <is>
          <t>558</t>
        </is>
      </c>
      <c r="B558" t="inlineStr">
        <is>
          <t>SR 1619</t>
        </is>
      </c>
      <c r="C558">
        <v>0.1</v>
      </c>
      <c r="D558" t="inlineStr">
        <is>
          <t>E</t>
        </is>
      </c>
      <c r="E558" t="inlineStr">
        <is>
          <t>SR 1001</t>
        </is>
      </c>
      <c r="F558" t="inlineStr">
        <is>
          <t>SR 1681</t>
        </is>
      </c>
      <c r="G558" t="inlineStr">
        <is>
          <t>SR 1619</t>
        </is>
      </c>
      <c r="H558">
        <v>0.1</v>
      </c>
      <c r="J558">
        <v>105517517</v>
      </c>
      <c r="K558" t="inlineStr">
        <is>
          <t>6/16/2018</t>
        </is>
      </c>
      <c r="L558">
        <v>17</v>
      </c>
      <c r="M558">
        <v>1</v>
      </c>
      <c r="O558">
        <v>5</v>
      </c>
      <c r="P558" t="inlineStr">
        <is>
          <t>O</t>
        </is>
      </c>
    </row>
    <row r="559">
      <c r="A559" t="inlineStr">
        <is>
          <t>558</t>
        </is>
      </c>
      <c r="B559" t="inlineStr">
        <is>
          <t>SR 1619</t>
        </is>
      </c>
      <c r="C559">
        <v>0.38</v>
      </c>
      <c r="D559" t="inlineStr">
        <is>
          <t>E</t>
        </is>
      </c>
      <c r="E559" t="inlineStr">
        <is>
          <t>SR 1001</t>
        </is>
      </c>
      <c r="F559" t="inlineStr">
        <is>
          <t>SR 1681</t>
        </is>
      </c>
      <c r="G559" t="inlineStr">
        <is>
          <t>SR 1619</t>
        </is>
      </c>
      <c r="H559">
        <v>0.38</v>
      </c>
      <c r="J559">
        <v>106111340</v>
      </c>
      <c r="K559" t="inlineStr">
        <is>
          <t>12/24/2019</t>
        </is>
      </c>
      <c r="L559">
        <v>23</v>
      </c>
      <c r="M559">
        <v>1</v>
      </c>
      <c r="N559">
        <v>0</v>
      </c>
      <c r="O559">
        <v>1</v>
      </c>
      <c r="P559" t="inlineStr">
        <is>
          <t>B</t>
        </is>
      </c>
    </row>
    <row r="560">
      <c r="A560" t="inlineStr">
        <is>
          <t>558</t>
        </is>
      </c>
      <c r="B560" t="inlineStr">
        <is>
          <t>SR 1619</t>
        </is>
      </c>
      <c r="C560">
        <v>0.0</v>
      </c>
      <c r="E560" t="inlineStr">
        <is>
          <t>SR 1681</t>
        </is>
      </c>
      <c r="G560" t="inlineStr">
        <is>
          <t>SR 1619</t>
        </is>
      </c>
      <c r="H560">
        <v>0.573</v>
      </c>
      <c r="J560">
        <v>107533157</v>
      </c>
      <c r="K560" t="inlineStr">
        <is>
          <t>11/19/2023</t>
        </is>
      </c>
      <c r="L560">
        <v>19</v>
      </c>
      <c r="M560">
        <v>1</v>
      </c>
      <c r="N560">
        <v>8</v>
      </c>
      <c r="O560">
        <v>1</v>
      </c>
      <c r="P560" t="inlineStr">
        <is>
          <t>O</t>
        </is>
      </c>
      <c r="Q560">
        <v>35.07597</v>
      </c>
      <c r="R560">
        <v>-80.49265</v>
      </c>
      <c r="S560" t="inlineStr">
        <is>
          <t>DMV349CLEANED</t>
        </is>
      </c>
    </row>
    <row r="561">
      <c r="A561" t="inlineStr">
        <is>
          <t>558</t>
        </is>
      </c>
      <c r="B561" t="inlineStr">
        <is>
          <t>SR 1619</t>
        </is>
      </c>
      <c r="C561">
        <v>0.009</v>
      </c>
      <c r="D561" t="inlineStr">
        <is>
          <t>E</t>
        </is>
      </c>
      <c r="E561" t="inlineStr">
        <is>
          <t>SR 2116</t>
        </is>
      </c>
      <c r="F561" t="inlineStr">
        <is>
          <t>SR 1681</t>
        </is>
      </c>
      <c r="G561" t="inlineStr">
        <is>
          <t>SR 1619</t>
        </is>
      </c>
      <c r="H561">
        <v>999.999</v>
      </c>
      <c r="J561">
        <v>107278206</v>
      </c>
      <c r="K561" t="inlineStr">
        <is>
          <t>3/21/2023</t>
        </is>
      </c>
      <c r="L561">
        <v>29</v>
      </c>
      <c r="M561">
        <v>1</v>
      </c>
      <c r="N561">
        <v>0</v>
      </c>
      <c r="O561">
        <v>1</v>
      </c>
      <c r="P561" t="inlineStr">
        <is>
          <t>O</t>
        </is>
      </c>
      <c r="Q561">
        <v>35.079021</v>
      </c>
      <c r="R561">
        <v>-80.497504</v>
      </c>
      <c r="S561" t="inlineStr">
        <is>
          <t>ITRE_CMV</t>
        </is>
      </c>
    </row>
    <row r="562">
      <c r="A562" t="inlineStr">
        <is>
          <t>558</t>
        </is>
      </c>
      <c r="B562" t="inlineStr">
        <is>
          <t>SR 1627</t>
        </is>
      </c>
      <c r="C562">
        <v>0.0</v>
      </c>
      <c r="E562" t="inlineStr">
        <is>
          <t>SR 1606</t>
        </is>
      </c>
      <c r="F562" t="inlineStr">
        <is>
          <t>SR 1633</t>
        </is>
      </c>
      <c r="G562" t="inlineStr">
        <is>
          <t>SR 1627</t>
        </is>
      </c>
      <c r="H562">
        <v>1.256</v>
      </c>
      <c r="J562">
        <v>106592205</v>
      </c>
      <c r="K562" t="inlineStr">
        <is>
          <t>6/2/2021</t>
        </is>
      </c>
      <c r="L562">
        <v>30</v>
      </c>
      <c r="M562">
        <v>1</v>
      </c>
      <c r="N562">
        <v>7</v>
      </c>
      <c r="O562">
        <v>5</v>
      </c>
      <c r="P562" t="inlineStr">
        <is>
          <t>C</t>
        </is>
      </c>
    </row>
    <row r="563">
      <c r="A563" t="inlineStr">
        <is>
          <t>0</t>
        </is>
      </c>
      <c r="B563" t="inlineStr">
        <is>
          <t>SR 1627</t>
        </is>
      </c>
      <c r="C563">
        <v>0.0</v>
      </c>
      <c r="E563" t="inlineStr">
        <is>
          <t>SR 1606</t>
        </is>
      </c>
      <c r="F563" t="inlineStr">
        <is>
          <t>NC 200</t>
        </is>
      </c>
      <c r="G563" t="inlineStr">
        <is>
          <t>SR 1627</t>
        </is>
      </c>
      <c r="H563">
        <v>1.256</v>
      </c>
      <c r="J563">
        <v>105624868</v>
      </c>
      <c r="K563" t="inlineStr">
        <is>
          <t>10/2/2018</t>
        </is>
      </c>
      <c r="L563">
        <v>30</v>
      </c>
      <c r="M563">
        <v>1</v>
      </c>
      <c r="N563">
        <v>7</v>
      </c>
      <c r="O563">
        <v>1</v>
      </c>
      <c r="P563" t="inlineStr">
        <is>
          <t>O</t>
        </is>
      </c>
    </row>
    <row r="564">
      <c r="A564" t="inlineStr">
        <is>
          <t>558</t>
        </is>
      </c>
      <c r="B564" t="inlineStr">
        <is>
          <t>SR 1627</t>
        </is>
      </c>
      <c r="C564">
        <v>0.0</v>
      </c>
      <c r="E564" t="inlineStr">
        <is>
          <t>SR 1606</t>
        </is>
      </c>
      <c r="F564" t="inlineStr">
        <is>
          <t>NC 200</t>
        </is>
      </c>
      <c r="G564" t="inlineStr">
        <is>
          <t>SR 1627</t>
        </is>
      </c>
      <c r="H564">
        <v>1.256</v>
      </c>
      <c r="J564">
        <v>105331514</v>
      </c>
      <c r="K564" t="inlineStr">
        <is>
          <t>12/19/2017</t>
        </is>
      </c>
      <c r="L564">
        <v>30</v>
      </c>
      <c r="M564">
        <v>1</v>
      </c>
      <c r="N564">
        <v>7</v>
      </c>
      <c r="O564">
        <v>1</v>
      </c>
      <c r="P564" t="inlineStr">
        <is>
          <t>A</t>
        </is>
      </c>
    </row>
    <row r="565">
      <c r="A565" t="inlineStr">
        <is>
          <t>558</t>
        </is>
      </c>
      <c r="B565" t="inlineStr">
        <is>
          <t>SR 1637</t>
        </is>
      </c>
      <c r="C565">
        <v>0.0</v>
      </c>
      <c r="E565" t="inlineStr">
        <is>
          <t>SR 1001</t>
        </is>
      </c>
      <c r="F565" t="inlineStr">
        <is>
          <t>SR 1606</t>
        </is>
      </c>
      <c r="G565" t="inlineStr">
        <is>
          <t>SR 1637</t>
        </is>
      </c>
      <c r="H565">
        <v>1.444</v>
      </c>
      <c r="J565">
        <v>105301886</v>
      </c>
      <c r="K565" t="inlineStr">
        <is>
          <t>11/27/2017</t>
        </is>
      </c>
      <c r="L565">
        <v>28</v>
      </c>
      <c r="M565">
        <v>1</v>
      </c>
      <c r="N565">
        <v>10</v>
      </c>
      <c r="O565">
        <v>5</v>
      </c>
      <c r="P565" t="inlineStr">
        <is>
          <t>O</t>
        </is>
      </c>
    </row>
    <row r="566">
      <c r="A566" t="inlineStr">
        <is>
          <t>558</t>
        </is>
      </c>
      <c r="B566" t="inlineStr">
        <is>
          <t>SR 1638</t>
        </is>
      </c>
      <c r="C566">
        <v>0.0</v>
      </c>
      <c r="E566" t="inlineStr">
        <is>
          <t>SR 1001</t>
        </is>
      </c>
      <c r="F566" t="inlineStr">
        <is>
          <t>SR 1606</t>
        </is>
      </c>
      <c r="G566" t="inlineStr">
        <is>
          <t>SR 1638</t>
        </is>
      </c>
      <c r="H566">
        <v>1.556</v>
      </c>
      <c r="J566">
        <v>106029698</v>
      </c>
      <c r="K566" t="inlineStr">
        <is>
          <t>10/14/2019</t>
        </is>
      </c>
      <c r="L566">
        <v>30</v>
      </c>
      <c r="M566">
        <v>1</v>
      </c>
      <c r="N566">
        <v>7</v>
      </c>
      <c r="O566">
        <v>1</v>
      </c>
      <c r="P566" t="inlineStr">
        <is>
          <t>O</t>
        </is>
      </c>
    </row>
    <row r="567">
      <c r="A567" t="inlineStr">
        <is>
          <t>558</t>
        </is>
      </c>
      <c r="B567" t="inlineStr">
        <is>
          <t>SR 1638</t>
        </is>
      </c>
      <c r="C567">
        <v>0.0</v>
      </c>
      <c r="E567" t="inlineStr">
        <is>
          <t>SR 1001</t>
        </is>
      </c>
      <c r="F567" t="inlineStr">
        <is>
          <t>SR 1638</t>
        </is>
      </c>
      <c r="G567" t="inlineStr">
        <is>
          <t>SR 1638</t>
        </is>
      </c>
      <c r="H567">
        <v>1.556</v>
      </c>
      <c r="J567">
        <v>104762571</v>
      </c>
      <c r="K567" t="inlineStr">
        <is>
          <t>6/8/2016</t>
        </is>
      </c>
      <c r="L567">
        <v>30</v>
      </c>
      <c r="M567">
        <v>1</v>
      </c>
      <c r="N567">
        <v>7</v>
      </c>
      <c r="O567">
        <v>1</v>
      </c>
      <c r="P567" t="inlineStr">
        <is>
          <t>O</t>
        </is>
      </c>
    </row>
    <row r="568">
      <c r="A568" t="inlineStr">
        <is>
          <t>0</t>
        </is>
      </c>
      <c r="B568" t="inlineStr">
        <is>
          <t>SR 1655</t>
        </is>
      </c>
      <c r="C568">
        <v>0.004</v>
      </c>
      <c r="D568" t="inlineStr">
        <is>
          <t>W</t>
        </is>
      </c>
      <c r="E568" t="inlineStr">
        <is>
          <t>SR 1001</t>
        </is>
      </c>
      <c r="F568" t="inlineStr">
        <is>
          <t>SR 1547</t>
        </is>
      </c>
      <c r="G568" t="inlineStr">
        <is>
          <t>SR 1655</t>
        </is>
      </c>
      <c r="H568">
        <v>1.233</v>
      </c>
      <c r="J568">
        <v>105896304</v>
      </c>
      <c r="K568" t="inlineStr">
        <is>
          <t>6/14/2019</t>
        </is>
      </c>
      <c r="L568">
        <v>27</v>
      </c>
      <c r="M568">
        <v>1</v>
      </c>
      <c r="N568">
        <v>8</v>
      </c>
      <c r="O568">
        <v>1</v>
      </c>
      <c r="P568" t="inlineStr">
        <is>
          <t>O</t>
        </is>
      </c>
    </row>
    <row r="569">
      <c r="A569" t="inlineStr">
        <is>
          <t>0</t>
        </is>
      </c>
      <c r="B569" t="inlineStr">
        <is>
          <t>SR 1655</t>
        </is>
      </c>
      <c r="C569">
        <v>0.0</v>
      </c>
      <c r="E569" t="inlineStr">
        <is>
          <t>SR 1001</t>
        </is>
      </c>
      <c r="F569" t="inlineStr">
        <is>
          <t>SR 1656</t>
        </is>
      </c>
      <c r="G569" t="inlineStr">
        <is>
          <t>SR 1655</t>
        </is>
      </c>
      <c r="H569">
        <v>1.237</v>
      </c>
      <c r="J569">
        <v>105627177</v>
      </c>
      <c r="K569" t="inlineStr">
        <is>
          <t>10/5/2018</t>
        </is>
      </c>
      <c r="L569">
        <v>19</v>
      </c>
      <c r="M569">
        <v>1</v>
      </c>
      <c r="N569">
        <v>8</v>
      </c>
      <c r="O569">
        <v>1</v>
      </c>
      <c r="P569" t="inlineStr">
        <is>
          <t>O</t>
        </is>
      </c>
    </row>
    <row r="570">
      <c r="A570" t="inlineStr">
        <is>
          <t>0</t>
        </is>
      </c>
      <c r="B570" t="inlineStr">
        <is>
          <t>SR 1656</t>
        </is>
      </c>
      <c r="C570">
        <v>0.0</v>
      </c>
      <c r="E570" t="inlineStr">
        <is>
          <t>SR 1001</t>
        </is>
      </c>
      <c r="F570" t="inlineStr">
        <is>
          <t>SR 1655</t>
        </is>
      </c>
      <c r="G570" t="inlineStr">
        <is>
          <t>SR 1656</t>
        </is>
      </c>
      <c r="H570">
        <v>0.0</v>
      </c>
      <c r="J570">
        <v>107648441</v>
      </c>
      <c r="K570" t="inlineStr">
        <is>
          <t>3/8/2024</t>
        </is>
      </c>
      <c r="L570">
        <v>24</v>
      </c>
      <c r="M570">
        <v>1</v>
      </c>
      <c r="N570">
        <v>8</v>
      </c>
      <c r="O570">
        <v>1</v>
      </c>
      <c r="P570" t="inlineStr">
        <is>
          <t>C</t>
        </is>
      </c>
      <c r="Q570">
        <v>35.12324</v>
      </c>
      <c r="R570">
        <v>-80.4575</v>
      </c>
      <c r="S570" t="inlineStr">
        <is>
          <t>DMV349CLEANED</t>
        </is>
      </c>
    </row>
    <row r="571">
      <c r="A571" t="inlineStr">
        <is>
          <t>650</t>
        </is>
      </c>
      <c r="B571" t="inlineStr">
        <is>
          <t>SR 1664</t>
        </is>
      </c>
      <c r="C571">
        <v>0.0</v>
      </c>
      <c r="E571" t="inlineStr">
        <is>
          <t>SR 1001</t>
        </is>
      </c>
      <c r="F571" t="inlineStr">
        <is>
          <t>SR 1663</t>
        </is>
      </c>
      <c r="G571" t="inlineStr">
        <is>
          <t>SR 1664</t>
        </is>
      </c>
      <c r="H571">
        <v>0.0</v>
      </c>
      <c r="J571">
        <v>106462130</v>
      </c>
      <c r="K571" t="inlineStr">
        <is>
          <t>1/9/2021</t>
        </is>
      </c>
      <c r="L571">
        <v>24</v>
      </c>
      <c r="M571">
        <v>1</v>
      </c>
      <c r="N571">
        <v>8</v>
      </c>
      <c r="O571">
        <v>1</v>
      </c>
      <c r="P571" t="inlineStr">
        <is>
          <t>C</t>
        </is>
      </c>
    </row>
    <row r="572">
      <c r="A572" t="inlineStr">
        <is>
          <t>0</t>
        </is>
      </c>
      <c r="B572" t="inlineStr">
        <is>
          <t>SR 1665</t>
        </is>
      </c>
      <c r="C572">
        <v>0.008</v>
      </c>
      <c r="D572" t="inlineStr">
        <is>
          <t>W</t>
        </is>
      </c>
      <c r="E572" t="inlineStr">
        <is>
          <t>SR 1001</t>
        </is>
      </c>
      <c r="F572" t="inlineStr">
        <is>
          <t>SR 2709</t>
        </is>
      </c>
      <c r="G572" t="inlineStr">
        <is>
          <t>SR 1665</t>
        </is>
      </c>
      <c r="H572">
        <v>0.008</v>
      </c>
      <c r="J572">
        <v>107374234</v>
      </c>
      <c r="K572" t="inlineStr">
        <is>
          <t>6/21/2023</t>
        </is>
      </c>
      <c r="L572">
        <v>19</v>
      </c>
      <c r="M572">
        <v>2</v>
      </c>
      <c r="N572">
        <v>8</v>
      </c>
      <c r="O572">
        <v>1</v>
      </c>
      <c r="P572" t="inlineStr">
        <is>
          <t>C</t>
        </is>
      </c>
    </row>
    <row r="573">
      <c r="A573" t="inlineStr">
        <is>
          <t>650</t>
        </is>
      </c>
      <c r="B573" t="inlineStr">
        <is>
          <t>SR 1672</t>
        </is>
      </c>
      <c r="C573">
        <v>0.0</v>
      </c>
      <c r="E573" t="inlineStr">
        <is>
          <t>SR 1001</t>
        </is>
      </c>
      <c r="G573" t="inlineStr">
        <is>
          <t>SR 1672</t>
        </is>
      </c>
      <c r="H573">
        <v>999.999</v>
      </c>
      <c r="J573">
        <v>105067773</v>
      </c>
      <c r="K573" t="inlineStr">
        <is>
          <t>4/3/2017</t>
        </is>
      </c>
      <c r="L573">
        <v>19</v>
      </c>
      <c r="M573">
        <v>1</v>
      </c>
      <c r="N573">
        <v>8</v>
      </c>
      <c r="O573">
        <v>1</v>
      </c>
      <c r="P573" t="inlineStr">
        <is>
          <t>O</t>
        </is>
      </c>
    </row>
    <row r="574">
      <c r="A574" t="inlineStr">
        <is>
          <t>558</t>
        </is>
      </c>
      <c r="B574" t="inlineStr">
        <is>
          <t>SR 1681</t>
        </is>
      </c>
      <c r="C574">
        <v>0.0</v>
      </c>
      <c r="E574" t="inlineStr">
        <is>
          <t>SR 1619</t>
        </is>
      </c>
      <c r="F574" t="inlineStr">
        <is>
          <t>SR 1637</t>
        </is>
      </c>
      <c r="G574" t="inlineStr">
        <is>
          <t>SR 1681</t>
        </is>
      </c>
      <c r="H574">
        <v>0.863</v>
      </c>
      <c r="J574">
        <v>108181659</v>
      </c>
      <c r="K574" t="inlineStr">
        <is>
          <t>7/24/2025</t>
        </is>
      </c>
      <c r="L574">
        <v>23</v>
      </c>
      <c r="M574">
        <v>1</v>
      </c>
      <c r="N574">
        <v>8</v>
      </c>
      <c r="O574">
        <v>1</v>
      </c>
      <c r="P574" t="inlineStr">
        <is>
          <t>B</t>
        </is>
      </c>
      <c r="Q574">
        <v>35.076107</v>
      </c>
      <c r="R574">
        <v>-80.49293</v>
      </c>
      <c r="S574" t="inlineStr">
        <is>
          <t>DMV349CLEANED</t>
        </is>
      </c>
    </row>
    <row r="575">
      <c r="A575" t="inlineStr">
        <is>
          <t>0</t>
        </is>
      </c>
      <c r="B575" t="inlineStr">
        <is>
          <t>SR 1681</t>
        </is>
      </c>
      <c r="C575">
        <v>0.007</v>
      </c>
      <c r="D575" t="inlineStr">
        <is>
          <t>N</t>
        </is>
      </c>
      <c r="E575" t="inlineStr">
        <is>
          <t>SR 1617</t>
        </is>
      </c>
      <c r="F575" t="inlineStr">
        <is>
          <t>SR 1612</t>
        </is>
      </c>
      <c r="G575" t="inlineStr">
        <is>
          <t>SR 1681</t>
        </is>
      </c>
      <c r="H575">
        <v>999.999</v>
      </c>
      <c r="J575">
        <v>108526710</v>
      </c>
      <c r="K575" t="inlineStr">
        <is>
          <t>6/6/2026</t>
        </is>
      </c>
      <c r="L575">
        <v>21</v>
      </c>
      <c r="M575">
        <v>1</v>
      </c>
      <c r="N575">
        <v>12</v>
      </c>
      <c r="O575">
        <v>1</v>
      </c>
      <c r="P575" t="inlineStr">
        <is>
          <t>O</t>
        </is>
      </c>
      <c r="Q575">
        <v>35.076139</v>
      </c>
      <c r="R575">
        <v>-80.49294</v>
      </c>
      <c r="S575" t="inlineStr">
        <is>
          <t>DMV349</t>
        </is>
      </c>
    </row>
    <row r="576">
      <c r="A576" t="inlineStr">
        <is>
          <t>558</t>
        </is>
      </c>
      <c r="B576" t="inlineStr">
        <is>
          <t>SR 1688</t>
        </is>
      </c>
      <c r="C576">
        <v>0.0</v>
      </c>
      <c r="E576" t="inlineStr">
        <is>
          <t>SR 1001</t>
        </is>
      </c>
      <c r="F576" t="inlineStr">
        <is>
          <t>SR 1674</t>
        </is>
      </c>
      <c r="G576" t="inlineStr">
        <is>
          <t>SR 1688</t>
        </is>
      </c>
      <c r="H576">
        <v>999.999</v>
      </c>
      <c r="J576">
        <v>108248173</v>
      </c>
      <c r="K576" t="inlineStr">
        <is>
          <t>9/22/2025</t>
        </is>
      </c>
      <c r="L576">
        <v>24</v>
      </c>
      <c r="M576">
        <v>1</v>
      </c>
      <c r="N576">
        <v>8</v>
      </c>
      <c r="O576">
        <v>1</v>
      </c>
      <c r="P576" t="inlineStr">
        <is>
          <t>O</t>
        </is>
      </c>
      <c r="Q576">
        <v>35.09387</v>
      </c>
      <c r="R576">
        <v>-80.48769</v>
      </c>
      <c r="S576" t="inlineStr">
        <is>
          <t>DMV349CLEANED</t>
        </is>
      </c>
    </row>
    <row r="577">
      <c r="A577" t="inlineStr">
        <is>
          <t>0</t>
        </is>
      </c>
      <c r="B577" t="inlineStr">
        <is>
          <t>US 601</t>
        </is>
      </c>
      <c r="C577">
        <v>0.015</v>
      </c>
      <c r="D577" t="inlineStr">
        <is>
          <t>S</t>
        </is>
      </c>
      <c r="E577" t="inlineStr">
        <is>
          <t>SR 1001</t>
        </is>
      </c>
      <c r="F577" t="inlineStr">
        <is>
          <t>SR 1504</t>
        </is>
      </c>
      <c r="G577" t="inlineStr">
        <is>
          <t>US 601</t>
        </is>
      </c>
      <c r="H577">
        <v>17.992</v>
      </c>
      <c r="J577">
        <v>107931418</v>
      </c>
      <c r="K577" t="inlineStr">
        <is>
          <t>10/18/2024</t>
        </is>
      </c>
      <c r="L577">
        <v>14</v>
      </c>
      <c r="M577">
        <v>1</v>
      </c>
      <c r="N577">
        <v>0</v>
      </c>
      <c r="O577">
        <v>5</v>
      </c>
      <c r="P577" t="inlineStr">
        <is>
          <t>K</t>
        </is>
      </c>
      <c r="Q577">
        <v>35.032613</v>
      </c>
      <c r="R577">
        <v>-80.536895</v>
      </c>
      <c r="S577" t="inlineStr">
        <is>
          <t>VHB_PEDBIKE</t>
        </is>
      </c>
    </row>
    <row r="578">
      <c r="A578" t="inlineStr">
        <is>
          <t>558</t>
        </is>
      </c>
      <c r="B578" t="inlineStr">
        <is>
          <t>US 601</t>
        </is>
      </c>
      <c r="C578">
        <v>0.0</v>
      </c>
      <c r="E578" t="inlineStr">
        <is>
          <t>SIKES MILL</t>
        </is>
      </c>
      <c r="F578" t="inlineStr">
        <is>
          <t>RIDGE</t>
        </is>
      </c>
      <c r="G578" t="inlineStr">
        <is>
          <t>US 601</t>
        </is>
      </c>
      <c r="H578">
        <v>18.007</v>
      </c>
      <c r="J578">
        <v>106925270</v>
      </c>
      <c r="K578" t="inlineStr">
        <is>
          <t>4/18/2022</t>
        </is>
      </c>
      <c r="L578">
        <v>24</v>
      </c>
      <c r="M578">
        <v>1</v>
      </c>
      <c r="N578">
        <v>8</v>
      </c>
      <c r="O578">
        <v>1</v>
      </c>
      <c r="P578" t="inlineStr">
        <is>
          <t>O</t>
        </is>
      </c>
    </row>
    <row r="579">
      <c r="A579" t="inlineStr">
        <is>
          <t>0</t>
        </is>
      </c>
      <c r="B579" t="inlineStr">
        <is>
          <t>US 601</t>
        </is>
      </c>
      <c r="C579">
        <v>0.0</v>
      </c>
      <c r="E579" t="inlineStr">
        <is>
          <t>SIKES MILL</t>
        </is>
      </c>
      <c r="F579" t="inlineStr">
        <is>
          <t>MAPLE HILL</t>
        </is>
      </c>
      <c r="G579" t="inlineStr">
        <is>
          <t>US 601</t>
        </is>
      </c>
      <c r="H579">
        <v>18.007</v>
      </c>
      <c r="J579">
        <v>105212692</v>
      </c>
      <c r="K579" t="inlineStr">
        <is>
          <t>8/24/2017</t>
        </is>
      </c>
      <c r="L579">
        <v>23</v>
      </c>
      <c r="M579">
        <v>1</v>
      </c>
      <c r="N579">
        <v>7</v>
      </c>
      <c r="O579">
        <v>5</v>
      </c>
      <c r="P579" t="inlineStr">
        <is>
          <t>C</t>
        </is>
      </c>
    </row>
    <row r="580">
      <c r="A580" t="inlineStr">
        <is>
          <t>558</t>
        </is>
      </c>
      <c r="B580" t="inlineStr">
        <is>
          <t>US 601</t>
        </is>
      </c>
      <c r="C580">
        <v>0.0</v>
      </c>
      <c r="E580" t="inlineStr">
        <is>
          <t>SIKES MILL</t>
        </is>
      </c>
      <c r="F580" t="inlineStr">
        <is>
          <t>BAUCOM DEESE</t>
        </is>
      </c>
      <c r="G580" t="inlineStr">
        <is>
          <t>US 601</t>
        </is>
      </c>
      <c r="H580">
        <v>18.007</v>
      </c>
      <c r="J580">
        <v>107221390</v>
      </c>
      <c r="K580" t="inlineStr">
        <is>
          <t>1/20/2023</t>
        </is>
      </c>
      <c r="L580">
        <v>24</v>
      </c>
      <c r="M580">
        <v>1</v>
      </c>
      <c r="N580">
        <v>8</v>
      </c>
      <c r="O580">
        <v>1</v>
      </c>
      <c r="P580" t="inlineStr">
        <is>
          <t>O</t>
        </is>
      </c>
    </row>
    <row r="581">
      <c r="A581" t="inlineStr">
        <is>
          <t>558</t>
        </is>
      </c>
      <c r="B581" t="inlineStr">
        <is>
          <t>US 601</t>
        </is>
      </c>
      <c r="C581">
        <v>0.0</v>
      </c>
      <c r="E581" t="inlineStr">
        <is>
          <t>SR 1001</t>
        </is>
      </c>
      <c r="F581" t="inlineStr">
        <is>
          <t>DEAD END</t>
        </is>
      </c>
      <c r="G581" t="inlineStr">
        <is>
          <t>US 601</t>
        </is>
      </c>
      <c r="H581">
        <v>18.007</v>
      </c>
      <c r="J581">
        <v>108401808</v>
      </c>
      <c r="K581" t="inlineStr">
        <is>
          <t>2/13/2026</t>
        </is>
      </c>
      <c r="L581">
        <v>24</v>
      </c>
      <c r="M581">
        <v>1</v>
      </c>
      <c r="N581">
        <v>8</v>
      </c>
      <c r="O581">
        <v>5</v>
      </c>
      <c r="P581" t="inlineStr">
        <is>
          <t>O</t>
        </is>
      </c>
      <c r="Q581">
        <v>35.04264</v>
      </c>
      <c r="R581">
        <v>-80.53251</v>
      </c>
      <c r="S581" t="inlineStr">
        <is>
          <t>DMV349CLEANED</t>
        </is>
      </c>
    </row>
    <row r="582">
      <c r="A582" t="inlineStr">
        <is>
          <t>558</t>
        </is>
      </c>
      <c r="B582" t="inlineStr">
        <is>
          <t>US 601</t>
        </is>
      </c>
      <c r="C582">
        <v>0.0</v>
      </c>
      <c r="E582" t="inlineStr">
        <is>
          <t>SR 1001</t>
        </is>
      </c>
      <c r="F582" t="inlineStr">
        <is>
          <t>SR 1504</t>
        </is>
      </c>
      <c r="G582" t="inlineStr">
        <is>
          <t>US 601</t>
        </is>
      </c>
      <c r="H582">
        <v>18.007</v>
      </c>
      <c r="J582">
        <v>108338300</v>
      </c>
      <c r="K582" t="inlineStr">
        <is>
          <t>12/9/2025</t>
        </is>
      </c>
      <c r="L582">
        <v>24</v>
      </c>
      <c r="M582">
        <v>1</v>
      </c>
      <c r="N582">
        <v>8</v>
      </c>
      <c r="O582">
        <v>5</v>
      </c>
      <c r="P582" t="inlineStr">
        <is>
          <t>O</t>
        </is>
      </c>
      <c r="Q582">
        <v>35.040332</v>
      </c>
      <c r="R582">
        <v>-80.53181</v>
      </c>
      <c r="S582" t="inlineStr">
        <is>
          <t>DMV349CLEANED</t>
        </is>
      </c>
    </row>
    <row r="583">
      <c r="A583" t="inlineStr">
        <is>
          <t>0</t>
        </is>
      </c>
      <c r="B583" t="inlineStr">
        <is>
          <t>US 601</t>
        </is>
      </c>
      <c r="C583">
        <v>0.0</v>
      </c>
      <c r="E583" t="inlineStr">
        <is>
          <t>SR 1001</t>
        </is>
      </c>
      <c r="F583" t="inlineStr">
        <is>
          <t>SR 1504</t>
        </is>
      </c>
      <c r="G583" t="inlineStr">
        <is>
          <t>US 601</t>
        </is>
      </c>
      <c r="H583">
        <v>18.007</v>
      </c>
      <c r="J583">
        <v>107931666</v>
      </c>
      <c r="K583" t="inlineStr">
        <is>
          <t>11/15/2024</t>
        </is>
      </c>
      <c r="L583">
        <v>24</v>
      </c>
      <c r="M583">
        <v>1</v>
      </c>
      <c r="N583">
        <v>9</v>
      </c>
      <c r="O583">
        <v>5</v>
      </c>
      <c r="P583" t="inlineStr">
        <is>
          <t>C</t>
        </is>
      </c>
      <c r="Q583">
        <v>35.032614</v>
      </c>
      <c r="R583">
        <v>-80.53691</v>
      </c>
      <c r="S583" t="inlineStr">
        <is>
          <t>DMV349CLEANED</t>
        </is>
      </c>
    </row>
    <row r="584">
      <c r="A584" t="inlineStr">
        <is>
          <t>558</t>
        </is>
      </c>
      <c r="B584" t="inlineStr">
        <is>
          <t>US 601</t>
        </is>
      </c>
      <c r="C584">
        <v>0.0</v>
      </c>
      <c r="E584" t="inlineStr">
        <is>
          <t>SR 1001</t>
        </is>
      </c>
      <c r="F584" t="inlineStr">
        <is>
          <t>SR 1505</t>
        </is>
      </c>
      <c r="G584" t="inlineStr">
        <is>
          <t>US 601</t>
        </is>
      </c>
      <c r="H584">
        <v>18.007</v>
      </c>
      <c r="J584">
        <v>104721418</v>
      </c>
      <c r="K584" t="inlineStr">
        <is>
          <t>4/25/2016</t>
        </is>
      </c>
      <c r="L584">
        <v>24</v>
      </c>
      <c r="M584">
        <v>1</v>
      </c>
      <c r="N584">
        <v>8</v>
      </c>
      <c r="O584">
        <v>1</v>
      </c>
      <c r="P584" t="inlineStr">
        <is>
          <t>O</t>
        </is>
      </c>
    </row>
    <row r="585">
      <c r="A585" t="inlineStr">
        <is>
          <t>558</t>
        </is>
      </c>
      <c r="B585" t="inlineStr">
        <is>
          <t>US 601</t>
        </is>
      </c>
      <c r="C585">
        <v>0.0</v>
      </c>
      <c r="E585" t="inlineStr">
        <is>
          <t>SR 1001</t>
        </is>
      </c>
      <c r="F585" t="inlineStr">
        <is>
          <t>SR 1504</t>
        </is>
      </c>
      <c r="G585" t="inlineStr">
        <is>
          <t>US 601</t>
        </is>
      </c>
      <c r="H585">
        <v>18.007</v>
      </c>
      <c r="J585">
        <v>105644357</v>
      </c>
      <c r="K585" t="inlineStr">
        <is>
          <t>10/16/2018</t>
        </is>
      </c>
      <c r="L585">
        <v>24</v>
      </c>
      <c r="M585">
        <v>1</v>
      </c>
      <c r="N585">
        <v>8</v>
      </c>
      <c r="O585">
        <v>1</v>
      </c>
      <c r="P585" t="inlineStr">
        <is>
          <t>C</t>
        </is>
      </c>
    </row>
    <row r="586">
      <c r="A586" t="inlineStr">
        <is>
          <t>558</t>
        </is>
      </c>
      <c r="B586" t="inlineStr">
        <is>
          <t>US 601</t>
        </is>
      </c>
      <c r="C586">
        <v>0.002</v>
      </c>
      <c r="D586" t="inlineStr">
        <is>
          <t>N</t>
        </is>
      </c>
      <c r="E586" t="inlineStr">
        <is>
          <t>SR 1001</t>
        </is>
      </c>
      <c r="F586" t="inlineStr">
        <is>
          <t>SR 1505</t>
        </is>
      </c>
      <c r="G586" t="inlineStr">
        <is>
          <t>US 601</t>
        </is>
      </c>
      <c r="H586">
        <v>18.009</v>
      </c>
      <c r="J586">
        <v>107708011</v>
      </c>
      <c r="K586" t="inlineStr">
        <is>
          <t>5/4/2024</t>
        </is>
      </c>
      <c r="L586">
        <v>21</v>
      </c>
      <c r="M586">
        <v>2</v>
      </c>
      <c r="N586">
        <v>0</v>
      </c>
      <c r="O586">
        <v>1</v>
      </c>
      <c r="P586" t="inlineStr">
        <is>
          <t>O</t>
        </is>
      </c>
      <c r="Q586">
        <v>35.040357</v>
      </c>
      <c r="R586">
        <v>-80.53178</v>
      </c>
      <c r="S586" t="inlineStr">
        <is>
          <t>DMV349CLEANED</t>
        </is>
      </c>
    </row>
    <row r="587">
      <c r="A587" t="inlineStr">
        <is>
          <t>0</t>
        </is>
      </c>
      <c r="B587" t="inlineStr">
        <is>
          <t>US 601</t>
        </is>
      </c>
      <c r="C587">
        <v>0.009</v>
      </c>
      <c r="D587" t="inlineStr">
        <is>
          <t>N</t>
        </is>
      </c>
      <c r="E587" t="inlineStr">
        <is>
          <t>SR 1001</t>
        </is>
      </c>
      <c r="F587" t="inlineStr">
        <is>
          <t>SR 1505</t>
        </is>
      </c>
      <c r="G587" t="inlineStr">
        <is>
          <t>US 601</t>
        </is>
      </c>
      <c r="H587">
        <v>18.016</v>
      </c>
      <c r="J587">
        <v>107232412</v>
      </c>
      <c r="K587" t="inlineStr">
        <is>
          <t>2/2/2023</t>
        </is>
      </c>
      <c r="L587">
        <v>21</v>
      </c>
      <c r="M587">
        <v>2</v>
      </c>
      <c r="N587">
        <v>0</v>
      </c>
      <c r="O587">
        <v>1</v>
      </c>
      <c r="P587" t="inlineStr">
        <is>
          <t>O</t>
        </is>
      </c>
    </row>
    <row r="588">
      <c r="A588" t="inlineStr">
        <is>
          <t>271</t>
        </is>
      </c>
      <c r="B588" t="inlineStr">
        <is>
          <t>US 74</t>
        </is>
      </c>
      <c r="C588">
        <v>0.019</v>
      </c>
      <c r="D588" t="inlineStr">
        <is>
          <t>E</t>
        </is>
      </c>
      <c r="E588" t="inlineStr">
        <is>
          <t>SR 1001</t>
        </is>
      </c>
      <c r="F588" t="inlineStr">
        <is>
          <t>TECHNOLOGY</t>
        </is>
      </c>
      <c r="G588" t="inlineStr">
        <is>
          <t>US 74</t>
        </is>
      </c>
      <c r="H588">
        <v>999.999</v>
      </c>
      <c r="J588">
        <v>105387411</v>
      </c>
      <c r="K588" t="inlineStr">
        <is>
          <t>2/15/2018</t>
        </is>
      </c>
      <c r="L588">
        <v>28</v>
      </c>
      <c r="M588">
        <v>1</v>
      </c>
      <c r="N588">
        <v>0</v>
      </c>
      <c r="O588">
        <v>5</v>
      </c>
      <c r="P588" t="inlineStr">
        <is>
          <t>O</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A76AE-0675-4708-A4B8-3B450A88943B}">
  <sheetViews>
    <sheetView workbookViewId="0"/>
  </sheetViews>
  <sheetFormatPr defaultRowHeight="14.4" x14ac:dyDescent="0.3"/>
  <sheetData>
    <row r="1">
      <c r="A1" t="inlineStr">
        <is>
          <t xml:space="preserve">Muni.
Code</t>
        </is>
      </c>
      <c r="B1" t="inlineStr">
        <is>
          <t>On Road</t>
        </is>
      </c>
      <c r="C1" t="inlineStr">
        <is>
          <t>Miles</t>
        </is>
      </c>
      <c r="D1" t="inlineStr">
        <is>
          <t>Dir From</t>
        </is>
      </c>
      <c r="E1" t="inlineStr">
        <is>
          <t>From Road</t>
        </is>
      </c>
      <c r="F1" t="inlineStr">
        <is>
          <t>Toward Road</t>
        </is>
      </c>
      <c r="G1" t="inlineStr">
        <is>
          <t>Milepost Road</t>
        </is>
      </c>
      <c r="H1" t="inlineStr">
        <is>
          <t>MP</t>
        </is>
      </c>
      <c r="I1" t="inlineStr">
        <is>
          <t>IS</t>
        </is>
      </c>
      <c r="J1" t="inlineStr">
        <is>
          <t>New MP</t>
        </is>
      </c>
      <c r="K1" t="inlineStr">
        <is>
          <t>MA</t>
        </is>
      </c>
      <c r="L1" t="inlineStr">
        <is>
          <t>Crash ID</t>
        </is>
      </c>
      <c r="M1" t="inlineStr">
        <is>
          <t>Date</t>
        </is>
      </c>
      <c r="N1" t="inlineStr">
        <is>
          <t>T</t>
        </is>
      </c>
      <c r="O1" t="inlineStr">
        <is>
          <t>C</t>
        </is>
      </c>
      <c r="P1" t="inlineStr">
        <is>
          <t>F</t>
        </is>
      </c>
      <c r="Q1" t="inlineStr">
        <is>
          <t>L</t>
        </is>
      </c>
      <c r="R1" t="inlineStr">
        <is>
          <t>S</t>
        </is>
      </c>
      <c r="S1" t="inlineStr">
        <is>
          <t>Comments</t>
        </is>
      </c>
    </row>
    <row r="2">
      <c r="A2" t="inlineStr">
        <is>
          <t>IN STUDY</t>
        </is>
      </c>
    </row>
    <row r="3">
      <c r="A3" t="inlineStr">
        <is>
          <t>558</t>
        </is>
      </c>
      <c r="B3" t="inlineStr">
        <is>
          <t>SR 1001</t>
        </is>
      </c>
      <c r="C3">
        <v>0.019</v>
      </c>
      <c r="D3" t="inlineStr">
        <is>
          <t>S</t>
        </is>
      </c>
      <c r="E3" t="inlineStr">
        <is>
          <t>SR 1617</t>
        </is>
      </c>
      <c r="G3" t="inlineStr">
        <is>
          <t>SR 1001</t>
        </is>
      </c>
      <c r="H3">
        <v>3.442</v>
      </c>
      <c r="I3" t="inlineStr">
        <is>
          <t>IS</t>
        </is>
      </c>
      <c r="L3">
        <v>105520583</v>
      </c>
      <c r="M3" t="inlineStr">
        <is>
          <t>6/20/2018</t>
        </is>
      </c>
      <c r="N3">
        <v>19</v>
      </c>
      <c r="O3">
        <v>2</v>
      </c>
      <c r="P3">
        <v>0</v>
      </c>
      <c r="Q3">
        <v>1</v>
      </c>
      <c r="R3" t="inlineStr">
        <is>
          <t>O</t>
        </is>
      </c>
      <c r="S3" t="inlineStr">
        <is>
          <t>SR 1001 MP 3.442, 100 ft south; NB ran off right into the ditch, charged safe speed; not intersection related</t>
        </is>
      </c>
    </row>
    <row r="4">
      <c r="A4" t="inlineStr">
        <is>
          <t>558</t>
        </is>
      </c>
      <c r="B4" t="inlineStr">
        <is>
          <t>SR 1001</t>
        </is>
      </c>
      <c r="C4">
        <v>0.014</v>
      </c>
      <c r="D4" t="inlineStr">
        <is>
          <t>S</t>
        </is>
      </c>
      <c r="E4" t="inlineStr">
        <is>
          <t>TOM BOYD</t>
        </is>
      </c>
      <c r="F4" t="inlineStr">
        <is>
          <t>SR 1606</t>
        </is>
      </c>
      <c r="G4" t="inlineStr">
        <is>
          <t>SR 1001</t>
        </is>
      </c>
      <c r="H4">
        <v>3.447</v>
      </c>
      <c r="I4" t="inlineStr">
        <is>
          <t>IS</t>
        </is>
      </c>
      <c r="L4">
        <v>105553349</v>
      </c>
      <c r="M4" t="inlineStr">
        <is>
          <t>7/23/2018</t>
        </is>
      </c>
      <c r="N4">
        <v>18</v>
      </c>
      <c r="O4">
        <v>2</v>
      </c>
      <c r="P4">
        <v>0</v>
      </c>
      <c r="Q4">
        <v>1</v>
      </c>
      <c r="R4" t="inlineStr">
        <is>
          <t>O</t>
        </is>
      </c>
      <c r="S4" t="inlineStr">
        <is>
          <t>SR 1001 MP 3.447, 74 ft south; NB at 65 crossed the centerline into the ditch; not intersection related</t>
        </is>
      </c>
    </row>
    <row r="5">
      <c r="A5" t="inlineStr">
        <is>
          <t>558</t>
        </is>
      </c>
      <c r="B5" t="inlineStr">
        <is>
          <t>SIKES MILL</t>
        </is>
      </c>
      <c r="C5">
        <v>0.0</v>
      </c>
      <c r="E5" t="inlineStr">
        <is>
          <t>TOM BOYD</t>
        </is>
      </c>
      <c r="F5" t="inlineStr">
        <is>
          <t>UNIONVILLE</t>
        </is>
      </c>
      <c r="G5" t="inlineStr">
        <is>
          <t>SR 1001</t>
        </is>
      </c>
      <c r="H5">
        <v>3.461</v>
      </c>
      <c r="I5" t="inlineStr">
        <is>
          <t>IS</t>
        </is>
      </c>
      <c r="L5">
        <v>107601791</v>
      </c>
      <c r="M5" t="inlineStr">
        <is>
          <t>1/23/2024</t>
        </is>
      </c>
      <c r="N5">
        <v>30</v>
      </c>
      <c r="O5">
        <v>2</v>
      </c>
      <c r="P5">
        <v>7</v>
      </c>
      <c r="Q5">
        <v>1</v>
      </c>
      <c r="R5" t="inlineStr">
        <is>
          <t>O</t>
        </is>
      </c>
      <c r="S5" t="inlineStr">
        <is>
          <t>coded at the junction, 0.000 from the study pair; EB Tom Boyd failed to yield from the stop; both at 10 mph</t>
        </is>
      </c>
    </row>
    <row r="6">
      <c r="A6" t="inlineStr">
        <is>
          <t>558</t>
        </is>
      </c>
      <c r="B6" t="inlineStr">
        <is>
          <t>SIKES MILL</t>
        </is>
      </c>
      <c r="C6">
        <v>0.0</v>
      </c>
      <c r="E6" t="inlineStr">
        <is>
          <t>TOM BOYD</t>
        </is>
      </c>
      <c r="F6" t="inlineStr">
        <is>
          <t>UNIONVILLE</t>
        </is>
      </c>
      <c r="G6" t="inlineStr">
        <is>
          <t>SR 1001</t>
        </is>
      </c>
      <c r="H6">
        <v>3.461</v>
      </c>
      <c r="I6" t="inlineStr">
        <is>
          <t>IS</t>
        </is>
      </c>
      <c r="L6">
        <v>106772984</v>
      </c>
      <c r="M6" t="inlineStr">
        <is>
          <t>11/19/2021</t>
        </is>
      </c>
      <c r="N6">
        <v>30</v>
      </c>
      <c r="O6">
        <v>1</v>
      </c>
      <c r="P6">
        <v>7</v>
      </c>
      <c r="Q6">
        <v>1</v>
      </c>
      <c r="R6" t="inlineStr">
        <is>
          <t>O</t>
        </is>
      </c>
      <c r="S6" t="inlineStr">
        <is>
          <t>coded at the junction, 0.000 from the study pair; both at 10 to 15 mph; officer could not determine which failed to yield</t>
        </is>
      </c>
    </row>
    <row r="7">
      <c r="A7" t="inlineStr">
        <is>
          <t>558</t>
        </is>
      </c>
      <c r="B7" t="inlineStr">
        <is>
          <t>SIKES MILL</t>
        </is>
      </c>
      <c r="C7">
        <v>0.0</v>
      </c>
      <c r="E7" t="inlineStr">
        <is>
          <t>TOM BOYD</t>
        </is>
      </c>
      <c r="F7" t="inlineStr">
        <is>
          <t>LOVE MILL</t>
        </is>
      </c>
      <c r="G7" t="inlineStr">
        <is>
          <t>SR 1001</t>
        </is>
      </c>
      <c r="H7">
        <v>3.461</v>
      </c>
      <c r="I7" t="inlineStr">
        <is>
          <t>IS</t>
        </is>
      </c>
      <c r="L7">
        <v>107870118</v>
      </c>
      <c r="M7" t="inlineStr">
        <is>
          <t>10/3/2024</t>
        </is>
      </c>
      <c r="N7">
        <v>30</v>
      </c>
      <c r="O7">
        <v>1</v>
      </c>
      <c r="P7">
        <v>7</v>
      </c>
      <c r="Q7">
        <v>1</v>
      </c>
      <c r="R7" t="inlineStr">
        <is>
          <t>O</t>
        </is>
      </c>
      <c r="S7" t="inlineStr">
        <is>
          <t>coded at the junction, 0.000 from the study pair; NB SR 1001 failed to stop at the new all way stop at 25</t>
        </is>
      </c>
    </row>
    <row r="8">
      <c r="A8" t="inlineStr">
        <is>
          <t>558</t>
        </is>
      </c>
      <c r="B8" t="inlineStr">
        <is>
          <t>SIKES MILL</t>
        </is>
      </c>
      <c r="C8">
        <v>0.0</v>
      </c>
      <c r="E8" t="inlineStr">
        <is>
          <t>TOM BOYD</t>
        </is>
      </c>
      <c r="F8" t="inlineStr">
        <is>
          <t>LAWYERS</t>
        </is>
      </c>
      <c r="G8" t="inlineStr">
        <is>
          <t>SR 1001</t>
        </is>
      </c>
      <c r="H8">
        <v>3.461</v>
      </c>
      <c r="I8" t="inlineStr">
        <is>
          <t>IS</t>
        </is>
      </c>
      <c r="L8">
        <v>106133705</v>
      </c>
      <c r="M8" t="inlineStr">
        <is>
          <t>1/23/2020</t>
        </is>
      </c>
      <c r="N8">
        <v>30</v>
      </c>
      <c r="O8">
        <v>1</v>
      </c>
      <c r="P8">
        <v>7</v>
      </c>
      <c r="Q8">
        <v>1</v>
      </c>
      <c r="R8" t="inlineStr">
        <is>
          <t>O</t>
        </is>
      </c>
      <c r="S8" t="inlineStr">
        <is>
          <t>coded at the junction, 0.000 from the study pair; EB west leg failed to yield at 15 against the NB through</t>
        </is>
      </c>
    </row>
    <row r="9">
      <c r="A9" t="inlineStr">
        <is>
          <t>558</t>
        </is>
      </c>
      <c r="B9" t="inlineStr">
        <is>
          <t>SR 1001</t>
        </is>
      </c>
      <c r="C9">
        <v>0.0</v>
      </c>
      <c r="E9" t="inlineStr">
        <is>
          <t>SR 1617</t>
        </is>
      </c>
      <c r="F9" t="inlineStr">
        <is>
          <t>SR 1618</t>
        </is>
      </c>
      <c r="G9" t="inlineStr">
        <is>
          <t>SR 1001</t>
        </is>
      </c>
      <c r="H9">
        <v>3.461</v>
      </c>
      <c r="I9" t="inlineStr">
        <is>
          <t>IS</t>
        </is>
      </c>
      <c r="L9">
        <v>108250468</v>
      </c>
      <c r="M9" t="inlineStr">
        <is>
          <t>10/1/2025</t>
        </is>
      </c>
      <c r="N9">
        <v>30</v>
      </c>
      <c r="O9">
        <v>1</v>
      </c>
      <c r="P9">
        <v>7</v>
      </c>
      <c r="Q9">
        <v>5</v>
      </c>
      <c r="R9" t="inlineStr">
        <is>
          <t>O</t>
        </is>
      </c>
      <c r="S9" t="inlineStr">
        <is>
          <t>at the junction; DMV349 coords 0 ft; both departed their stops at 5 mph; no fault determined</t>
        </is>
      </c>
    </row>
    <row r="10">
      <c r="A10" t="inlineStr">
        <is>
          <t>558</t>
        </is>
      </c>
      <c r="B10" t="inlineStr">
        <is>
          <t>SR 1001</t>
        </is>
      </c>
      <c r="C10">
        <v>0.0</v>
      </c>
      <c r="E10" t="inlineStr">
        <is>
          <t>SR 1617</t>
        </is>
      </c>
      <c r="F10" t="inlineStr">
        <is>
          <t>SR 1606</t>
        </is>
      </c>
      <c r="G10" t="inlineStr">
        <is>
          <t>SR 1001</t>
        </is>
      </c>
      <c r="H10">
        <v>3.461</v>
      </c>
      <c r="I10" t="inlineStr">
        <is>
          <t>IS</t>
        </is>
      </c>
      <c r="L10">
        <v>108279485</v>
      </c>
      <c r="M10" t="inlineStr">
        <is>
          <t>10/23/2025</t>
        </is>
      </c>
      <c r="N10">
        <v>30</v>
      </c>
      <c r="O10">
        <v>1</v>
      </c>
      <c r="P10">
        <v>7</v>
      </c>
      <c r="Q10">
        <v>1</v>
      </c>
      <c r="R10" t="inlineStr">
        <is>
          <t>C</t>
        </is>
      </c>
      <c r="S10" t="inlineStr">
        <is>
          <t>at the junction; DMV349 coords 12 ft; WB SR 1001 failed to stop at the four way at 45, charged failed to stop; the after period target C injury</t>
        </is>
      </c>
    </row>
    <row r="11">
      <c r="A11" t="inlineStr">
        <is>
          <t>558</t>
        </is>
      </c>
      <c r="B11" t="inlineStr">
        <is>
          <t>SR 1001</t>
        </is>
      </c>
      <c r="C11">
        <v>0.0</v>
      </c>
      <c r="E11" t="inlineStr">
        <is>
          <t>SR 1617</t>
        </is>
      </c>
      <c r="F11" t="inlineStr">
        <is>
          <t>SR 1681</t>
        </is>
      </c>
      <c r="G11" t="inlineStr">
        <is>
          <t>SR 1001</t>
        </is>
      </c>
      <c r="H11">
        <v>3.461</v>
      </c>
      <c r="I11" t="inlineStr">
        <is>
          <t>IS</t>
        </is>
      </c>
      <c r="L11">
        <v>107902086</v>
      </c>
      <c r="M11" t="inlineStr">
        <is>
          <t>10/28/2024</t>
        </is>
      </c>
      <c r="N11">
        <v>30</v>
      </c>
      <c r="O11">
        <v>1</v>
      </c>
      <c r="P11">
        <v>7</v>
      </c>
      <c r="Q11">
        <v>1</v>
      </c>
      <c r="R11" t="inlineStr">
        <is>
          <t>O</t>
        </is>
      </c>
      <c r="S11" t="inlineStr">
        <is>
          <t>at the junction; DMV349 coords 10 ft; NB SR 1001 failed to yield from the stop sign; both from stops at 5 mph</t>
        </is>
      </c>
    </row>
    <row r="12">
      <c r="A12" t="inlineStr">
        <is>
          <t>0</t>
        </is>
      </c>
      <c r="B12" t="inlineStr">
        <is>
          <t>SR 1001</t>
        </is>
      </c>
      <c r="C12">
        <v>0.0</v>
      </c>
      <c r="E12" t="inlineStr">
        <is>
          <t>SR 1617</t>
        </is>
      </c>
      <c r="G12" t="inlineStr">
        <is>
          <t>SR 1001</t>
        </is>
      </c>
      <c r="H12">
        <v>3.461</v>
      </c>
      <c r="I12" t="inlineStr">
        <is>
          <t>IS</t>
        </is>
      </c>
      <c r="L12">
        <v>106743409</v>
      </c>
      <c r="M12" t="inlineStr">
        <is>
          <t>10/25/2021</t>
        </is>
      </c>
      <c r="N12">
        <v>30</v>
      </c>
      <c r="O12">
        <v>1</v>
      </c>
      <c r="P12">
        <v>7</v>
      </c>
      <c r="Q12">
        <v>5</v>
      </c>
      <c r="R12" t="inlineStr">
        <is>
          <t>O</t>
        </is>
      </c>
      <c r="S12" t="inlineStr">
        <is>
          <t>coded at the junction, 0.000 from the study pair; NB SR 1001 pulled from the new stop into a crossing vehicle nearly clear; failed to yield, charged; 5 to 10 mph</t>
        </is>
      </c>
    </row>
    <row r="13">
      <c r="A13" t="inlineStr">
        <is>
          <t>558</t>
        </is>
      </c>
      <c r="B13" t="inlineStr">
        <is>
          <t>SR 1001</t>
        </is>
      </c>
      <c r="C13">
        <v>0.0</v>
      </c>
      <c r="E13" t="inlineStr">
        <is>
          <t>SR 1617</t>
        </is>
      </c>
      <c r="F13" t="inlineStr">
        <is>
          <t>SR 1615</t>
        </is>
      </c>
      <c r="G13" t="inlineStr">
        <is>
          <t>SR 1001</t>
        </is>
      </c>
      <c r="H13">
        <v>3.461</v>
      </c>
      <c r="I13" t="inlineStr">
        <is>
          <t>IS</t>
        </is>
      </c>
      <c r="L13">
        <v>106286453</v>
      </c>
      <c r="M13" t="inlineStr">
        <is>
          <t>7/25/2020</t>
        </is>
      </c>
      <c r="N13">
        <v>30</v>
      </c>
      <c r="O13">
        <v>1</v>
      </c>
      <c r="P13">
        <v>7</v>
      </c>
      <c r="Q13">
        <v>1</v>
      </c>
      <c r="R13" t="inlineStr">
        <is>
          <t>C</t>
        </is>
      </c>
      <c r="S13" t="inlineStr">
        <is>
          <t>coded at the junction, 0.000 from the study pair; EB west leg crossed at 10 against the NB through; charged failure to yield</t>
        </is>
      </c>
    </row>
    <row r="14">
      <c r="A14" t="inlineStr">
        <is>
          <t>0</t>
        </is>
      </c>
      <c r="B14" t="inlineStr">
        <is>
          <t>SR 1001</t>
        </is>
      </c>
      <c r="C14">
        <v>0.0</v>
      </c>
      <c r="E14" t="inlineStr">
        <is>
          <t>SR 1617</t>
        </is>
      </c>
      <c r="F14" t="inlineStr">
        <is>
          <t>SR 1615</t>
        </is>
      </c>
      <c r="G14" t="inlineStr">
        <is>
          <t>SR 1001</t>
        </is>
      </c>
      <c r="H14">
        <v>3.461</v>
      </c>
      <c r="I14" t="inlineStr">
        <is>
          <t>IS</t>
        </is>
      </c>
      <c r="L14">
        <v>105535858</v>
      </c>
      <c r="M14" t="inlineStr">
        <is>
          <t>7/9/2018</t>
        </is>
      </c>
      <c r="N14">
        <v>30</v>
      </c>
      <c r="O14">
        <v>1</v>
      </c>
      <c r="P14">
        <v>7</v>
      </c>
      <c r="Q14">
        <v>1</v>
      </c>
      <c r="R14" t="inlineStr">
        <is>
          <t>B</t>
        </is>
      </c>
      <c r="S14" t="inlineStr">
        <is>
          <t>coded at the junction, 0.000 from the study pair; SE west leg ran the stop sign at 50, struck broadside; ran on to sideswipe the house at 2220 Sikes Mill Rd; charged stop sign violation</t>
        </is>
      </c>
    </row>
    <row r="15">
      <c r="A15" t="inlineStr">
        <is>
          <t>558</t>
        </is>
      </c>
      <c r="B15" t="inlineStr">
        <is>
          <t>SR 1001</t>
        </is>
      </c>
      <c r="C15">
        <v>0.0</v>
      </c>
      <c r="E15" t="inlineStr">
        <is>
          <t>SR 1617</t>
        </is>
      </c>
      <c r="F15" t="inlineStr">
        <is>
          <t>SR 1681</t>
        </is>
      </c>
      <c r="G15" t="inlineStr">
        <is>
          <t>SR 1001</t>
        </is>
      </c>
      <c r="H15">
        <v>3.461</v>
      </c>
      <c r="I15" t="inlineStr">
        <is>
          <t>IS</t>
        </is>
      </c>
      <c r="L15">
        <v>105326435</v>
      </c>
      <c r="M15" t="inlineStr">
        <is>
          <t>12/16/2017</t>
        </is>
      </c>
      <c r="N15">
        <v>30</v>
      </c>
      <c r="O15">
        <v>1</v>
      </c>
      <c r="P15">
        <v>7</v>
      </c>
      <c r="Q15">
        <v>1</v>
      </c>
      <c r="R15" t="inlineStr">
        <is>
          <t>A</t>
        </is>
      </c>
      <c r="S15" t="inlineStr">
        <is>
          <t>coded at the junction, 0.000 from the study pair; EB west leg ran the stop sign, struck a SB truck trailer's saddle fuel tank; the A injury; charged stop sign violation</t>
        </is>
      </c>
    </row>
    <row r="16">
      <c r="A16" t="inlineStr">
        <is>
          <t>558</t>
        </is>
      </c>
      <c r="B16" t="inlineStr">
        <is>
          <t>SR 1001</t>
        </is>
      </c>
      <c r="C16">
        <v>0.0</v>
      </c>
      <c r="E16" t="inlineStr">
        <is>
          <t>SR 1617</t>
        </is>
      </c>
      <c r="F16" t="inlineStr">
        <is>
          <t>SR 1615</t>
        </is>
      </c>
      <c r="G16" t="inlineStr">
        <is>
          <t>SR 1001</t>
        </is>
      </c>
      <c r="H16">
        <v>3.461</v>
      </c>
      <c r="I16" t="inlineStr">
        <is>
          <t>IS</t>
        </is>
      </c>
      <c r="L16">
        <v>105210461</v>
      </c>
      <c r="M16" t="inlineStr">
        <is>
          <t>8/30/2017</t>
        </is>
      </c>
      <c r="N16">
        <v>30</v>
      </c>
      <c r="O16">
        <v>1</v>
      </c>
      <c r="P16">
        <v>7</v>
      </c>
      <c r="Q16">
        <v>1</v>
      </c>
      <c r="R16" t="inlineStr">
        <is>
          <t>C</t>
        </is>
      </c>
      <c r="S16" t="inlineStr">
        <is>
          <t>coded at the junction, 0.000 from the study pair; EB west leg stopped, then entered against the NB through; failed to yield, charged</t>
        </is>
      </c>
    </row>
    <row r="17">
      <c r="A17" t="inlineStr">
        <is>
          <t>558</t>
        </is>
      </c>
      <c r="B17" t="inlineStr">
        <is>
          <t>SR 1001</t>
        </is>
      </c>
      <c r="C17">
        <v>0.0</v>
      </c>
      <c r="E17" t="inlineStr">
        <is>
          <t>SR 1617</t>
        </is>
      </c>
      <c r="F17" t="inlineStr">
        <is>
          <t>SR 1615</t>
        </is>
      </c>
      <c r="G17" t="inlineStr">
        <is>
          <t>SR 1001</t>
        </is>
      </c>
      <c r="H17">
        <v>3.461</v>
      </c>
      <c r="I17" t="inlineStr">
        <is>
          <t>IS</t>
        </is>
      </c>
      <c r="L17">
        <v>104890928</v>
      </c>
      <c r="M17" t="inlineStr">
        <is>
          <t>10/10/2016</t>
        </is>
      </c>
      <c r="N17">
        <v>30</v>
      </c>
      <c r="O17">
        <v>1</v>
      </c>
      <c r="P17">
        <v>7</v>
      </c>
      <c r="Q17">
        <v>1</v>
      </c>
      <c r="R17" t="inlineStr">
        <is>
          <t>C</t>
        </is>
      </c>
      <c r="S17" t="inlineStr">
        <is>
          <t>coded at the junction, 0.000 from the study pair; WB east leg stopped at the sign, pulled into the SB through; failed to yield, charged</t>
        </is>
      </c>
    </row>
    <row r="18">
      <c r="A18" t="inlineStr">
        <is>
          <t>558</t>
        </is>
      </c>
      <c r="B18" t="inlineStr">
        <is>
          <t>SR 1001</t>
        </is>
      </c>
      <c r="C18">
        <v>0.0</v>
      </c>
      <c r="E18" t="inlineStr">
        <is>
          <t>SR 1617</t>
        </is>
      </c>
      <c r="F18" t="inlineStr">
        <is>
          <t>SR 1618</t>
        </is>
      </c>
      <c r="G18" t="inlineStr">
        <is>
          <t>SR 1001</t>
        </is>
      </c>
      <c r="H18">
        <v>3.461</v>
      </c>
      <c r="I18" t="inlineStr">
        <is>
          <t>IS</t>
        </is>
      </c>
      <c r="L18">
        <v>104901954</v>
      </c>
      <c r="M18" t="inlineStr">
        <is>
          <t>11/2/2016</t>
        </is>
      </c>
      <c r="N18">
        <v>30</v>
      </c>
      <c r="O18">
        <v>1</v>
      </c>
      <c r="P18">
        <v>7</v>
      </c>
      <c r="Q18">
        <v>1</v>
      </c>
      <c r="R18" t="inlineStr">
        <is>
          <t>O</t>
        </is>
      </c>
      <c r="S18" t="inlineStr">
        <is>
          <t>coded at the junction, 0.000 from the study pair; WB east leg pulled from the stop into the SB through, then struck the opposite waiting vehicle; failed to yield, charged unsafe movement</t>
        </is>
      </c>
    </row>
    <row r="19">
      <c r="A19" t="inlineStr">
        <is>
          <t>558</t>
        </is>
      </c>
      <c r="B19" t="inlineStr">
        <is>
          <t>SR 1001</t>
        </is>
      </c>
      <c r="C19">
        <v>0.0</v>
      </c>
      <c r="E19" t="inlineStr">
        <is>
          <t>SR 1617</t>
        </is>
      </c>
      <c r="F19" t="inlineStr">
        <is>
          <t>SR 1615</t>
        </is>
      </c>
      <c r="G19" t="inlineStr">
        <is>
          <t>SR 1001</t>
        </is>
      </c>
      <c r="H19">
        <v>3.461</v>
      </c>
      <c r="I19" t="inlineStr">
        <is>
          <t>IS</t>
        </is>
      </c>
      <c r="L19">
        <v>104987740</v>
      </c>
      <c r="M19" t="inlineStr">
        <is>
          <t>1/25/2017</t>
        </is>
      </c>
      <c r="N19">
        <v>30</v>
      </c>
      <c r="O19">
        <v>1</v>
      </c>
      <c r="P19">
        <v>7</v>
      </c>
      <c r="Q19">
        <v>1</v>
      </c>
      <c r="R19" t="inlineStr">
        <is>
          <t>B</t>
        </is>
      </c>
      <c r="S19" t="inlineStr">
        <is>
          <t>coded at the junction, 0.000 from the study pair; WB east leg ran the stop sign at 45; charged stop sign violation</t>
        </is>
      </c>
    </row>
    <row r="20">
      <c r="A20" t="inlineStr">
        <is>
          <t>0</t>
        </is>
      </c>
      <c r="B20" t="inlineStr">
        <is>
          <t>SR 1001</t>
        </is>
      </c>
      <c r="C20">
        <v>0.0</v>
      </c>
      <c r="E20" t="inlineStr">
        <is>
          <t>SR 1617</t>
        </is>
      </c>
      <c r="F20" t="inlineStr">
        <is>
          <t>SR 1615</t>
        </is>
      </c>
      <c r="G20" t="inlineStr">
        <is>
          <t>SR 1001</t>
        </is>
      </c>
      <c r="H20">
        <v>3.461</v>
      </c>
      <c r="I20" t="inlineStr">
        <is>
          <t>IS</t>
        </is>
      </c>
      <c r="L20">
        <v>104942804</v>
      </c>
      <c r="M20" t="inlineStr">
        <is>
          <t>12/8/2016</t>
        </is>
      </c>
      <c r="N20">
        <v>30</v>
      </c>
      <c r="O20">
        <v>1</v>
      </c>
      <c r="P20">
        <v>7</v>
      </c>
      <c r="Q20">
        <v>1</v>
      </c>
      <c r="R20" t="inlineStr">
        <is>
          <t>B</t>
        </is>
      </c>
      <c r="S20" t="inlineStr">
        <is>
          <t>coded at the junction, 0.000 from the study pair; WB east leg stopped, then entered against the SB through; failed to yield</t>
        </is>
      </c>
    </row>
    <row r="21">
      <c r="A21" t="inlineStr">
        <is>
          <t>558</t>
        </is>
      </c>
      <c r="B21" t="inlineStr">
        <is>
          <t>SIKES MILL</t>
        </is>
      </c>
      <c r="C21">
        <v>0.005</v>
      </c>
      <c r="D21" t="inlineStr">
        <is>
          <t>N</t>
        </is>
      </c>
      <c r="E21" t="inlineStr">
        <is>
          <t>TOM BOYD</t>
        </is>
      </c>
      <c r="F21" t="inlineStr">
        <is>
          <t>LOVE MILL</t>
        </is>
      </c>
      <c r="G21" t="inlineStr">
        <is>
          <t>SR 1001</t>
        </is>
      </c>
      <c r="H21">
        <v>3.466</v>
      </c>
      <c r="I21" t="inlineStr">
        <is>
          <t>IS</t>
        </is>
      </c>
      <c r="L21">
        <v>107945637</v>
      </c>
      <c r="M21" t="inlineStr">
        <is>
          <t>12/4/2024</t>
        </is>
      </c>
      <c r="N21">
        <v>21</v>
      </c>
      <c r="O21">
        <v>1</v>
      </c>
      <c r="P21">
        <v>7</v>
      </c>
      <c r="Q21">
        <v>1</v>
      </c>
      <c r="R21" t="inlineStr">
        <is>
          <t>C</t>
        </is>
      </c>
      <c r="S21" t="inlineStr">
        <is>
          <t>SR 1001 MP 3.466, 26 ft north; rear end into a vehicle stopped at the all way stop, failed to reduce speed; the after period C injury</t>
        </is>
      </c>
    </row>
    <row r="22">
      <c r="A22" t="inlineStr">
        <is>
          <t>558</t>
        </is>
      </c>
      <c r="B22" t="inlineStr">
        <is>
          <t>SR 1001</t>
        </is>
      </c>
      <c r="C22">
        <v>0.005</v>
      </c>
      <c r="D22" t="inlineStr">
        <is>
          <t>N</t>
        </is>
      </c>
      <c r="E22" t="inlineStr">
        <is>
          <t>SR 1617</t>
        </is>
      </c>
      <c r="F22" t="inlineStr">
        <is>
          <t>SR 1637</t>
        </is>
      </c>
      <c r="G22" t="inlineStr">
        <is>
          <t>SR 1001</t>
        </is>
      </c>
      <c r="H22">
        <v>3.466</v>
      </c>
      <c r="I22" t="inlineStr">
        <is>
          <t>IS</t>
        </is>
      </c>
      <c r="L22">
        <v>106126767</v>
      </c>
      <c r="M22" t="inlineStr">
        <is>
          <t>1/13/2020</t>
        </is>
      </c>
      <c r="N22">
        <v>21</v>
      </c>
      <c r="O22">
        <v>2</v>
      </c>
      <c r="P22">
        <v>7</v>
      </c>
      <c r="Q22">
        <v>1</v>
      </c>
      <c r="R22" t="inlineStr">
        <is>
          <t>O</t>
        </is>
      </c>
      <c r="S22" t="inlineStr">
        <is>
          <t>SR 1001 MP 3.466, 26 ft north; SB queue rear end, vehicles stopped for traffic flow ahead; charged failure to reduce speed</t>
        </is>
      </c>
    </row>
    <row r="23">
      <c r="A23" t="inlineStr">
        <is>
          <t>558</t>
        </is>
      </c>
      <c r="B23" t="inlineStr">
        <is>
          <t>SR 1617</t>
        </is>
      </c>
      <c r="C23">
        <v>0.028</v>
      </c>
      <c r="D23" t="inlineStr">
        <is>
          <t>W</t>
        </is>
      </c>
      <c r="E23" t="inlineStr">
        <is>
          <t>SR 1001</t>
        </is>
      </c>
      <c r="F23" t="inlineStr">
        <is>
          <t>SR 1615</t>
        </is>
      </c>
      <c r="G23" t="inlineStr">
        <is>
          <t>SR 1617</t>
        </is>
      </c>
      <c r="H23">
        <v>0.512</v>
      </c>
      <c r="I23" t="inlineStr">
        <is>
          <t>IS</t>
        </is>
      </c>
      <c r="L23">
        <v>105885258</v>
      </c>
      <c r="M23" t="inlineStr">
        <is>
          <t>6/4/2019</t>
        </is>
      </c>
      <c r="N23">
        <v>29</v>
      </c>
      <c r="O23">
        <v>1</v>
      </c>
      <c r="P23">
        <v>0</v>
      </c>
      <c r="Q23">
        <v>1</v>
      </c>
      <c r="R23" t="inlineStr">
        <is>
          <t>O</t>
        </is>
      </c>
      <c r="S23" t="inlineStr">
        <is>
          <t>SR 1617 MP 0.512, 148 ft west, right at the y-line; opposite direction mirror strike on Tom Boyd, unit 1 fled; not control related</t>
        </is>
      </c>
    </row>
    <row r="24">
      <c r="A24" t="inlineStr">
        <is>
          <t>558</t>
        </is>
      </c>
      <c r="B24" t="inlineStr">
        <is>
          <t>SR 1617</t>
        </is>
      </c>
      <c r="C24">
        <v>0.0</v>
      </c>
      <c r="E24" t="inlineStr">
        <is>
          <t>SR 1001</t>
        </is>
      </c>
      <c r="G24" t="inlineStr">
        <is>
          <t>SR 1617</t>
        </is>
      </c>
      <c r="H24">
        <v>0.54</v>
      </c>
      <c r="I24" t="inlineStr">
        <is>
          <t>IS</t>
        </is>
      </c>
      <c r="L24">
        <v>104716467</v>
      </c>
      <c r="M24" t="inlineStr">
        <is>
          <t>4/27/2016</t>
        </is>
      </c>
      <c r="N24">
        <v>30</v>
      </c>
      <c r="O24">
        <v>1</v>
      </c>
      <c r="P24">
        <v>7</v>
      </c>
      <c r="Q24">
        <v>1</v>
      </c>
      <c r="R24" t="inlineStr">
        <is>
          <t>O</t>
        </is>
      </c>
      <c r="S24" t="inlineStr">
        <is>
          <t>at the junction, SR 1617 MP 0.540; EB west leg stopped, then failed to yield crossing; charged failure to yield</t>
        </is>
      </c>
    </row>
    <row r="25">
      <c r="A25" t="inlineStr">
        <is>
          <t>ADDED TO STUDY</t>
        </is>
      </c>
    </row>
    <row r="26">
      <c r="A26" t="inlineStr">
        <is>
          <t>558</t>
        </is>
      </c>
      <c r="B26" t="inlineStr">
        <is>
          <t>SR 1001</t>
        </is>
      </c>
      <c r="C26">
        <v>0.0</v>
      </c>
      <c r="E26" t="inlineStr">
        <is>
          <t>SR 1619</t>
        </is>
      </c>
      <c r="F26" t="inlineStr">
        <is>
          <t>SR 1618</t>
        </is>
      </c>
      <c r="G26" t="inlineStr">
        <is>
          <t>SR 1001</t>
        </is>
      </c>
      <c r="H26">
        <v>3.461</v>
      </c>
      <c r="I26" t="inlineStr">
        <is>
          <t>ADD</t>
        </is>
      </c>
      <c r="L26">
        <v>105363964</v>
      </c>
      <c r="M26" t="inlineStr">
        <is>
          <t>1/26/2018</t>
        </is>
      </c>
      <c r="N26">
        <v>30</v>
      </c>
      <c r="O26">
        <v>1</v>
      </c>
      <c r="P26">
        <v>7</v>
      </c>
      <c r="Q26">
        <v>5</v>
      </c>
      <c r="R26" t="inlineStr">
        <is>
          <t>C</t>
        </is>
      </c>
      <c r="S26" t="inlineStr">
        <is>
          <t>confirmed at the study intersection (report 0 ft, at SR 1619): WB east leg stopped, then failed to yield into the SB SR 1001 vehicle; charged fail to yield at stop sign; angle, target type, before period</t>
        </is>
      </c>
    </row>
    <row r="27">
      <c r="A27" t="inlineStr">
        <is>
          <t>NOT IN STUDY - REPORT REVIEWED</t>
        </is>
      </c>
    </row>
    <row r="28">
      <c r="A28" t="inlineStr">
        <is>
          <t>558</t>
        </is>
      </c>
      <c r="B28" t="inlineStr">
        <is>
          <t>*PP 1518 TOM BOYD RD</t>
        </is>
      </c>
      <c r="C28">
        <v>0.014</v>
      </c>
      <c r="D28" t="inlineStr">
        <is>
          <t>W</t>
        </is>
      </c>
      <c r="E28" t="inlineStr">
        <is>
          <t>SR 1619</t>
        </is>
      </c>
      <c r="F28" t="inlineStr">
        <is>
          <t>*LCL -</t>
        </is>
      </c>
      <c r="H28">
        <v>999.999</v>
      </c>
      <c r="I28" t="inlineStr">
        <is>
          <t>NIS</t>
        </is>
      </c>
      <c r="L28">
        <v>104698395</v>
      </c>
      <c r="M28" t="inlineStr">
        <is>
          <t>4/9/2016</t>
        </is>
      </c>
      <c r="N28">
        <v>31</v>
      </c>
      <c r="O28">
        <v>1</v>
      </c>
      <c r="P28">
        <v>5</v>
      </c>
      <c r="Q28">
        <v>5</v>
      </c>
      <c r="R28" t="inlineStr">
        <is>
          <t>O</t>
        </is>
      </c>
      <c r="S28" t="inlineStr">
        <is>
          <t>confirmed off roadway: backed into a parked vehicle on the private drive at 1518 Tom Boyd Rd, 75 ft off the road</t>
        </is>
      </c>
    </row>
    <row r="29">
      <c r="A29" t="inlineStr">
        <is>
          <t>558</t>
        </is>
      </c>
      <c r="B29" t="inlineStr">
        <is>
          <t>SR 1001</t>
        </is>
      </c>
      <c r="C29">
        <v>0.1</v>
      </c>
      <c r="D29" t="inlineStr">
        <is>
          <t>N</t>
        </is>
      </c>
      <c r="E29" t="inlineStr">
        <is>
          <t>SR 1615</t>
        </is>
      </c>
      <c r="F29" t="inlineStr">
        <is>
          <t>SR 1617</t>
        </is>
      </c>
      <c r="G29" t="inlineStr">
        <is>
          <t>SR 1001</t>
        </is>
      </c>
      <c r="H29">
        <v>2.971</v>
      </c>
      <c r="I29" t="inlineStr">
        <is>
          <t>NIS</t>
        </is>
      </c>
      <c r="L29">
        <v>108184887</v>
      </c>
      <c r="M29" t="inlineStr">
        <is>
          <t>7/27/2025</t>
        </is>
      </c>
      <c r="N29">
        <v>19</v>
      </c>
      <c r="O29">
        <v>1</v>
      </c>
      <c r="P29">
        <v>0</v>
      </c>
      <c r="Q29">
        <v>1</v>
      </c>
      <c r="R29" t="inlineStr">
        <is>
          <t>A</t>
        </is>
      </c>
      <c r="S29" t="inlineStr">
        <is>
          <t>confirmed elsewhere: ran off left mid block and struck a tree; the report's coded reference and its own coordinates disagree but both fall outside the y-line</t>
        </is>
      </c>
    </row>
    <row r="30">
      <c r="A30" t="inlineStr">
        <is>
          <t>558</t>
        </is>
      </c>
      <c r="B30" t="inlineStr">
        <is>
          <t>SR 1001</t>
        </is>
      </c>
      <c r="C30">
        <v>0.038</v>
      </c>
      <c r="D30" t="inlineStr">
        <is>
          <t>S</t>
        </is>
      </c>
      <c r="E30" t="inlineStr">
        <is>
          <t>SR 1617</t>
        </is>
      </c>
      <c r="F30" t="inlineStr">
        <is>
          <t>US 601</t>
        </is>
      </c>
      <c r="G30" t="inlineStr">
        <is>
          <t>SR 1001</t>
        </is>
      </c>
      <c r="H30">
        <v>3.423</v>
      </c>
      <c r="I30" t="inlineStr">
        <is>
          <t>NIS</t>
        </is>
      </c>
      <c r="L30">
        <v>105964079</v>
      </c>
      <c r="M30" t="inlineStr">
        <is>
          <t>8/15/2019</t>
        </is>
      </c>
      <c r="N30">
        <v>19</v>
      </c>
      <c r="O30">
        <v>2</v>
      </c>
      <c r="P30">
        <v>0</v>
      </c>
      <c r="Q30">
        <v>5</v>
      </c>
      <c r="R30" t="inlineStr">
        <is>
          <t>O</t>
        </is>
      </c>
      <c r="S30" t="inlineStr">
        <is>
          <t>confirmed elsewhere: too fast on a wet curve, slid off right, struck the ditch and overturned; no intersection involvement</t>
        </is>
      </c>
    </row>
    <row r="31">
      <c r="A31" t="inlineStr">
        <is>
          <t>558</t>
        </is>
      </c>
      <c r="B31" t="inlineStr">
        <is>
          <t>SR 1001</t>
        </is>
      </c>
      <c r="C31">
        <v>0.03</v>
      </c>
      <c r="D31" t="inlineStr">
        <is>
          <t>S</t>
        </is>
      </c>
      <c r="E31" t="inlineStr">
        <is>
          <t>SR 1617</t>
        </is>
      </c>
      <c r="F31" t="inlineStr">
        <is>
          <t>SR 1615</t>
        </is>
      </c>
      <c r="G31" t="inlineStr">
        <is>
          <t>SR 1001</t>
        </is>
      </c>
      <c r="H31">
        <v>3.431</v>
      </c>
      <c r="I31" t="inlineStr">
        <is>
          <t>NIS</t>
        </is>
      </c>
      <c r="L31">
        <v>105208918</v>
      </c>
      <c r="M31" t="inlineStr">
        <is>
          <t>9/1/2017</t>
        </is>
      </c>
      <c r="N31">
        <v>27</v>
      </c>
      <c r="O31">
        <v>3</v>
      </c>
      <c r="P31">
        <v>0</v>
      </c>
      <c r="Q31">
        <v>1</v>
      </c>
      <c r="R31" t="inlineStr">
        <is>
          <t>C</t>
        </is>
      </c>
      <c r="S31" t="inlineStr">
        <is>
          <t>confirmed elsewhere: ran off right on the curve, overcorrected across the centerline, head on in the southbound lane 156 ft south; lane departure, no intersection involvement</t>
        </is>
      </c>
    </row>
    <row r="32">
      <c r="A32" t="inlineStr">
        <is>
          <t>NOT IN STUDY - REPORT NOT REVIEWED</t>
        </is>
      </c>
    </row>
    <row r="33">
      <c r="A33" t="inlineStr">
        <is>
          <t>558</t>
        </is>
      </c>
      <c r="B33" t="inlineStr">
        <is>
          <t>*LCL CAR WASH PVA</t>
        </is>
      </c>
      <c r="C33">
        <v>0.001</v>
      </c>
      <c r="D33" t="inlineStr">
        <is>
          <t>E</t>
        </is>
      </c>
      <c r="E33" t="inlineStr">
        <is>
          <t>SR 1001</t>
        </is>
      </c>
      <c r="F33" t="inlineStr">
        <is>
          <t>DEAD END</t>
        </is>
      </c>
      <c r="H33">
        <v>999.999</v>
      </c>
      <c r="L33">
        <v>105722912</v>
      </c>
      <c r="M33" t="inlineStr">
        <is>
          <t>12/18/2018</t>
        </is>
      </c>
      <c r="N33">
        <v>31</v>
      </c>
      <c r="O33">
        <v>1</v>
      </c>
      <c r="P33">
        <v>0</v>
      </c>
      <c r="Q33">
        <v>1</v>
      </c>
      <c r="R33" t="inlineStr">
        <is>
          <t>O</t>
        </is>
      </c>
    </row>
    <row r="34">
      <c r="A34" t="inlineStr">
        <is>
          <t>0</t>
        </is>
      </c>
      <c r="B34" t="inlineStr">
        <is>
          <t>*PP 2815 OLD CAMDEN RD</t>
        </is>
      </c>
      <c r="C34">
        <v>0.019</v>
      </c>
      <c r="D34" t="inlineStr">
        <is>
          <t>W</t>
        </is>
      </c>
      <c r="E34" t="inlineStr">
        <is>
          <t>SR 1606</t>
        </is>
      </c>
      <c r="F34" t="inlineStr">
        <is>
          <t>DEAD END</t>
        </is>
      </c>
      <c r="H34">
        <v>999.999</v>
      </c>
      <c r="L34">
        <v>107479024</v>
      </c>
      <c r="M34" t="inlineStr">
        <is>
          <t>10/4/2023</t>
        </is>
      </c>
      <c r="N34">
        <v>20</v>
      </c>
      <c r="O34">
        <v>1</v>
      </c>
      <c r="P34">
        <v>5</v>
      </c>
      <c r="Q34">
        <v>5</v>
      </c>
      <c r="R34" t="inlineStr">
        <is>
          <t>O</t>
        </is>
      </c>
    </row>
    <row r="35">
      <c r="A35" t="inlineStr">
        <is>
          <t>558</t>
        </is>
      </c>
      <c r="B35" t="inlineStr">
        <is>
          <t>HAIGLER BAUCOM</t>
        </is>
      </c>
      <c r="C35">
        <v>0.005</v>
      </c>
      <c r="D35" t="inlineStr">
        <is>
          <t>E</t>
        </is>
      </c>
      <c r="E35" t="inlineStr">
        <is>
          <t>SIKES MILL</t>
        </is>
      </c>
      <c r="F35" t="inlineStr">
        <is>
          <t>LOVE MILL</t>
        </is>
      </c>
      <c r="H35">
        <v>999.999</v>
      </c>
      <c r="L35">
        <v>107442545</v>
      </c>
      <c r="M35" t="inlineStr">
        <is>
          <t>8/30/2023</t>
        </is>
      </c>
      <c r="N35">
        <v>21</v>
      </c>
      <c r="O35">
        <v>2</v>
      </c>
      <c r="P35">
        <v>8</v>
      </c>
      <c r="Q35">
        <v>1</v>
      </c>
      <c r="R35" t="inlineStr">
        <is>
          <t>O</t>
        </is>
      </c>
    </row>
    <row r="36">
      <c r="A36" t="inlineStr">
        <is>
          <t>558</t>
        </is>
      </c>
      <c r="B36" t="inlineStr">
        <is>
          <t>LOVE MILL</t>
        </is>
      </c>
      <c r="C36">
        <v>0.23</v>
      </c>
      <c r="D36" t="inlineStr">
        <is>
          <t>N</t>
        </is>
      </c>
      <c r="E36" t="inlineStr">
        <is>
          <t>*LCL A G R NANCE RD</t>
        </is>
      </c>
      <c r="F36" t="inlineStr">
        <is>
          <t>ZEBULON WILLIAMS</t>
        </is>
      </c>
      <c r="H36">
        <v>999.999</v>
      </c>
      <c r="L36">
        <v>108377465</v>
      </c>
      <c r="M36" t="inlineStr">
        <is>
          <t>1/20/2026</t>
        </is>
      </c>
      <c r="N36">
        <v>19</v>
      </c>
      <c r="O36">
        <v>1</v>
      </c>
      <c r="P36">
        <v>0</v>
      </c>
      <c r="Q36">
        <v>1</v>
      </c>
      <c r="R36" t="inlineStr">
        <is>
          <t>O</t>
        </is>
      </c>
    </row>
    <row r="37">
      <c r="A37" t="inlineStr">
        <is>
          <t>558</t>
        </is>
      </c>
      <c r="B37" t="inlineStr">
        <is>
          <t>LOVE MILL</t>
        </is>
      </c>
      <c r="C37">
        <v>0.0</v>
      </c>
      <c r="E37" t="inlineStr">
        <is>
          <t>*LCL PIEDMONT SCH DR</t>
        </is>
      </c>
      <c r="F37" t="inlineStr">
        <is>
          <t>SIKES MILL</t>
        </is>
      </c>
      <c r="H37">
        <v>999.999</v>
      </c>
      <c r="L37">
        <v>108397947</v>
      </c>
      <c r="M37" t="inlineStr">
        <is>
          <t>2/10/2026</t>
        </is>
      </c>
      <c r="N37">
        <v>26</v>
      </c>
      <c r="O37">
        <v>1</v>
      </c>
      <c r="P37">
        <v>8</v>
      </c>
      <c r="Q37">
        <v>1</v>
      </c>
      <c r="R37" t="inlineStr">
        <is>
          <t>O</t>
        </is>
      </c>
    </row>
    <row r="38">
      <c r="A38" t="inlineStr">
        <is>
          <t>558</t>
        </is>
      </c>
      <c r="B38" t="inlineStr">
        <is>
          <t>LOVE MILL</t>
        </is>
      </c>
      <c r="C38">
        <v>0.072</v>
      </c>
      <c r="D38" t="inlineStr">
        <is>
          <t>N</t>
        </is>
      </c>
      <c r="E38" t="inlineStr">
        <is>
          <t>*LCL PURSER RUSHING RD</t>
        </is>
      </c>
      <c r="F38" t="inlineStr">
        <is>
          <t>HAIGLER BAUCOM</t>
        </is>
      </c>
      <c r="H38">
        <v>999.999</v>
      </c>
      <c r="L38">
        <v>107756918</v>
      </c>
      <c r="M38" t="inlineStr">
        <is>
          <t>6/20/2024</t>
        </is>
      </c>
      <c r="N38">
        <v>23</v>
      </c>
      <c r="O38">
        <v>1</v>
      </c>
      <c r="P38">
        <v>5</v>
      </c>
      <c r="Q38">
        <v>3</v>
      </c>
      <c r="R38" t="inlineStr">
        <is>
          <t>O</t>
        </is>
      </c>
    </row>
    <row r="39">
      <c r="A39" t="inlineStr">
        <is>
          <t>558</t>
        </is>
      </c>
      <c r="B39" t="inlineStr">
        <is>
          <t>LOVE MILL</t>
        </is>
      </c>
      <c r="C39">
        <v>0.25</v>
      </c>
      <c r="D39" t="inlineStr">
        <is>
          <t>N</t>
        </is>
      </c>
      <c r="E39" t="inlineStr">
        <is>
          <t>*LCL PURSER RUSHING RD</t>
        </is>
      </c>
      <c r="F39" t="inlineStr">
        <is>
          <t>HAIGLER BAUCOM</t>
        </is>
      </c>
      <c r="H39">
        <v>999.999</v>
      </c>
      <c r="L39">
        <v>108479327</v>
      </c>
      <c r="M39" t="inlineStr">
        <is>
          <t>4/28/2026</t>
        </is>
      </c>
      <c r="N39">
        <v>17</v>
      </c>
      <c r="O39">
        <v>1</v>
      </c>
      <c r="P39">
        <v>0</v>
      </c>
      <c r="Q39">
        <v>5</v>
      </c>
      <c r="R39" t="inlineStr">
        <is>
          <t>O</t>
        </is>
      </c>
    </row>
    <row r="40">
      <c r="A40" t="inlineStr">
        <is>
          <t>558</t>
        </is>
      </c>
      <c r="B40" t="inlineStr">
        <is>
          <t>PIEDMONT SCHOOL</t>
        </is>
      </c>
      <c r="C40">
        <v>0.019</v>
      </c>
      <c r="D40" t="inlineStr">
        <is>
          <t>N</t>
        </is>
      </c>
      <c r="E40" t="inlineStr">
        <is>
          <t>LOVE MILL</t>
        </is>
      </c>
      <c r="F40" t="inlineStr">
        <is>
          <t>DEAD END</t>
        </is>
      </c>
      <c r="H40">
        <v>999.999</v>
      </c>
      <c r="L40">
        <v>107528155</v>
      </c>
      <c r="M40" t="inlineStr">
        <is>
          <t>11/14/2023</t>
        </is>
      </c>
      <c r="N40">
        <v>21</v>
      </c>
      <c r="O40">
        <v>1</v>
      </c>
      <c r="P40">
        <v>12</v>
      </c>
      <c r="Q40">
        <v>1</v>
      </c>
      <c r="R40" t="inlineStr">
        <is>
          <t>O</t>
        </is>
      </c>
    </row>
    <row r="41">
      <c r="A41" t="inlineStr">
        <is>
          <t>558</t>
        </is>
      </c>
      <c r="B41" t="inlineStr">
        <is>
          <t>PIEDMONT SCHOOL</t>
        </is>
      </c>
      <c r="C41">
        <v>0.005</v>
      </c>
      <c r="D41" t="inlineStr">
        <is>
          <t>W</t>
        </is>
      </c>
      <c r="E41" t="inlineStr">
        <is>
          <t>SR 1001</t>
        </is>
      </c>
      <c r="F41" t="inlineStr">
        <is>
          <t>*LCL -</t>
        </is>
      </c>
      <c r="H41">
        <v>999.999</v>
      </c>
      <c r="L41">
        <v>105971602</v>
      </c>
      <c r="M41" t="inlineStr">
        <is>
          <t>8/26/2019</t>
        </is>
      </c>
      <c r="N41">
        <v>24</v>
      </c>
      <c r="O41">
        <v>1</v>
      </c>
      <c r="P41">
        <v>4</v>
      </c>
      <c r="Q41">
        <v>1</v>
      </c>
      <c r="R41" t="inlineStr">
        <is>
          <t>O</t>
        </is>
      </c>
    </row>
    <row r="42">
      <c r="A42" t="inlineStr">
        <is>
          <t>558</t>
        </is>
      </c>
      <c r="B42" t="inlineStr">
        <is>
          <t>PVA 2623 SIKES MILL RD</t>
        </is>
      </c>
      <c r="C42">
        <v>0.009</v>
      </c>
      <c r="D42" t="inlineStr">
        <is>
          <t>W</t>
        </is>
      </c>
      <c r="E42" t="inlineStr">
        <is>
          <t>SR 1001</t>
        </is>
      </c>
      <c r="F42" t="inlineStr">
        <is>
          <t>SR 1618</t>
        </is>
      </c>
      <c r="H42">
        <v>999.999</v>
      </c>
      <c r="L42">
        <v>107250998</v>
      </c>
      <c r="M42" t="inlineStr">
        <is>
          <t>2/9/2023</t>
        </is>
      </c>
      <c r="N42">
        <v>20</v>
      </c>
      <c r="O42">
        <v>1</v>
      </c>
      <c r="P42">
        <v>4</v>
      </c>
      <c r="Q42">
        <v>1</v>
      </c>
      <c r="R42" t="inlineStr">
        <is>
          <t>O</t>
        </is>
      </c>
    </row>
    <row r="43">
      <c r="A43" t="inlineStr">
        <is>
          <t>0</t>
        </is>
      </c>
      <c r="B43" t="inlineStr">
        <is>
          <t>PVA 3006 SIKES MILL RD</t>
        </is>
      </c>
      <c r="C43">
        <v>0.004</v>
      </c>
      <c r="D43" t="inlineStr">
        <is>
          <t>E</t>
        </is>
      </c>
      <c r="E43" t="inlineStr">
        <is>
          <t>SR 1001</t>
        </is>
      </c>
      <c r="F43" t="inlineStr">
        <is>
          <t>DEAD END</t>
        </is>
      </c>
      <c r="H43">
        <v>999.999</v>
      </c>
      <c r="L43">
        <v>105983673</v>
      </c>
      <c r="M43" t="inlineStr">
        <is>
          <t>9/3/2019</t>
        </is>
      </c>
      <c r="N43">
        <v>21</v>
      </c>
      <c r="O43">
        <v>1</v>
      </c>
      <c r="P43">
        <v>4</v>
      </c>
      <c r="Q43">
        <v>1</v>
      </c>
      <c r="R43" t="inlineStr">
        <is>
          <t>O</t>
        </is>
      </c>
    </row>
    <row r="44">
      <c r="A44" t="inlineStr">
        <is>
          <t>558</t>
        </is>
      </c>
      <c r="B44" t="inlineStr">
        <is>
          <t>PVA 3006 SIKES MILL RD</t>
        </is>
      </c>
      <c r="C44">
        <v>0.018</v>
      </c>
      <c r="D44" t="inlineStr">
        <is>
          <t>E</t>
        </is>
      </c>
      <c r="E44" t="inlineStr">
        <is>
          <t>SR 1606</t>
        </is>
      </c>
      <c r="F44" t="inlineStr">
        <is>
          <t>SR 1001</t>
        </is>
      </c>
      <c r="H44">
        <v>999.999</v>
      </c>
      <c r="L44">
        <v>107844251</v>
      </c>
      <c r="M44" t="inlineStr">
        <is>
          <t>9/5/2024</t>
        </is>
      </c>
      <c r="N44">
        <v>31</v>
      </c>
      <c r="O44">
        <v>1</v>
      </c>
      <c r="P44">
        <v>0</v>
      </c>
      <c r="Q44">
        <v>1</v>
      </c>
      <c r="R44" t="inlineStr">
        <is>
          <t>O</t>
        </is>
      </c>
    </row>
    <row r="45">
      <c r="A45" t="inlineStr">
        <is>
          <t>637</t>
        </is>
      </c>
      <c r="B45" t="inlineStr">
        <is>
          <t>PVA 6609 SIKES MILL RD</t>
        </is>
      </c>
      <c r="C45">
        <v>0.028</v>
      </c>
      <c r="D45" t="inlineStr">
        <is>
          <t>W</t>
        </is>
      </c>
      <c r="E45" t="inlineStr">
        <is>
          <t>SIKES MILL</t>
        </is>
      </c>
      <c r="H45">
        <v>999.999</v>
      </c>
      <c r="L45">
        <v>106254686</v>
      </c>
      <c r="M45" t="inlineStr">
        <is>
          <t>6/19/2020</t>
        </is>
      </c>
      <c r="N45">
        <v>31</v>
      </c>
      <c r="O45">
        <v>1</v>
      </c>
      <c r="P45">
        <v>4</v>
      </c>
      <c r="Q45">
        <v>1</v>
      </c>
      <c r="R45" t="inlineStr">
        <is>
          <t>O</t>
        </is>
      </c>
    </row>
    <row r="46">
      <c r="A46" t="inlineStr">
        <is>
          <t>558</t>
        </is>
      </c>
      <c r="B46" t="inlineStr">
        <is>
          <t>PVA 709 SIKES MILL RD</t>
        </is>
      </c>
      <c r="C46">
        <v>0.005</v>
      </c>
      <c r="D46" t="inlineStr">
        <is>
          <t>W</t>
        </is>
      </c>
      <c r="E46" t="inlineStr">
        <is>
          <t>SR 1001</t>
        </is>
      </c>
      <c r="F46" t="inlineStr">
        <is>
          <t>DEAD END</t>
        </is>
      </c>
      <c r="H46">
        <v>999.999</v>
      </c>
      <c r="L46">
        <v>107994713</v>
      </c>
      <c r="M46" t="inlineStr">
        <is>
          <t>1/17/2025</t>
        </is>
      </c>
      <c r="N46">
        <v>20</v>
      </c>
      <c r="O46">
        <v>1</v>
      </c>
      <c r="P46">
        <v>5</v>
      </c>
      <c r="Q46">
        <v>2</v>
      </c>
    </row>
    <row r="47">
      <c r="A47" t="inlineStr">
        <is>
          <t>558</t>
        </is>
      </c>
      <c r="B47" t="inlineStr">
        <is>
          <t>PVA MARATHON</t>
        </is>
      </c>
      <c r="C47">
        <v>0.019</v>
      </c>
      <c r="D47" t="inlineStr">
        <is>
          <t>W</t>
        </is>
      </c>
      <c r="E47" t="inlineStr">
        <is>
          <t>SIKES MILL</t>
        </is>
      </c>
      <c r="H47">
        <v>999.999</v>
      </c>
      <c r="L47">
        <v>106584227</v>
      </c>
      <c r="M47" t="inlineStr">
        <is>
          <t>5/25/2021</t>
        </is>
      </c>
      <c r="N47">
        <v>31</v>
      </c>
      <c r="O47">
        <v>1</v>
      </c>
      <c r="P47">
        <v>4</v>
      </c>
      <c r="Q47">
        <v>1</v>
      </c>
      <c r="R47" t="inlineStr">
        <is>
          <t>O</t>
        </is>
      </c>
    </row>
    <row r="48">
      <c r="A48" t="inlineStr">
        <is>
          <t>558</t>
        </is>
      </c>
      <c r="B48" t="inlineStr">
        <is>
          <t>PVA MARATHON</t>
        </is>
      </c>
      <c r="C48">
        <v>0.019</v>
      </c>
      <c r="D48" t="inlineStr">
        <is>
          <t>W</t>
        </is>
      </c>
      <c r="E48" t="inlineStr">
        <is>
          <t>SIKES MILL</t>
        </is>
      </c>
      <c r="H48">
        <v>999.999</v>
      </c>
      <c r="L48">
        <v>106303935</v>
      </c>
      <c r="M48" t="inlineStr">
        <is>
          <t>8/12/2020</t>
        </is>
      </c>
      <c r="N48">
        <v>20</v>
      </c>
      <c r="O48">
        <v>1</v>
      </c>
      <c r="P48">
        <v>4</v>
      </c>
      <c r="Q48">
        <v>1</v>
      </c>
      <c r="R48" t="inlineStr">
        <is>
          <t>O</t>
        </is>
      </c>
    </row>
    <row r="49">
      <c r="A49" t="inlineStr">
        <is>
          <t>558</t>
        </is>
      </c>
      <c r="B49" t="inlineStr">
        <is>
          <t>PVA MARATHON</t>
        </is>
      </c>
      <c r="C49">
        <v>0.009</v>
      </c>
      <c r="D49" t="inlineStr">
        <is>
          <t>W</t>
        </is>
      </c>
      <c r="E49" t="inlineStr">
        <is>
          <t>SR 1001</t>
        </is>
      </c>
      <c r="F49" t="inlineStr">
        <is>
          <t>SR 1618</t>
        </is>
      </c>
      <c r="H49">
        <v>999.999</v>
      </c>
      <c r="L49">
        <v>108345733</v>
      </c>
      <c r="M49" t="inlineStr">
        <is>
          <t>12/19/2025</t>
        </is>
      </c>
      <c r="N49">
        <v>20</v>
      </c>
      <c r="O49">
        <v>1</v>
      </c>
      <c r="P49">
        <v>4</v>
      </c>
      <c r="Q49">
        <v>1</v>
      </c>
      <c r="R49" t="inlineStr">
        <is>
          <t>O</t>
        </is>
      </c>
    </row>
    <row r="50">
      <c r="A50" t="inlineStr">
        <is>
          <t>558</t>
        </is>
      </c>
      <c r="B50" t="inlineStr">
        <is>
          <t>PVA MARATHON GAS</t>
        </is>
      </c>
      <c r="C50">
        <v>0.014</v>
      </c>
      <c r="D50" t="inlineStr">
        <is>
          <t>W</t>
        </is>
      </c>
      <c r="E50" t="inlineStr">
        <is>
          <t>SR 1001</t>
        </is>
      </c>
      <c r="F50" t="inlineStr">
        <is>
          <t>DEAD END</t>
        </is>
      </c>
      <c r="H50">
        <v>999.999</v>
      </c>
      <c r="L50">
        <v>105790718</v>
      </c>
      <c r="M50" t="inlineStr">
        <is>
          <t>3/2/2019</t>
        </is>
      </c>
      <c r="N50">
        <v>31</v>
      </c>
      <c r="O50">
        <v>1</v>
      </c>
      <c r="P50">
        <v>0</v>
      </c>
      <c r="Q50">
        <v>1</v>
      </c>
      <c r="R50" t="inlineStr">
        <is>
          <t>O</t>
        </is>
      </c>
    </row>
    <row r="51">
      <c r="A51" t="inlineStr">
        <is>
          <t>558</t>
        </is>
      </c>
      <c r="B51" t="inlineStr">
        <is>
          <t>PVA MARATHON GAS</t>
        </is>
      </c>
      <c r="C51">
        <v>0.019</v>
      </c>
      <c r="D51" t="inlineStr">
        <is>
          <t>W</t>
        </is>
      </c>
      <c r="E51" t="inlineStr">
        <is>
          <t>SR 1001</t>
        </is>
      </c>
      <c r="F51" t="inlineStr">
        <is>
          <t>DEAD END</t>
        </is>
      </c>
      <c r="H51">
        <v>999.999</v>
      </c>
      <c r="L51">
        <v>106747056</v>
      </c>
      <c r="M51" t="inlineStr">
        <is>
          <t>10/29/2021</t>
        </is>
      </c>
      <c r="N51">
        <v>31</v>
      </c>
      <c r="O51">
        <v>1</v>
      </c>
      <c r="P51">
        <v>0</v>
      </c>
      <c r="Q51">
        <v>1</v>
      </c>
      <c r="R51" t="inlineStr">
        <is>
          <t>O</t>
        </is>
      </c>
    </row>
    <row r="52">
      <c r="A52" t="inlineStr">
        <is>
          <t>558</t>
        </is>
      </c>
      <c r="B52" t="inlineStr">
        <is>
          <t>PVA MARATHON GAS STATION</t>
        </is>
      </c>
      <c r="C52">
        <v>0.019</v>
      </c>
      <c r="D52" t="inlineStr">
        <is>
          <t>W</t>
        </is>
      </c>
      <c r="E52" t="inlineStr">
        <is>
          <t>SR 1001</t>
        </is>
      </c>
      <c r="F52" t="inlineStr">
        <is>
          <t>DEAD END</t>
        </is>
      </c>
      <c r="H52">
        <v>999.999</v>
      </c>
      <c r="L52">
        <v>107692192</v>
      </c>
      <c r="M52" t="inlineStr">
        <is>
          <t>4/18/2024</t>
        </is>
      </c>
      <c r="N52">
        <v>31</v>
      </c>
      <c r="O52">
        <v>1</v>
      </c>
      <c r="P52">
        <v>4</v>
      </c>
      <c r="Q52">
        <v>1</v>
      </c>
      <c r="R52" t="inlineStr">
        <is>
          <t>O</t>
        </is>
      </c>
    </row>
    <row r="53">
      <c r="A53" t="inlineStr">
        <is>
          <t>558</t>
        </is>
      </c>
      <c r="B53" t="inlineStr">
        <is>
          <t>PVA MARATHON GAS STATION</t>
        </is>
      </c>
      <c r="C53">
        <v>0.014</v>
      </c>
      <c r="D53" t="inlineStr">
        <is>
          <t>W</t>
        </is>
      </c>
      <c r="E53" t="inlineStr">
        <is>
          <t>SR 1606</t>
        </is>
      </c>
      <c r="F53" t="inlineStr">
        <is>
          <t>SR 1001</t>
        </is>
      </c>
      <c r="H53">
        <v>999.999</v>
      </c>
      <c r="L53">
        <v>105060300</v>
      </c>
      <c r="M53" t="inlineStr">
        <is>
          <t>3/20/2017</t>
        </is>
      </c>
      <c r="N53">
        <v>31</v>
      </c>
      <c r="O53">
        <v>1</v>
      </c>
      <c r="P53">
        <v>4</v>
      </c>
      <c r="Q53">
        <v>1</v>
      </c>
      <c r="R53" t="inlineStr">
        <is>
          <t>O</t>
        </is>
      </c>
    </row>
    <row r="54">
      <c r="A54" t="inlineStr">
        <is>
          <t>558</t>
        </is>
      </c>
      <c r="B54" t="inlineStr">
        <is>
          <t>PVA PIEDMONT HIGH SCHOOL</t>
        </is>
      </c>
      <c r="C54">
        <v>0.009</v>
      </c>
      <c r="D54" t="inlineStr">
        <is>
          <t>W</t>
        </is>
      </c>
      <c r="E54" t="inlineStr">
        <is>
          <t>SR 1001</t>
        </is>
      </c>
      <c r="F54" t="inlineStr">
        <is>
          <t>*LCL -</t>
        </is>
      </c>
      <c r="H54">
        <v>999.999</v>
      </c>
      <c r="L54">
        <v>104865813</v>
      </c>
      <c r="M54" t="inlineStr">
        <is>
          <t>9/29/2016</t>
        </is>
      </c>
      <c r="N54">
        <v>21</v>
      </c>
      <c r="O54">
        <v>2</v>
      </c>
      <c r="P54">
        <v>4</v>
      </c>
      <c r="Q54">
        <v>1</v>
      </c>
      <c r="R54" t="inlineStr">
        <is>
          <t>C</t>
        </is>
      </c>
    </row>
    <row r="55">
      <c r="A55" t="inlineStr">
        <is>
          <t>558</t>
        </is>
      </c>
      <c r="B55" t="inlineStr">
        <is>
          <t>PVA PIEDMONT HIGH SCHOOL</t>
        </is>
      </c>
      <c r="C55">
        <v>0.017</v>
      </c>
      <c r="D55" t="inlineStr">
        <is>
          <t>W</t>
        </is>
      </c>
      <c r="E55" t="inlineStr">
        <is>
          <t>SR 1001</t>
        </is>
      </c>
      <c r="F55" t="inlineStr">
        <is>
          <t>DEAD END</t>
        </is>
      </c>
      <c r="H55">
        <v>999.999</v>
      </c>
      <c r="L55">
        <v>104945962</v>
      </c>
      <c r="M55" t="inlineStr">
        <is>
          <t>12/12/2016</t>
        </is>
      </c>
      <c r="N55">
        <v>21</v>
      </c>
      <c r="O55">
        <v>1</v>
      </c>
      <c r="P55">
        <v>4</v>
      </c>
      <c r="Q55">
        <v>1</v>
      </c>
      <c r="R55" t="inlineStr">
        <is>
          <t>O</t>
        </is>
      </c>
    </row>
    <row r="56">
      <c r="A56" t="inlineStr">
        <is>
          <t>558</t>
        </is>
      </c>
      <c r="B56" t="inlineStr">
        <is>
          <t>PVA PIEDMONT HIGH SCHOOL</t>
        </is>
      </c>
      <c r="C56">
        <v>0.017</v>
      </c>
      <c r="D56" t="inlineStr">
        <is>
          <t>W</t>
        </is>
      </c>
      <c r="E56" t="inlineStr">
        <is>
          <t>SR 1001</t>
        </is>
      </c>
      <c r="F56" t="inlineStr">
        <is>
          <t>DEAD END</t>
        </is>
      </c>
      <c r="H56">
        <v>999.999</v>
      </c>
      <c r="L56">
        <v>104950470</v>
      </c>
      <c r="M56" t="inlineStr">
        <is>
          <t>12/12/2016</t>
        </is>
      </c>
      <c r="N56">
        <v>21</v>
      </c>
      <c r="O56">
        <v>1</v>
      </c>
      <c r="P56">
        <v>4</v>
      </c>
      <c r="Q56">
        <v>1</v>
      </c>
      <c r="R56" t="inlineStr">
        <is>
          <t>O</t>
        </is>
      </c>
    </row>
    <row r="57">
      <c r="A57" t="inlineStr">
        <is>
          <t>558</t>
        </is>
      </c>
      <c r="B57" t="inlineStr">
        <is>
          <t>PVA PIEDMONT HIGH SCHOOL</t>
        </is>
      </c>
      <c r="C57">
        <v>0.004</v>
      </c>
      <c r="D57" t="inlineStr">
        <is>
          <t>E</t>
        </is>
      </c>
      <c r="E57" t="inlineStr">
        <is>
          <t>SR 1606</t>
        </is>
      </c>
      <c r="F57" t="inlineStr">
        <is>
          <t>SR 1678</t>
        </is>
      </c>
      <c r="H57">
        <v>999.999</v>
      </c>
      <c r="L57">
        <v>107118944</v>
      </c>
      <c r="M57" t="inlineStr">
        <is>
          <t>10/13/2022</t>
        </is>
      </c>
      <c r="N57">
        <v>31</v>
      </c>
      <c r="O57">
        <v>1</v>
      </c>
      <c r="P57">
        <v>4</v>
      </c>
      <c r="Q57">
        <v>1</v>
      </c>
      <c r="R57" t="inlineStr">
        <is>
          <t>O</t>
        </is>
      </c>
    </row>
    <row r="58">
      <c r="A58" t="inlineStr">
        <is>
          <t>558</t>
        </is>
      </c>
      <c r="B58" t="inlineStr">
        <is>
          <t>PVA PIEDMONT HS</t>
        </is>
      </c>
      <c r="C58">
        <v>0.028</v>
      </c>
      <c r="D58" t="inlineStr">
        <is>
          <t>E</t>
        </is>
      </c>
      <c r="E58" t="inlineStr">
        <is>
          <t>SIKES MILL</t>
        </is>
      </c>
      <c r="H58">
        <v>999.999</v>
      </c>
      <c r="L58">
        <v>107711938</v>
      </c>
      <c r="M58" t="inlineStr">
        <is>
          <t>5/7/2024</t>
        </is>
      </c>
      <c r="N58">
        <v>23</v>
      </c>
      <c r="O58">
        <v>1</v>
      </c>
      <c r="P58">
        <v>4</v>
      </c>
      <c r="Q58">
        <v>1</v>
      </c>
      <c r="R58" t="inlineStr">
        <is>
          <t>O</t>
        </is>
      </c>
    </row>
    <row r="59">
      <c r="A59" t="inlineStr">
        <is>
          <t>558</t>
        </is>
      </c>
      <c r="B59" t="inlineStr">
        <is>
          <t>PVA PIEDMONT MIDDLE</t>
        </is>
      </c>
      <c r="C59">
        <v>0.0</v>
      </c>
      <c r="E59" t="inlineStr">
        <is>
          <t>SR 1001</t>
        </is>
      </c>
      <c r="F59" t="inlineStr">
        <is>
          <t>DEAD END</t>
        </is>
      </c>
      <c r="H59">
        <v>999.999</v>
      </c>
      <c r="L59">
        <v>105740561</v>
      </c>
      <c r="M59" t="inlineStr">
        <is>
          <t>1/7/2019</t>
        </is>
      </c>
      <c r="N59">
        <v>21</v>
      </c>
      <c r="O59">
        <v>1</v>
      </c>
      <c r="P59">
        <v>8</v>
      </c>
      <c r="Q59">
        <v>1</v>
      </c>
      <c r="R59" t="inlineStr">
        <is>
          <t>O</t>
        </is>
      </c>
    </row>
    <row r="60">
      <c r="A60" t="inlineStr">
        <is>
          <t>558</t>
        </is>
      </c>
      <c r="B60" t="inlineStr">
        <is>
          <t>PVA PIEDMONT MIDDLE SCHOOL</t>
        </is>
      </c>
      <c r="C60">
        <v>0.001</v>
      </c>
      <c r="D60" t="inlineStr">
        <is>
          <t>E</t>
        </is>
      </c>
      <c r="E60" t="inlineStr">
        <is>
          <t>SIKES MILL</t>
        </is>
      </c>
      <c r="H60">
        <v>999.999</v>
      </c>
      <c r="L60">
        <v>108247372</v>
      </c>
      <c r="M60" t="inlineStr">
        <is>
          <t>9/30/2025</t>
        </is>
      </c>
      <c r="N60">
        <v>21</v>
      </c>
      <c r="O60">
        <v>2</v>
      </c>
      <c r="P60">
        <v>4</v>
      </c>
      <c r="Q60">
        <v>1</v>
      </c>
      <c r="R60" t="inlineStr">
        <is>
          <t>O</t>
        </is>
      </c>
    </row>
    <row r="61">
      <c r="A61" t="inlineStr">
        <is>
          <t>558</t>
        </is>
      </c>
      <c r="B61" t="inlineStr">
        <is>
          <t>PVA PIEDMONT MIDDLE SCHOOL</t>
        </is>
      </c>
      <c r="C61">
        <v>0.019</v>
      </c>
      <c r="D61" t="inlineStr">
        <is>
          <t>E</t>
        </is>
      </c>
      <c r="E61" t="inlineStr">
        <is>
          <t>SIKES MILL</t>
        </is>
      </c>
      <c r="H61">
        <v>999.999</v>
      </c>
      <c r="L61">
        <v>107683218</v>
      </c>
      <c r="M61" t="inlineStr">
        <is>
          <t>4/11/2024</t>
        </is>
      </c>
      <c r="N61">
        <v>31</v>
      </c>
      <c r="O61">
        <v>2</v>
      </c>
      <c r="P61">
        <v>4</v>
      </c>
      <c r="Q61">
        <v>1</v>
      </c>
      <c r="R61" t="inlineStr">
        <is>
          <t>O</t>
        </is>
      </c>
    </row>
    <row r="62">
      <c r="A62" t="inlineStr">
        <is>
          <t>558</t>
        </is>
      </c>
      <c r="B62" t="inlineStr">
        <is>
          <t>PVA PIEDMONT MIDDLE SCHOOL</t>
        </is>
      </c>
      <c r="C62">
        <v>0.019</v>
      </c>
      <c r="D62" t="inlineStr">
        <is>
          <t>E</t>
        </is>
      </c>
      <c r="E62" t="inlineStr">
        <is>
          <t>SR 1606</t>
        </is>
      </c>
      <c r="F62" t="inlineStr">
        <is>
          <t>DEAD END</t>
        </is>
      </c>
      <c r="H62">
        <v>999.999</v>
      </c>
      <c r="L62">
        <v>105226618</v>
      </c>
      <c r="M62" t="inlineStr">
        <is>
          <t>9/20/2017</t>
        </is>
      </c>
      <c r="N62">
        <v>21</v>
      </c>
      <c r="O62">
        <v>1</v>
      </c>
      <c r="P62">
        <v>8</v>
      </c>
      <c r="Q62">
        <v>1</v>
      </c>
      <c r="R62" t="inlineStr">
        <is>
          <t>O</t>
        </is>
      </c>
    </row>
    <row r="63">
      <c r="A63" t="inlineStr">
        <is>
          <t>558</t>
        </is>
      </c>
      <c r="B63" t="inlineStr">
        <is>
          <t>SIKES MILL</t>
        </is>
      </c>
      <c r="C63">
        <v>0.14</v>
      </c>
      <c r="D63" t="inlineStr">
        <is>
          <t>N</t>
        </is>
      </c>
      <c r="E63" t="inlineStr">
        <is>
          <t>*LCL PIEDMONT SCH DR</t>
        </is>
      </c>
      <c r="F63" t="inlineStr">
        <is>
          <t>HAIGLER BAUCOM</t>
        </is>
      </c>
      <c r="H63">
        <v>999.999</v>
      </c>
      <c r="L63">
        <v>108319024</v>
      </c>
      <c r="M63" t="inlineStr">
        <is>
          <t>11/25/2025</t>
        </is>
      </c>
      <c r="N63">
        <v>24</v>
      </c>
      <c r="O63">
        <v>1</v>
      </c>
      <c r="P63">
        <v>4</v>
      </c>
      <c r="Q63">
        <v>1</v>
      </c>
      <c r="R63" t="inlineStr">
        <is>
          <t>B</t>
        </is>
      </c>
    </row>
    <row r="64">
      <c r="A64" t="inlineStr">
        <is>
          <t>558</t>
        </is>
      </c>
      <c r="B64" t="inlineStr">
        <is>
          <t>SIKES MILL</t>
        </is>
      </c>
      <c r="C64">
        <v>0.038</v>
      </c>
      <c r="D64" t="inlineStr">
        <is>
          <t>N</t>
        </is>
      </c>
      <c r="E64" t="inlineStr">
        <is>
          <t>*LCL PIEDMONT SCH RD</t>
        </is>
      </c>
      <c r="F64" t="inlineStr">
        <is>
          <t>HAIGLER BAUCOM</t>
        </is>
      </c>
      <c r="H64">
        <v>999.999</v>
      </c>
      <c r="L64">
        <v>107926331</v>
      </c>
      <c r="M64" t="inlineStr">
        <is>
          <t>11/15/2024</t>
        </is>
      </c>
      <c r="N64">
        <v>24</v>
      </c>
      <c r="O64">
        <v>1</v>
      </c>
      <c r="P64">
        <v>4</v>
      </c>
      <c r="Q64">
        <v>1</v>
      </c>
      <c r="R64" t="inlineStr">
        <is>
          <t>O</t>
        </is>
      </c>
    </row>
    <row r="65">
      <c r="A65" t="inlineStr">
        <is>
          <t>558</t>
        </is>
      </c>
      <c r="B65" t="inlineStr">
        <is>
          <t>SR 1001</t>
        </is>
      </c>
      <c r="C65">
        <v>0.0</v>
      </c>
      <c r="E65" t="inlineStr">
        <is>
          <t>*LCL PEIDMONT SCHOOL RD</t>
        </is>
      </c>
      <c r="F65" t="inlineStr">
        <is>
          <t>SR 1674</t>
        </is>
      </c>
      <c r="H65">
        <v>999.999</v>
      </c>
      <c r="L65">
        <v>108430866</v>
      </c>
      <c r="M65" t="inlineStr">
        <is>
          <t>3/13/2026</t>
        </is>
      </c>
      <c r="N65">
        <v>24</v>
      </c>
      <c r="O65">
        <v>1</v>
      </c>
      <c r="P65">
        <v>5</v>
      </c>
      <c r="Q65">
        <v>1</v>
      </c>
      <c r="R65" t="inlineStr">
        <is>
          <t>C</t>
        </is>
      </c>
    </row>
    <row r="66">
      <c r="A66" t="inlineStr">
        <is>
          <t>0</t>
        </is>
      </c>
      <c r="B66" t="inlineStr">
        <is>
          <t>SR 1606</t>
        </is>
      </c>
      <c r="C66">
        <v>0.25</v>
      </c>
      <c r="D66" t="inlineStr">
        <is>
          <t>S</t>
        </is>
      </c>
      <c r="E66" t="inlineStr">
        <is>
          <t>*LCL BIGGERS CEMETERY RD</t>
        </is>
      </c>
      <c r="F66" t="inlineStr">
        <is>
          <t>OLD FERRY</t>
        </is>
      </c>
      <c r="H66">
        <v>999.999</v>
      </c>
      <c r="L66">
        <v>105935402</v>
      </c>
      <c r="M66" t="inlineStr">
        <is>
          <t>7/22/2019</t>
        </is>
      </c>
      <c r="N66">
        <v>29</v>
      </c>
      <c r="O66">
        <v>1</v>
      </c>
      <c r="P66">
        <v>0</v>
      </c>
      <c r="Q66">
        <v>1</v>
      </c>
      <c r="R66" t="inlineStr">
        <is>
          <t>O</t>
        </is>
      </c>
    </row>
    <row r="67">
      <c r="A67" t="inlineStr">
        <is>
          <t>0</t>
        </is>
      </c>
      <c r="B67" t="inlineStr">
        <is>
          <t>SR 1606</t>
        </is>
      </c>
      <c r="C67">
        <v>0.3</v>
      </c>
      <c r="D67" t="inlineStr">
        <is>
          <t>E</t>
        </is>
      </c>
      <c r="E67" t="inlineStr">
        <is>
          <t>*LCL CAMDEN OAKS LN</t>
        </is>
      </c>
      <c r="F67" t="inlineStr">
        <is>
          <t>SR 1006</t>
        </is>
      </c>
      <c r="H67">
        <v>999.999</v>
      </c>
      <c r="L67">
        <v>106214571</v>
      </c>
      <c r="M67" t="inlineStr">
        <is>
          <t>4/30/2020</t>
        </is>
      </c>
      <c r="N67">
        <v>29</v>
      </c>
      <c r="O67">
        <v>1</v>
      </c>
      <c r="P67">
        <v>1</v>
      </c>
      <c r="Q67">
        <v>1</v>
      </c>
      <c r="R67" t="inlineStr">
        <is>
          <t>O</t>
        </is>
      </c>
    </row>
    <row r="68">
      <c r="A68" t="inlineStr">
        <is>
          <t>558</t>
        </is>
      </c>
      <c r="B68" t="inlineStr">
        <is>
          <t>TOM BOYD</t>
        </is>
      </c>
      <c r="C68">
        <v>0.024</v>
      </c>
      <c r="D68" t="inlineStr">
        <is>
          <t>SE</t>
        </is>
      </c>
      <c r="E68" t="inlineStr">
        <is>
          <t>*LCL LATHAN WOODS DR</t>
        </is>
      </c>
      <c r="F68" t="inlineStr">
        <is>
          <t>OLD CAMDEN</t>
        </is>
      </c>
      <c r="H68">
        <v>999.999</v>
      </c>
      <c r="L68">
        <v>104734401</v>
      </c>
      <c r="M68" t="inlineStr">
        <is>
          <t>5/12/2016</t>
        </is>
      </c>
      <c r="N68">
        <v>21</v>
      </c>
      <c r="O68">
        <v>2</v>
      </c>
      <c r="P68">
        <v>5</v>
      </c>
      <c r="Q68">
        <v>5</v>
      </c>
      <c r="R68" t="inlineStr">
        <is>
          <t>O</t>
        </is>
      </c>
    </row>
    <row r="69">
      <c r="A69" t="inlineStr">
        <is>
          <t>558</t>
        </is>
      </c>
      <c r="B69" t="inlineStr">
        <is>
          <t>TOM BOYD</t>
        </is>
      </c>
      <c r="C69">
        <v>0.0</v>
      </c>
      <c r="E69" t="inlineStr">
        <is>
          <t>OLD CAMDEN</t>
        </is>
      </c>
      <c r="F69" t="inlineStr">
        <is>
          <t>SIKES MILL</t>
        </is>
      </c>
      <c r="H69">
        <v>999.999</v>
      </c>
      <c r="L69">
        <v>105415127</v>
      </c>
      <c r="M69" t="inlineStr">
        <is>
          <t>3/12/2018</t>
        </is>
      </c>
      <c r="N69">
        <v>30</v>
      </c>
      <c r="O69">
        <v>2</v>
      </c>
      <c r="P69">
        <v>7</v>
      </c>
      <c r="Q69">
        <v>1</v>
      </c>
      <c r="R69" t="inlineStr">
        <is>
          <t>C</t>
        </is>
      </c>
    </row>
    <row r="70">
      <c r="A70" t="inlineStr">
        <is>
          <t>558</t>
        </is>
      </c>
      <c r="B70" t="inlineStr">
        <is>
          <t>TOM BOYD</t>
        </is>
      </c>
      <c r="C70">
        <v>0.16</v>
      </c>
      <c r="D70" t="inlineStr">
        <is>
          <t>NE</t>
        </is>
      </c>
      <c r="E70" t="inlineStr">
        <is>
          <t>OLD CAMDEN</t>
        </is>
      </c>
      <c r="F70" t="inlineStr">
        <is>
          <t>*LCL LATHAM WOODS DR</t>
        </is>
      </c>
      <c r="H70">
        <v>999.999</v>
      </c>
      <c r="L70">
        <v>106910957</v>
      </c>
      <c r="M70" t="inlineStr">
        <is>
          <t>4/4/2022</t>
        </is>
      </c>
      <c r="N70">
        <v>17</v>
      </c>
      <c r="O70">
        <v>1</v>
      </c>
      <c r="P70">
        <v>0</v>
      </c>
      <c r="Q70">
        <v>5</v>
      </c>
      <c r="R70" t="inlineStr">
        <is>
          <t>O</t>
        </is>
      </c>
    </row>
    <row r="71">
      <c r="A71" t="inlineStr">
        <is>
          <t>558</t>
        </is>
      </c>
      <c r="B71" t="inlineStr">
        <is>
          <t>TOM BOYD</t>
        </is>
      </c>
      <c r="C71">
        <v>0.36</v>
      </c>
      <c r="D71" t="inlineStr">
        <is>
          <t>E</t>
        </is>
      </c>
      <c r="E71" t="inlineStr">
        <is>
          <t>OLD CAMDEN</t>
        </is>
      </c>
      <c r="F71" t="inlineStr">
        <is>
          <t>SIKES MILL</t>
        </is>
      </c>
      <c r="H71">
        <v>999.999</v>
      </c>
      <c r="L71">
        <v>108277405</v>
      </c>
      <c r="M71" t="inlineStr">
        <is>
          <t>10/24/2025</t>
        </is>
      </c>
      <c r="N71">
        <v>17</v>
      </c>
      <c r="O71">
        <v>1</v>
      </c>
      <c r="P71">
        <v>0</v>
      </c>
      <c r="Q71">
        <v>3</v>
      </c>
      <c r="R71" t="inlineStr">
        <is>
          <t>B</t>
        </is>
      </c>
    </row>
    <row r="72">
      <c r="A72" t="inlineStr">
        <is>
          <t>558</t>
        </is>
      </c>
      <c r="B72" t="inlineStr">
        <is>
          <t>TOM BOYD</t>
        </is>
      </c>
      <c r="C72">
        <v>0.29</v>
      </c>
      <c r="D72" t="inlineStr">
        <is>
          <t>SE</t>
        </is>
      </c>
      <c r="E72" t="inlineStr">
        <is>
          <t>SIKES MILL</t>
        </is>
      </c>
      <c r="F72" t="inlineStr">
        <is>
          <t>OLD CAMDEN</t>
        </is>
      </c>
      <c r="H72">
        <v>999.999</v>
      </c>
      <c r="L72">
        <v>107906736</v>
      </c>
      <c r="M72" t="inlineStr">
        <is>
          <t>10/28/2024</t>
        </is>
      </c>
      <c r="N72">
        <v>17</v>
      </c>
      <c r="O72">
        <v>1</v>
      </c>
      <c r="P72">
        <v>0</v>
      </c>
      <c r="Q72">
        <v>5</v>
      </c>
      <c r="R72" t="inlineStr">
        <is>
          <t>O</t>
        </is>
      </c>
    </row>
    <row r="73">
      <c r="A73" t="inlineStr">
        <is>
          <t>558</t>
        </is>
      </c>
      <c r="B73" t="inlineStr">
        <is>
          <t>TOM BOYD</t>
        </is>
      </c>
      <c r="C73">
        <v>0.011</v>
      </c>
      <c r="D73" t="inlineStr">
        <is>
          <t>S</t>
        </is>
      </c>
      <c r="E73" t="inlineStr">
        <is>
          <t>UNIONVILLE</t>
        </is>
      </c>
      <c r="F73" t="inlineStr">
        <is>
          <t>SIKES MILL</t>
        </is>
      </c>
      <c r="H73">
        <v>999.999</v>
      </c>
      <c r="L73">
        <v>105230136</v>
      </c>
      <c r="M73" t="inlineStr">
        <is>
          <t>9/19/2017</t>
        </is>
      </c>
      <c r="N73">
        <v>13</v>
      </c>
      <c r="O73">
        <v>1</v>
      </c>
      <c r="P73">
        <v>8</v>
      </c>
      <c r="Q73">
        <v>1</v>
      </c>
      <c r="R73" t="inlineStr">
        <is>
          <t>O</t>
        </is>
      </c>
    </row>
    <row r="74">
      <c r="A74" t="inlineStr">
        <is>
          <t>558</t>
        </is>
      </c>
      <c r="B74" t="inlineStr">
        <is>
          <t>LAWYERS</t>
        </is>
      </c>
      <c r="C74">
        <v>0.005</v>
      </c>
      <c r="D74" t="inlineStr">
        <is>
          <t>SE</t>
        </is>
      </c>
      <c r="E74" t="inlineStr">
        <is>
          <t>SIKES MILL</t>
        </is>
      </c>
      <c r="F74" t="inlineStr">
        <is>
          <t>OLD CAMDEN</t>
        </is>
      </c>
      <c r="G74" t="inlineStr">
        <is>
          <t>LAWYERS</t>
        </is>
      </c>
      <c r="H74">
        <v>999.999</v>
      </c>
      <c r="L74">
        <v>107493499</v>
      </c>
      <c r="M74" t="inlineStr">
        <is>
          <t>10/18/2023</t>
        </is>
      </c>
      <c r="N74">
        <v>21</v>
      </c>
      <c r="O74">
        <v>1</v>
      </c>
      <c r="P74">
        <v>10</v>
      </c>
      <c r="Q74">
        <v>1</v>
      </c>
      <c r="R74" t="inlineStr">
        <is>
          <t>O</t>
        </is>
      </c>
    </row>
    <row r="75">
      <c r="A75" t="inlineStr">
        <is>
          <t>558</t>
        </is>
      </c>
      <c r="B75" t="inlineStr">
        <is>
          <t>LOVE MILL</t>
        </is>
      </c>
      <c r="C75">
        <v>0.41</v>
      </c>
      <c r="D75" t="inlineStr">
        <is>
          <t>S</t>
        </is>
      </c>
      <c r="E75" t="inlineStr">
        <is>
          <t>BRIEF</t>
        </is>
      </c>
      <c r="F75" t="inlineStr">
        <is>
          <t>NC 218</t>
        </is>
      </c>
      <c r="G75" t="inlineStr">
        <is>
          <t>LOVE MILL</t>
        </is>
      </c>
      <c r="H75">
        <v>999.999</v>
      </c>
      <c r="L75">
        <v>108330211</v>
      </c>
      <c r="M75" t="inlineStr">
        <is>
          <t>12/4/2025</t>
        </is>
      </c>
      <c r="N75">
        <v>17</v>
      </c>
      <c r="O75">
        <v>1</v>
      </c>
      <c r="P75">
        <v>0</v>
      </c>
      <c r="Q75">
        <v>5</v>
      </c>
      <c r="R75" t="inlineStr">
        <is>
          <t>O</t>
        </is>
      </c>
    </row>
    <row r="76">
      <c r="A76" t="inlineStr">
        <is>
          <t>558</t>
        </is>
      </c>
      <c r="B76" t="inlineStr">
        <is>
          <t>LOVE MILL</t>
        </is>
      </c>
      <c r="C76">
        <v>0.005</v>
      </c>
      <c r="D76" t="inlineStr">
        <is>
          <t>E</t>
        </is>
      </c>
      <c r="E76" t="inlineStr">
        <is>
          <t>SIKES MILL</t>
        </is>
      </c>
      <c r="F76" t="inlineStr">
        <is>
          <t>PIEDMONT SCHOOL</t>
        </is>
      </c>
      <c r="G76" t="inlineStr">
        <is>
          <t>LOVE MILL</t>
        </is>
      </c>
      <c r="H76">
        <v>999.999</v>
      </c>
      <c r="L76">
        <v>107319671</v>
      </c>
      <c r="M76" t="inlineStr">
        <is>
          <t>4/19/2023</t>
        </is>
      </c>
      <c r="N76">
        <v>21</v>
      </c>
      <c r="O76">
        <v>1</v>
      </c>
      <c r="P76">
        <v>10</v>
      </c>
      <c r="Q76">
        <v>1</v>
      </c>
      <c r="R76" t="inlineStr">
        <is>
          <t>O</t>
        </is>
      </c>
    </row>
    <row r="77">
      <c r="A77" t="inlineStr">
        <is>
          <t>558</t>
        </is>
      </c>
      <c r="B77" t="inlineStr">
        <is>
          <t>LOVE MILL</t>
        </is>
      </c>
      <c r="C77">
        <v>0.19</v>
      </c>
      <c r="D77" t="inlineStr">
        <is>
          <t>NE</t>
        </is>
      </c>
      <c r="E77" t="inlineStr">
        <is>
          <t>SIKES MILL</t>
        </is>
      </c>
      <c r="F77" t="inlineStr">
        <is>
          <t>PIEDMONT SCHOOL</t>
        </is>
      </c>
      <c r="G77" t="inlineStr">
        <is>
          <t>LOVE MILL</t>
        </is>
      </c>
      <c r="H77">
        <v>999.999</v>
      </c>
      <c r="L77">
        <v>107148213</v>
      </c>
      <c r="M77" t="inlineStr">
        <is>
          <t>11/16/2022</t>
        </is>
      </c>
      <c r="N77">
        <v>21</v>
      </c>
      <c r="O77">
        <v>1</v>
      </c>
      <c r="P77">
        <v>0</v>
      </c>
      <c r="Q77">
        <v>1</v>
      </c>
      <c r="R77" t="inlineStr">
        <is>
          <t>O</t>
        </is>
      </c>
    </row>
    <row r="78">
      <c r="A78" t="inlineStr">
        <is>
          <t>558</t>
        </is>
      </c>
      <c r="B78" t="inlineStr">
        <is>
          <t>LOVE MILL</t>
        </is>
      </c>
      <c r="C78">
        <v>0.2</v>
      </c>
      <c r="D78" t="inlineStr">
        <is>
          <t>NE</t>
        </is>
      </c>
      <c r="E78" t="inlineStr">
        <is>
          <t>SIKES MILL</t>
        </is>
      </c>
      <c r="F78" t="inlineStr">
        <is>
          <t>*LCL PURSER RUSHING RD</t>
        </is>
      </c>
      <c r="G78" t="inlineStr">
        <is>
          <t>LOVE MILL</t>
        </is>
      </c>
      <c r="H78">
        <v>999.999</v>
      </c>
      <c r="L78">
        <v>105536078</v>
      </c>
      <c r="M78" t="inlineStr">
        <is>
          <t>7/9/2018</t>
        </is>
      </c>
      <c r="N78">
        <v>17</v>
      </c>
      <c r="O78">
        <v>1</v>
      </c>
      <c r="P78">
        <v>0</v>
      </c>
      <c r="Q78">
        <v>2</v>
      </c>
      <c r="R78" t="inlineStr">
        <is>
          <t>O</t>
        </is>
      </c>
    </row>
    <row r="79">
      <c r="A79" t="inlineStr">
        <is>
          <t>558</t>
        </is>
      </c>
      <c r="B79" t="inlineStr">
        <is>
          <t>NC 200</t>
        </is>
      </c>
      <c r="C79">
        <v>0.0</v>
      </c>
      <c r="E79" t="inlineStr">
        <is>
          <t>SR 1606</t>
        </is>
      </c>
      <c r="F79" t="inlineStr">
        <is>
          <t>SR 1633</t>
        </is>
      </c>
      <c r="G79" t="inlineStr">
        <is>
          <t>NC 200</t>
        </is>
      </c>
      <c r="H79">
        <v>25.69</v>
      </c>
      <c r="L79">
        <v>107224951</v>
      </c>
      <c r="M79" t="inlineStr">
        <is>
          <t>1/22/2023</t>
        </is>
      </c>
      <c r="N79">
        <v>23</v>
      </c>
      <c r="O79">
        <v>2</v>
      </c>
      <c r="P79">
        <v>7</v>
      </c>
      <c r="Q79">
        <v>5</v>
      </c>
      <c r="R79" t="inlineStr">
        <is>
          <t>O</t>
        </is>
      </c>
    </row>
    <row r="80">
      <c r="A80" t="inlineStr">
        <is>
          <t>558</t>
        </is>
      </c>
      <c r="B80" t="inlineStr">
        <is>
          <t>NC 200</t>
        </is>
      </c>
      <c r="C80">
        <v>0.0</v>
      </c>
      <c r="E80" t="inlineStr">
        <is>
          <t>SR 1606</t>
        </is>
      </c>
      <c r="F80" t="inlineStr">
        <is>
          <t>SR 1633</t>
        </is>
      </c>
      <c r="G80" t="inlineStr">
        <is>
          <t>NC 200</t>
        </is>
      </c>
      <c r="H80">
        <v>25.69</v>
      </c>
      <c r="L80">
        <v>106326117</v>
      </c>
      <c r="M80" t="inlineStr">
        <is>
          <t>9/2/2020</t>
        </is>
      </c>
      <c r="N80">
        <v>30</v>
      </c>
      <c r="O80">
        <v>1</v>
      </c>
      <c r="P80">
        <v>7</v>
      </c>
      <c r="Q80">
        <v>1</v>
      </c>
      <c r="R80" t="inlineStr">
        <is>
          <t>B</t>
        </is>
      </c>
    </row>
    <row r="81">
      <c r="A81" t="inlineStr">
        <is>
          <t>0</t>
        </is>
      </c>
      <c r="B81" t="inlineStr">
        <is>
          <t>NC 200</t>
        </is>
      </c>
      <c r="C81">
        <v>0.0</v>
      </c>
      <c r="E81" t="inlineStr">
        <is>
          <t>SR 1606</t>
        </is>
      </c>
      <c r="F81" t="inlineStr">
        <is>
          <t>SR 1627</t>
        </is>
      </c>
      <c r="G81" t="inlineStr">
        <is>
          <t>NC 200</t>
        </is>
      </c>
      <c r="H81">
        <v>25.69</v>
      </c>
      <c r="L81">
        <v>106253848</v>
      </c>
      <c r="M81" t="inlineStr">
        <is>
          <t>6/12/2020</t>
        </is>
      </c>
      <c r="N81">
        <v>23</v>
      </c>
      <c r="O81">
        <v>1</v>
      </c>
      <c r="P81">
        <v>7</v>
      </c>
      <c r="Q81">
        <v>1</v>
      </c>
      <c r="R81" t="inlineStr">
        <is>
          <t>O</t>
        </is>
      </c>
    </row>
    <row r="82">
      <c r="A82" t="inlineStr">
        <is>
          <t>558</t>
        </is>
      </c>
      <c r="B82" t="inlineStr">
        <is>
          <t>NC 200</t>
        </is>
      </c>
      <c r="C82">
        <v>0.0</v>
      </c>
      <c r="E82" t="inlineStr">
        <is>
          <t>SR 1606</t>
        </is>
      </c>
      <c r="F82" t="inlineStr">
        <is>
          <t>SR 1633</t>
        </is>
      </c>
      <c r="G82" t="inlineStr">
        <is>
          <t>NC 200</t>
        </is>
      </c>
      <c r="H82">
        <v>25.69</v>
      </c>
      <c r="L82">
        <v>105848333</v>
      </c>
      <c r="M82" t="inlineStr">
        <is>
          <t>4/26/2019</t>
        </is>
      </c>
      <c r="N82">
        <v>30</v>
      </c>
      <c r="O82">
        <v>1</v>
      </c>
      <c r="P82">
        <v>7</v>
      </c>
      <c r="Q82">
        <v>1</v>
      </c>
      <c r="R82" t="inlineStr">
        <is>
          <t>O</t>
        </is>
      </c>
    </row>
    <row r="83">
      <c r="A83" t="inlineStr">
        <is>
          <t>558</t>
        </is>
      </c>
      <c r="B83" t="inlineStr">
        <is>
          <t>NC 200</t>
        </is>
      </c>
      <c r="C83">
        <v>0.0</v>
      </c>
      <c r="E83" t="inlineStr">
        <is>
          <t>SR 1606</t>
        </is>
      </c>
      <c r="F83" t="inlineStr">
        <is>
          <t>SR 1633</t>
        </is>
      </c>
      <c r="G83" t="inlineStr">
        <is>
          <t>NC 200</t>
        </is>
      </c>
      <c r="H83">
        <v>25.69</v>
      </c>
      <c r="L83">
        <v>105422803</v>
      </c>
      <c r="M83" t="inlineStr">
        <is>
          <t>3/19/2018</t>
        </is>
      </c>
      <c r="N83">
        <v>19</v>
      </c>
      <c r="O83">
        <v>1</v>
      </c>
      <c r="P83">
        <v>7</v>
      </c>
      <c r="Q83">
        <v>1</v>
      </c>
      <c r="R83" t="inlineStr">
        <is>
          <t>O</t>
        </is>
      </c>
    </row>
    <row r="84">
      <c r="A84" t="inlineStr">
        <is>
          <t>558</t>
        </is>
      </c>
      <c r="B84" t="inlineStr">
        <is>
          <t>NC 200</t>
        </is>
      </c>
      <c r="C84">
        <v>0.01</v>
      </c>
      <c r="D84" t="inlineStr">
        <is>
          <t>N</t>
        </is>
      </c>
      <c r="E84" t="inlineStr">
        <is>
          <t>SR 1606</t>
        </is>
      </c>
      <c r="F84" t="inlineStr">
        <is>
          <t>SR 1637</t>
        </is>
      </c>
      <c r="G84" t="inlineStr">
        <is>
          <t>NC 200</t>
        </is>
      </c>
      <c r="H84">
        <v>25.7</v>
      </c>
      <c r="L84">
        <v>107859973</v>
      </c>
      <c r="M84" t="inlineStr">
        <is>
          <t>9/19/2024</t>
        </is>
      </c>
      <c r="N84">
        <v>19</v>
      </c>
      <c r="O84">
        <v>1</v>
      </c>
      <c r="P84">
        <v>0</v>
      </c>
      <c r="Q84">
        <v>1</v>
      </c>
      <c r="R84" t="inlineStr">
        <is>
          <t>B</t>
        </is>
      </c>
    </row>
    <row r="85">
      <c r="A85" t="inlineStr">
        <is>
          <t>637</t>
        </is>
      </c>
      <c r="B85" t="inlineStr">
        <is>
          <t>NC 218</t>
        </is>
      </c>
      <c r="C85">
        <v>0.019</v>
      </c>
      <c r="D85" t="inlineStr">
        <is>
          <t>W</t>
        </is>
      </c>
      <c r="E85" t="inlineStr">
        <is>
          <t>SIKES MILL</t>
        </is>
      </c>
      <c r="F85" t="inlineStr">
        <is>
          <t>MILL CREEK CHUR</t>
        </is>
      </c>
      <c r="G85" t="inlineStr">
        <is>
          <t>NC 218</t>
        </is>
      </c>
      <c r="H85">
        <v>8.063</v>
      </c>
      <c r="L85">
        <v>108436294</v>
      </c>
      <c r="M85" t="inlineStr">
        <is>
          <t>3/15/2026</t>
        </is>
      </c>
      <c r="N85">
        <v>21</v>
      </c>
      <c r="O85">
        <v>1</v>
      </c>
      <c r="P85">
        <v>0</v>
      </c>
      <c r="Q85">
        <v>1</v>
      </c>
      <c r="R85" t="inlineStr">
        <is>
          <t>O</t>
        </is>
      </c>
    </row>
    <row r="86">
      <c r="A86" t="inlineStr">
        <is>
          <t>637</t>
        </is>
      </c>
      <c r="B86" t="inlineStr">
        <is>
          <t>NC 218</t>
        </is>
      </c>
      <c r="C86">
        <v>0.009</v>
      </c>
      <c r="D86" t="inlineStr">
        <is>
          <t>W</t>
        </is>
      </c>
      <c r="E86" t="inlineStr">
        <is>
          <t>SIKES MILL</t>
        </is>
      </c>
      <c r="F86" t="inlineStr">
        <is>
          <t>*LCL CROOKED CREEK CH RD</t>
        </is>
      </c>
      <c r="G86" t="inlineStr">
        <is>
          <t>NC 218</t>
        </is>
      </c>
      <c r="H86">
        <v>8.073</v>
      </c>
      <c r="L86">
        <v>107209411</v>
      </c>
      <c r="M86" t="inlineStr">
        <is>
          <t>1/11/2023</t>
        </is>
      </c>
      <c r="N86">
        <v>21</v>
      </c>
      <c r="O86">
        <v>1</v>
      </c>
      <c r="P86">
        <v>12</v>
      </c>
      <c r="Q86">
        <v>1</v>
      </c>
      <c r="R86" t="inlineStr">
        <is>
          <t>C</t>
        </is>
      </c>
    </row>
    <row r="87">
      <c r="A87" t="inlineStr">
        <is>
          <t>637</t>
        </is>
      </c>
      <c r="B87" t="inlineStr">
        <is>
          <t>NC 218</t>
        </is>
      </c>
      <c r="C87">
        <v>0.003</v>
      </c>
      <c r="D87" t="inlineStr">
        <is>
          <t>W</t>
        </is>
      </c>
      <c r="E87" t="inlineStr">
        <is>
          <t>SIKES MILL</t>
        </is>
      </c>
      <c r="F87" t="inlineStr">
        <is>
          <t>CROOKED CRK CH</t>
        </is>
      </c>
      <c r="G87" t="inlineStr">
        <is>
          <t>NC 218</t>
        </is>
      </c>
      <c r="H87">
        <v>8.079</v>
      </c>
      <c r="L87">
        <v>107321738</v>
      </c>
      <c r="M87" t="inlineStr">
        <is>
          <t>5/1/2023</t>
        </is>
      </c>
      <c r="N87">
        <v>21</v>
      </c>
      <c r="O87">
        <v>1</v>
      </c>
      <c r="P87">
        <v>7</v>
      </c>
      <c r="Q87">
        <v>1</v>
      </c>
      <c r="R87" t="inlineStr">
        <is>
          <t>C</t>
        </is>
      </c>
    </row>
    <row r="88">
      <c r="A88" t="inlineStr">
        <is>
          <t>637</t>
        </is>
      </c>
      <c r="B88" t="inlineStr">
        <is>
          <t>NC 218</t>
        </is>
      </c>
      <c r="C88">
        <v>0.001</v>
      </c>
      <c r="D88" t="inlineStr">
        <is>
          <t>W</t>
        </is>
      </c>
      <c r="E88" t="inlineStr">
        <is>
          <t>SR 1606</t>
        </is>
      </c>
      <c r="F88" t="inlineStr">
        <is>
          <t>SR 1609</t>
        </is>
      </c>
      <c r="G88" t="inlineStr">
        <is>
          <t>NC 218</t>
        </is>
      </c>
      <c r="H88">
        <v>8.081</v>
      </c>
      <c r="L88">
        <v>104866396</v>
      </c>
      <c r="M88" t="inlineStr">
        <is>
          <t>9/30/2016</t>
        </is>
      </c>
      <c r="N88">
        <v>32</v>
      </c>
      <c r="O88">
        <v>1</v>
      </c>
      <c r="P88">
        <v>7</v>
      </c>
      <c r="Q88">
        <v>5</v>
      </c>
      <c r="R88" t="inlineStr">
        <is>
          <t>O</t>
        </is>
      </c>
    </row>
    <row r="89">
      <c r="A89" t="inlineStr">
        <is>
          <t>637</t>
        </is>
      </c>
      <c r="B89" t="inlineStr">
        <is>
          <t>NC 218</t>
        </is>
      </c>
      <c r="C89">
        <v>0.0</v>
      </c>
      <c r="E89" t="inlineStr">
        <is>
          <t>SIKES MILL</t>
        </is>
      </c>
      <c r="F89" t="inlineStr">
        <is>
          <t>*LCL OLD FISH RD</t>
        </is>
      </c>
      <c r="G89" t="inlineStr">
        <is>
          <t>NC 218</t>
        </is>
      </c>
      <c r="H89">
        <v>8.082</v>
      </c>
      <c r="L89">
        <v>108486827</v>
      </c>
      <c r="M89" t="inlineStr">
        <is>
          <t>5/4/2026</t>
        </is>
      </c>
      <c r="N89">
        <v>28</v>
      </c>
      <c r="O89">
        <v>1</v>
      </c>
      <c r="P89">
        <v>10</v>
      </c>
      <c r="Q89">
        <v>1</v>
      </c>
      <c r="R89" t="inlineStr">
        <is>
          <t>O</t>
        </is>
      </c>
    </row>
    <row r="90">
      <c r="A90" t="inlineStr">
        <is>
          <t>637</t>
        </is>
      </c>
      <c r="B90" t="inlineStr">
        <is>
          <t>NC 218</t>
        </is>
      </c>
      <c r="C90">
        <v>0.0</v>
      </c>
      <c r="E90" t="inlineStr">
        <is>
          <t>SIKES MILL</t>
        </is>
      </c>
      <c r="F90" t="inlineStr">
        <is>
          <t>BRIEF</t>
        </is>
      </c>
      <c r="G90" t="inlineStr">
        <is>
          <t>NC 218</t>
        </is>
      </c>
      <c r="H90">
        <v>8.082</v>
      </c>
      <c r="L90">
        <v>107751347</v>
      </c>
      <c r="M90" t="inlineStr">
        <is>
          <t>6/14/2024</t>
        </is>
      </c>
      <c r="N90">
        <v>24</v>
      </c>
      <c r="O90">
        <v>1</v>
      </c>
      <c r="P90">
        <v>7</v>
      </c>
      <c r="Q90">
        <v>1</v>
      </c>
      <c r="R90" t="inlineStr">
        <is>
          <t>C</t>
        </is>
      </c>
    </row>
    <row r="91">
      <c r="A91" t="inlineStr">
        <is>
          <t>637</t>
        </is>
      </c>
      <c r="B91" t="inlineStr">
        <is>
          <t>NC 218</t>
        </is>
      </c>
      <c r="C91">
        <v>0.0</v>
      </c>
      <c r="E91" t="inlineStr">
        <is>
          <t>SIKES MILL</t>
        </is>
      </c>
      <c r="F91" t="inlineStr">
        <is>
          <t>BRIEF</t>
        </is>
      </c>
      <c r="G91" t="inlineStr">
        <is>
          <t>NC 218</t>
        </is>
      </c>
      <c r="H91">
        <v>8.082</v>
      </c>
      <c r="L91">
        <v>107705518</v>
      </c>
      <c r="M91" t="inlineStr">
        <is>
          <t>5/1/2024</t>
        </is>
      </c>
      <c r="N91">
        <v>23</v>
      </c>
      <c r="O91">
        <v>1</v>
      </c>
      <c r="P91">
        <v>7</v>
      </c>
      <c r="Q91">
        <v>1</v>
      </c>
      <c r="R91" t="inlineStr">
        <is>
          <t>C</t>
        </is>
      </c>
    </row>
    <row r="92">
      <c r="A92" t="inlineStr">
        <is>
          <t>637</t>
        </is>
      </c>
      <c r="B92" t="inlineStr">
        <is>
          <t>NC 218</t>
        </is>
      </c>
      <c r="C92">
        <v>0.0</v>
      </c>
      <c r="E92" t="inlineStr">
        <is>
          <t>SIKES MILL</t>
        </is>
      </c>
      <c r="F92" t="inlineStr">
        <is>
          <t>BRIEF</t>
        </is>
      </c>
      <c r="G92" t="inlineStr">
        <is>
          <t>NC 218</t>
        </is>
      </c>
      <c r="H92">
        <v>8.082</v>
      </c>
      <c r="L92">
        <v>107183135</v>
      </c>
      <c r="M92" t="inlineStr">
        <is>
          <t>12/16/2022</t>
        </is>
      </c>
      <c r="N92">
        <v>30</v>
      </c>
      <c r="O92">
        <v>1</v>
      </c>
      <c r="P92">
        <v>7</v>
      </c>
      <c r="Q92">
        <v>1</v>
      </c>
      <c r="R92" t="inlineStr">
        <is>
          <t>O</t>
        </is>
      </c>
    </row>
    <row r="93">
      <c r="A93" t="inlineStr">
        <is>
          <t>637</t>
        </is>
      </c>
      <c r="B93" t="inlineStr">
        <is>
          <t>NC 218</t>
        </is>
      </c>
      <c r="C93">
        <v>0.0</v>
      </c>
      <c r="E93" t="inlineStr">
        <is>
          <t>SIKES MILL</t>
        </is>
      </c>
      <c r="F93" t="inlineStr">
        <is>
          <t>BRIEF</t>
        </is>
      </c>
      <c r="G93" t="inlineStr">
        <is>
          <t>NC 218</t>
        </is>
      </c>
      <c r="H93">
        <v>8.082</v>
      </c>
      <c r="L93">
        <v>107035876</v>
      </c>
      <c r="M93" t="inlineStr">
        <is>
          <t>8/4/2022</t>
        </is>
      </c>
      <c r="N93">
        <v>30</v>
      </c>
      <c r="O93">
        <v>1</v>
      </c>
      <c r="P93">
        <v>7</v>
      </c>
      <c r="Q93">
        <v>1</v>
      </c>
      <c r="R93" t="inlineStr">
        <is>
          <t>C</t>
        </is>
      </c>
    </row>
    <row r="94">
      <c r="A94" t="inlineStr">
        <is>
          <t>0</t>
        </is>
      </c>
      <c r="B94" t="inlineStr">
        <is>
          <t>NC 218</t>
        </is>
      </c>
      <c r="C94">
        <v>0.0</v>
      </c>
      <c r="E94" t="inlineStr">
        <is>
          <t>SR 1606</t>
        </is>
      </c>
      <c r="F94" t="inlineStr">
        <is>
          <t>SR 1547</t>
        </is>
      </c>
      <c r="G94" t="inlineStr">
        <is>
          <t>NC 218</t>
        </is>
      </c>
      <c r="H94">
        <v>8.082</v>
      </c>
      <c r="L94">
        <v>107659355</v>
      </c>
      <c r="M94" t="inlineStr">
        <is>
          <t>3/16/2024</t>
        </is>
      </c>
      <c r="N94">
        <v>30</v>
      </c>
      <c r="O94">
        <v>1</v>
      </c>
      <c r="P94">
        <v>7</v>
      </c>
      <c r="Q94">
        <v>1</v>
      </c>
      <c r="R94" t="inlineStr">
        <is>
          <t>O</t>
        </is>
      </c>
    </row>
    <row r="95">
      <c r="A95" t="inlineStr">
        <is>
          <t>0</t>
        </is>
      </c>
      <c r="B95" t="inlineStr">
        <is>
          <t>NC 218</t>
        </is>
      </c>
      <c r="C95">
        <v>0.0</v>
      </c>
      <c r="E95" t="inlineStr">
        <is>
          <t>SR 1606</t>
        </is>
      </c>
      <c r="F95" t="inlineStr">
        <is>
          <t>SR 1001</t>
        </is>
      </c>
      <c r="G95" t="inlineStr">
        <is>
          <t>NC 218</t>
        </is>
      </c>
      <c r="H95">
        <v>8.082</v>
      </c>
      <c r="L95">
        <v>107194746</v>
      </c>
      <c r="M95" t="inlineStr">
        <is>
          <t>12/27/2022</t>
        </is>
      </c>
      <c r="N95">
        <v>21</v>
      </c>
      <c r="O95">
        <v>1</v>
      </c>
      <c r="P95">
        <v>7</v>
      </c>
      <c r="Q95">
        <v>5</v>
      </c>
      <c r="R95" t="inlineStr">
        <is>
          <t>C</t>
        </is>
      </c>
    </row>
    <row r="96">
      <c r="A96" t="inlineStr">
        <is>
          <t>0</t>
        </is>
      </c>
      <c r="B96" t="inlineStr">
        <is>
          <t>NC 218</t>
        </is>
      </c>
      <c r="C96">
        <v>0.0</v>
      </c>
      <c r="E96" t="inlineStr">
        <is>
          <t>SR 1606</t>
        </is>
      </c>
      <c r="F96" t="inlineStr">
        <is>
          <t>SR 1610</t>
        </is>
      </c>
      <c r="G96" t="inlineStr">
        <is>
          <t>NC 218</t>
        </is>
      </c>
      <c r="H96">
        <v>8.082</v>
      </c>
      <c r="L96">
        <v>107139136</v>
      </c>
      <c r="M96" t="inlineStr">
        <is>
          <t>11/7/2022</t>
        </is>
      </c>
      <c r="N96">
        <v>30</v>
      </c>
      <c r="O96">
        <v>1</v>
      </c>
      <c r="P96">
        <v>7</v>
      </c>
      <c r="Q96">
        <v>5</v>
      </c>
      <c r="R96" t="inlineStr">
        <is>
          <t>O</t>
        </is>
      </c>
    </row>
    <row r="97">
      <c r="A97" t="inlineStr">
        <is>
          <t>637</t>
        </is>
      </c>
      <c r="B97" t="inlineStr">
        <is>
          <t>NC 218</t>
        </is>
      </c>
      <c r="C97">
        <v>0.0</v>
      </c>
      <c r="E97" t="inlineStr">
        <is>
          <t>SR 1606</t>
        </is>
      </c>
      <c r="F97" t="inlineStr">
        <is>
          <t>SR 1547</t>
        </is>
      </c>
      <c r="G97" t="inlineStr">
        <is>
          <t>NC 218</t>
        </is>
      </c>
      <c r="H97">
        <v>8.082</v>
      </c>
      <c r="L97">
        <v>107122762</v>
      </c>
      <c r="M97" t="inlineStr">
        <is>
          <t>10/20/2022</t>
        </is>
      </c>
      <c r="N97">
        <v>30</v>
      </c>
      <c r="O97">
        <v>1</v>
      </c>
      <c r="P97">
        <v>7</v>
      </c>
      <c r="Q97">
        <v>1</v>
      </c>
      <c r="R97" t="inlineStr">
        <is>
          <t>O</t>
        </is>
      </c>
    </row>
    <row r="98">
      <c r="A98" t="inlineStr">
        <is>
          <t>637</t>
        </is>
      </c>
      <c r="B98" t="inlineStr">
        <is>
          <t>NC 218</t>
        </is>
      </c>
      <c r="C98">
        <v>0.0</v>
      </c>
      <c r="E98" t="inlineStr">
        <is>
          <t>SR 1606</t>
        </is>
      </c>
      <c r="F98" t="inlineStr">
        <is>
          <t>SR 1609</t>
        </is>
      </c>
      <c r="G98" t="inlineStr">
        <is>
          <t>NC 218</t>
        </is>
      </c>
      <c r="H98">
        <v>8.082</v>
      </c>
      <c r="L98">
        <v>106620331</v>
      </c>
      <c r="M98" t="inlineStr">
        <is>
          <t>6/24/2021</t>
        </is>
      </c>
      <c r="N98">
        <v>30</v>
      </c>
      <c r="O98">
        <v>1</v>
      </c>
      <c r="P98">
        <v>7</v>
      </c>
      <c r="Q98">
        <v>1</v>
      </c>
      <c r="R98" t="inlineStr">
        <is>
          <t>A</t>
        </is>
      </c>
    </row>
    <row r="99">
      <c r="A99" t="inlineStr">
        <is>
          <t>0</t>
        </is>
      </c>
      <c r="B99" t="inlineStr">
        <is>
          <t>NC 218</t>
        </is>
      </c>
      <c r="C99">
        <v>0.0</v>
      </c>
      <c r="E99" t="inlineStr">
        <is>
          <t>SR 1606</t>
        </is>
      </c>
      <c r="F99" t="inlineStr">
        <is>
          <t>SR 1547</t>
        </is>
      </c>
      <c r="G99" t="inlineStr">
        <is>
          <t>NC 218</t>
        </is>
      </c>
      <c r="H99">
        <v>8.082</v>
      </c>
      <c r="L99">
        <v>105491727</v>
      </c>
      <c r="M99" t="inlineStr">
        <is>
          <t>5/23/2018</t>
        </is>
      </c>
      <c r="N99">
        <v>24</v>
      </c>
      <c r="O99">
        <v>1</v>
      </c>
      <c r="P99">
        <v>7</v>
      </c>
      <c r="Q99">
        <v>1</v>
      </c>
      <c r="R99" t="inlineStr">
        <is>
          <t>B</t>
        </is>
      </c>
    </row>
    <row r="100">
      <c r="A100" t="inlineStr">
        <is>
          <t>637</t>
        </is>
      </c>
      <c r="B100" t="inlineStr">
        <is>
          <t>NC 218</t>
        </is>
      </c>
      <c r="C100">
        <v>0.0</v>
      </c>
      <c r="E100" t="inlineStr">
        <is>
          <t>SR 1606</t>
        </is>
      </c>
      <c r="F100" t="inlineStr">
        <is>
          <t>SR 1547</t>
        </is>
      </c>
      <c r="G100" t="inlineStr">
        <is>
          <t>NC 218</t>
        </is>
      </c>
      <c r="H100">
        <v>8.082</v>
      </c>
      <c r="L100">
        <v>105344309</v>
      </c>
      <c r="M100" t="inlineStr">
        <is>
          <t>1/6/2018</t>
        </is>
      </c>
      <c r="N100">
        <v>30</v>
      </c>
      <c r="O100">
        <v>1</v>
      </c>
      <c r="P100">
        <v>7</v>
      </c>
      <c r="Q100">
        <v>1</v>
      </c>
      <c r="R100" t="inlineStr">
        <is>
          <t>B</t>
        </is>
      </c>
    </row>
    <row r="101">
      <c r="A101" t="inlineStr">
        <is>
          <t>637</t>
        </is>
      </c>
      <c r="B101" t="inlineStr">
        <is>
          <t>NC 218</t>
        </is>
      </c>
      <c r="C101">
        <v>0.0</v>
      </c>
      <c r="E101" t="inlineStr">
        <is>
          <t>SR 1606</t>
        </is>
      </c>
      <c r="F101" t="inlineStr">
        <is>
          <t>SR 1609</t>
        </is>
      </c>
      <c r="G101" t="inlineStr">
        <is>
          <t>NC 218</t>
        </is>
      </c>
      <c r="H101">
        <v>8.082</v>
      </c>
      <c r="L101">
        <v>105184681</v>
      </c>
      <c r="M101" t="inlineStr">
        <is>
          <t>8/8/2017</t>
        </is>
      </c>
      <c r="N101">
        <v>30</v>
      </c>
      <c r="O101">
        <v>2</v>
      </c>
      <c r="P101">
        <v>7</v>
      </c>
      <c r="Q101">
        <v>1</v>
      </c>
      <c r="R101" t="inlineStr">
        <is>
          <t>C</t>
        </is>
      </c>
    </row>
    <row r="102">
      <c r="A102" t="inlineStr">
        <is>
          <t>0</t>
        </is>
      </c>
      <c r="B102" t="inlineStr">
        <is>
          <t>NC 218</t>
        </is>
      </c>
      <c r="C102">
        <v>0.0</v>
      </c>
      <c r="E102" t="inlineStr">
        <is>
          <t>SR 1606</t>
        </is>
      </c>
      <c r="F102" t="inlineStr">
        <is>
          <t>NC 200</t>
        </is>
      </c>
      <c r="G102" t="inlineStr">
        <is>
          <t>NC 218</t>
        </is>
      </c>
      <c r="H102">
        <v>8.082</v>
      </c>
      <c r="L102">
        <v>105098258</v>
      </c>
      <c r="M102" t="inlineStr">
        <is>
          <t>5/12/2017</t>
        </is>
      </c>
      <c r="N102">
        <v>30</v>
      </c>
      <c r="O102">
        <v>1</v>
      </c>
      <c r="P102">
        <v>7</v>
      </c>
      <c r="Q102">
        <v>1</v>
      </c>
      <c r="R102" t="inlineStr">
        <is>
          <t>O</t>
        </is>
      </c>
    </row>
    <row r="103">
      <c r="A103" t="inlineStr">
        <is>
          <t>558</t>
        </is>
      </c>
      <c r="B103" t="inlineStr">
        <is>
          <t>NC 218</t>
        </is>
      </c>
      <c r="C103">
        <v>0.0</v>
      </c>
      <c r="E103" t="inlineStr">
        <is>
          <t>SR 1606</t>
        </is>
      </c>
      <c r="F103" t="inlineStr">
        <is>
          <t>SR 1547</t>
        </is>
      </c>
      <c r="G103" t="inlineStr">
        <is>
          <t>NC 218</t>
        </is>
      </c>
      <c r="H103">
        <v>8.082</v>
      </c>
      <c r="L103">
        <v>105178395</v>
      </c>
      <c r="M103" t="inlineStr">
        <is>
          <t>7/29/2017</t>
        </is>
      </c>
      <c r="N103">
        <v>30</v>
      </c>
      <c r="O103">
        <v>1</v>
      </c>
      <c r="P103">
        <v>7</v>
      </c>
      <c r="Q103">
        <v>5</v>
      </c>
      <c r="R103" t="inlineStr">
        <is>
          <t>O</t>
        </is>
      </c>
    </row>
    <row r="104">
      <c r="A104" t="inlineStr">
        <is>
          <t>558</t>
        </is>
      </c>
      <c r="B104" t="inlineStr">
        <is>
          <t>NC 218</t>
        </is>
      </c>
      <c r="C104">
        <v>0.0</v>
      </c>
      <c r="E104" t="inlineStr">
        <is>
          <t>SR 1606</t>
        </is>
      </c>
      <c r="F104" t="inlineStr">
        <is>
          <t>SR 1111</t>
        </is>
      </c>
      <c r="G104" t="inlineStr">
        <is>
          <t>NC 218</t>
        </is>
      </c>
      <c r="H104">
        <v>8.082</v>
      </c>
      <c r="L104">
        <v>104905109</v>
      </c>
      <c r="M104" t="inlineStr">
        <is>
          <t>11/6/2016</t>
        </is>
      </c>
      <c r="N104">
        <v>30</v>
      </c>
      <c r="O104">
        <v>1</v>
      </c>
      <c r="P104">
        <v>7</v>
      </c>
      <c r="Q104">
        <v>1</v>
      </c>
      <c r="R104" t="inlineStr">
        <is>
          <t>C</t>
        </is>
      </c>
    </row>
    <row r="105">
      <c r="A105" t="inlineStr">
        <is>
          <t>637</t>
        </is>
      </c>
      <c r="B105" t="inlineStr">
        <is>
          <t>NC 218</t>
        </is>
      </c>
      <c r="C105">
        <v>0.0</v>
      </c>
      <c r="E105" t="inlineStr">
        <is>
          <t>SR 1606</t>
        </is>
      </c>
      <c r="F105" t="inlineStr">
        <is>
          <t>SR 1657</t>
        </is>
      </c>
      <c r="G105" t="inlineStr">
        <is>
          <t>NC 218</t>
        </is>
      </c>
      <c r="H105">
        <v>8.082</v>
      </c>
      <c r="L105">
        <v>104997979</v>
      </c>
      <c r="M105" t="inlineStr">
        <is>
          <t>2/1/2017</t>
        </is>
      </c>
      <c r="N105">
        <v>30</v>
      </c>
      <c r="O105">
        <v>1</v>
      </c>
      <c r="P105">
        <v>7</v>
      </c>
      <c r="Q105">
        <v>5</v>
      </c>
      <c r="R105" t="inlineStr">
        <is>
          <t>B</t>
        </is>
      </c>
    </row>
    <row r="106">
      <c r="A106" t="inlineStr">
        <is>
          <t>637</t>
        </is>
      </c>
      <c r="B106" t="inlineStr">
        <is>
          <t>NC 218</t>
        </is>
      </c>
      <c r="C106">
        <v>0.0</v>
      </c>
      <c r="E106" t="inlineStr">
        <is>
          <t>SR 1606</t>
        </is>
      </c>
      <c r="F106" t="inlineStr">
        <is>
          <t>SR 1609</t>
        </is>
      </c>
      <c r="G106" t="inlineStr">
        <is>
          <t>NC 218</t>
        </is>
      </c>
      <c r="H106">
        <v>8.082</v>
      </c>
      <c r="L106">
        <v>104984617</v>
      </c>
      <c r="M106" t="inlineStr">
        <is>
          <t>1/23/2017</t>
        </is>
      </c>
      <c r="N106">
        <v>30</v>
      </c>
      <c r="O106">
        <v>1</v>
      </c>
      <c r="P106">
        <v>7</v>
      </c>
      <c r="Q106">
        <v>1</v>
      </c>
      <c r="R106" t="inlineStr">
        <is>
          <t>C</t>
        </is>
      </c>
    </row>
    <row r="107">
      <c r="A107" t="inlineStr">
        <is>
          <t>637</t>
        </is>
      </c>
      <c r="B107" t="inlineStr">
        <is>
          <t>NC 218</t>
        </is>
      </c>
      <c r="C107">
        <v>0.0</v>
      </c>
      <c r="E107" t="inlineStr">
        <is>
          <t>SR 1606</t>
        </is>
      </c>
      <c r="F107" t="inlineStr">
        <is>
          <t>SR 1547</t>
        </is>
      </c>
      <c r="G107" t="inlineStr">
        <is>
          <t>NC 218</t>
        </is>
      </c>
      <c r="H107">
        <v>8.082</v>
      </c>
      <c r="L107">
        <v>104866502</v>
      </c>
      <c r="M107" t="inlineStr">
        <is>
          <t>9/30/2016</t>
        </is>
      </c>
      <c r="N107">
        <v>24</v>
      </c>
      <c r="O107">
        <v>1</v>
      </c>
      <c r="P107">
        <v>7</v>
      </c>
      <c r="Q107">
        <v>5</v>
      </c>
      <c r="R107" t="inlineStr">
        <is>
          <t>A</t>
        </is>
      </c>
    </row>
    <row r="108">
      <c r="A108" t="inlineStr">
        <is>
          <t>0</t>
        </is>
      </c>
      <c r="B108" t="inlineStr">
        <is>
          <t>NC 218</t>
        </is>
      </c>
      <c r="C108">
        <v>0.0</v>
      </c>
      <c r="E108" t="inlineStr">
        <is>
          <t>SR 1606</t>
        </is>
      </c>
      <c r="F108" t="inlineStr">
        <is>
          <t>SR 1001</t>
        </is>
      </c>
      <c r="G108" t="inlineStr">
        <is>
          <t>NC 218</t>
        </is>
      </c>
      <c r="H108">
        <v>8.082</v>
      </c>
      <c r="L108">
        <v>104805272</v>
      </c>
      <c r="M108" t="inlineStr">
        <is>
          <t>7/30/2016</t>
        </is>
      </c>
      <c r="N108">
        <v>30</v>
      </c>
      <c r="O108">
        <v>1</v>
      </c>
      <c r="P108">
        <v>7</v>
      </c>
      <c r="Q108">
        <v>1</v>
      </c>
      <c r="R108" t="inlineStr">
        <is>
          <t>C</t>
        </is>
      </c>
    </row>
    <row r="109">
      <c r="A109" t="inlineStr">
        <is>
          <t>637</t>
        </is>
      </c>
      <c r="B109" t="inlineStr">
        <is>
          <t>NC 218</t>
        </is>
      </c>
      <c r="C109">
        <v>0.002</v>
      </c>
      <c r="D109" t="inlineStr">
        <is>
          <t>E</t>
        </is>
      </c>
      <c r="E109" t="inlineStr">
        <is>
          <t>SR 1606</t>
        </is>
      </c>
      <c r="F109" t="inlineStr">
        <is>
          <t>SR 1547</t>
        </is>
      </c>
      <c r="G109" t="inlineStr">
        <is>
          <t>NC 218</t>
        </is>
      </c>
      <c r="H109">
        <v>8.084</v>
      </c>
      <c r="L109">
        <v>105301818</v>
      </c>
      <c r="M109" t="inlineStr">
        <is>
          <t>11/26/2017</t>
        </is>
      </c>
      <c r="N109">
        <v>21</v>
      </c>
      <c r="O109">
        <v>1</v>
      </c>
      <c r="P109">
        <v>0</v>
      </c>
      <c r="Q109">
        <v>5</v>
      </c>
      <c r="R109" t="inlineStr">
        <is>
          <t>C</t>
        </is>
      </c>
    </row>
    <row r="110">
      <c r="A110" t="inlineStr">
        <is>
          <t>637</t>
        </is>
      </c>
      <c r="B110" t="inlineStr">
        <is>
          <t>NC 218</t>
        </is>
      </c>
      <c r="C110">
        <v>0.009</v>
      </c>
      <c r="D110" t="inlineStr">
        <is>
          <t>E</t>
        </is>
      </c>
      <c r="E110" t="inlineStr">
        <is>
          <t>SR 1606</t>
        </is>
      </c>
      <c r="F110" t="inlineStr">
        <is>
          <t>SR 1547</t>
        </is>
      </c>
      <c r="G110" t="inlineStr">
        <is>
          <t>NC 218</t>
        </is>
      </c>
      <c r="H110">
        <v>8.091</v>
      </c>
      <c r="L110">
        <v>105152445</v>
      </c>
      <c r="M110" t="inlineStr">
        <is>
          <t>7/6/2017</t>
        </is>
      </c>
      <c r="N110">
        <v>21</v>
      </c>
      <c r="O110">
        <v>1</v>
      </c>
      <c r="P110">
        <v>7</v>
      </c>
      <c r="Q110">
        <v>1</v>
      </c>
      <c r="R110" t="inlineStr">
        <is>
          <t>O</t>
        </is>
      </c>
    </row>
    <row r="111">
      <c r="A111" t="inlineStr">
        <is>
          <t>637</t>
        </is>
      </c>
      <c r="B111" t="inlineStr">
        <is>
          <t>NC 218</t>
        </is>
      </c>
      <c r="C111">
        <v>0.01</v>
      </c>
      <c r="D111" t="inlineStr">
        <is>
          <t>E</t>
        </is>
      </c>
      <c r="E111" t="inlineStr">
        <is>
          <t>SR 1606</t>
        </is>
      </c>
      <c r="F111" t="inlineStr">
        <is>
          <t>SR 1547</t>
        </is>
      </c>
      <c r="G111" t="inlineStr">
        <is>
          <t>NC 218</t>
        </is>
      </c>
      <c r="H111">
        <v>8.092</v>
      </c>
      <c r="L111">
        <v>108326425</v>
      </c>
      <c r="M111" t="inlineStr">
        <is>
          <t>11/30/2025</t>
        </is>
      </c>
      <c r="N111">
        <v>21</v>
      </c>
      <c r="O111">
        <v>2</v>
      </c>
      <c r="P111">
        <v>0</v>
      </c>
      <c r="Q111">
        <v>5</v>
      </c>
      <c r="R111" t="inlineStr">
        <is>
          <t>O</t>
        </is>
      </c>
    </row>
    <row r="112">
      <c r="A112" t="inlineStr">
        <is>
          <t>0</t>
        </is>
      </c>
      <c r="B112" t="inlineStr">
        <is>
          <t>NC 218</t>
        </is>
      </c>
      <c r="C112">
        <v>0.028</v>
      </c>
      <c r="D112" t="inlineStr">
        <is>
          <t>W</t>
        </is>
      </c>
      <c r="E112" t="inlineStr">
        <is>
          <t>LOVE MILL</t>
        </is>
      </c>
      <c r="F112" t="inlineStr">
        <is>
          <t>BRIEF</t>
        </is>
      </c>
      <c r="G112" t="inlineStr">
        <is>
          <t>NC 218</t>
        </is>
      </c>
      <c r="H112">
        <v>9.758</v>
      </c>
      <c r="L112">
        <v>107144129</v>
      </c>
      <c r="M112" t="inlineStr">
        <is>
          <t>11/13/2022</t>
        </is>
      </c>
      <c r="N112">
        <v>17</v>
      </c>
      <c r="O112">
        <v>1</v>
      </c>
      <c r="P112">
        <v>0</v>
      </c>
      <c r="Q112">
        <v>5</v>
      </c>
      <c r="R112" t="inlineStr">
        <is>
          <t>O</t>
        </is>
      </c>
    </row>
    <row r="113">
      <c r="A113" t="inlineStr">
        <is>
          <t>637</t>
        </is>
      </c>
      <c r="B113" t="inlineStr">
        <is>
          <t>NC 218</t>
        </is>
      </c>
      <c r="C113">
        <v>0.014</v>
      </c>
      <c r="D113" t="inlineStr">
        <is>
          <t>W</t>
        </is>
      </c>
      <c r="E113" t="inlineStr">
        <is>
          <t>SR 1001</t>
        </is>
      </c>
      <c r="F113" t="inlineStr">
        <is>
          <t>SR 1609</t>
        </is>
      </c>
      <c r="G113" t="inlineStr">
        <is>
          <t>NC 218</t>
        </is>
      </c>
      <c r="H113">
        <v>9.772</v>
      </c>
      <c r="L113">
        <v>105062907</v>
      </c>
      <c r="M113" t="inlineStr">
        <is>
          <t>4/3/2017</t>
        </is>
      </c>
      <c r="N113">
        <v>23</v>
      </c>
      <c r="O113">
        <v>1</v>
      </c>
      <c r="P113">
        <v>0</v>
      </c>
      <c r="Q113">
        <v>1</v>
      </c>
      <c r="R113" t="inlineStr">
        <is>
          <t>O</t>
        </is>
      </c>
    </row>
    <row r="114">
      <c r="A114" t="inlineStr">
        <is>
          <t>0</t>
        </is>
      </c>
      <c r="B114" t="inlineStr">
        <is>
          <t>NC 218</t>
        </is>
      </c>
      <c r="C114">
        <v>0.005</v>
      </c>
      <c r="D114" t="inlineStr">
        <is>
          <t>W</t>
        </is>
      </c>
      <c r="E114" t="inlineStr">
        <is>
          <t>SR 1001</t>
        </is>
      </c>
      <c r="F114" t="inlineStr">
        <is>
          <t>SR 1547</t>
        </is>
      </c>
      <c r="G114" t="inlineStr">
        <is>
          <t>NC 218</t>
        </is>
      </c>
      <c r="H114">
        <v>9.781</v>
      </c>
      <c r="L114">
        <v>105103445</v>
      </c>
      <c r="M114" t="inlineStr">
        <is>
          <t>5/17/2017</t>
        </is>
      </c>
      <c r="N114">
        <v>23</v>
      </c>
      <c r="O114">
        <v>1</v>
      </c>
      <c r="P114">
        <v>7</v>
      </c>
      <c r="Q114">
        <v>1</v>
      </c>
      <c r="R114" t="inlineStr">
        <is>
          <t>B</t>
        </is>
      </c>
    </row>
    <row r="115">
      <c r="A115" t="inlineStr">
        <is>
          <t>637</t>
        </is>
      </c>
      <c r="B115" t="inlineStr">
        <is>
          <t>NC 218</t>
        </is>
      </c>
      <c r="C115">
        <v>0.004</v>
      </c>
      <c r="D115" t="inlineStr">
        <is>
          <t>W</t>
        </is>
      </c>
      <c r="E115" t="inlineStr">
        <is>
          <t>SR 1001</t>
        </is>
      </c>
      <c r="F115" t="inlineStr">
        <is>
          <t>SR 1609</t>
        </is>
      </c>
      <c r="G115" t="inlineStr">
        <is>
          <t>NC 218</t>
        </is>
      </c>
      <c r="H115">
        <v>9.782</v>
      </c>
      <c r="L115">
        <v>105067787</v>
      </c>
      <c r="M115" t="inlineStr">
        <is>
          <t>4/3/2017</t>
        </is>
      </c>
      <c r="N115">
        <v>22</v>
      </c>
      <c r="O115">
        <v>2</v>
      </c>
      <c r="P115">
        <v>7</v>
      </c>
      <c r="Q115">
        <v>1</v>
      </c>
      <c r="R115" t="inlineStr">
        <is>
          <t>O</t>
        </is>
      </c>
    </row>
    <row r="116">
      <c r="A116" t="inlineStr">
        <is>
          <t>0</t>
        </is>
      </c>
      <c r="B116" t="inlineStr">
        <is>
          <t>NC 218</t>
        </is>
      </c>
      <c r="C116">
        <v>0.0</v>
      </c>
      <c r="E116" t="inlineStr">
        <is>
          <t>SR 1001</t>
        </is>
      </c>
      <c r="F116" t="inlineStr">
        <is>
          <t>SR 1547</t>
        </is>
      </c>
      <c r="G116" t="inlineStr">
        <is>
          <t>NC 218</t>
        </is>
      </c>
      <c r="H116">
        <v>9.786</v>
      </c>
      <c r="L116">
        <v>108267514</v>
      </c>
      <c r="M116" t="inlineStr">
        <is>
          <t>10/14/2025</t>
        </is>
      </c>
      <c r="N116">
        <v>21</v>
      </c>
      <c r="O116">
        <v>1</v>
      </c>
      <c r="P116">
        <v>0</v>
      </c>
      <c r="Q116">
        <v>1</v>
      </c>
      <c r="R116" t="inlineStr">
        <is>
          <t>O</t>
        </is>
      </c>
    </row>
    <row r="117">
      <c r="A117" t="inlineStr">
        <is>
          <t>0</t>
        </is>
      </c>
      <c r="B117" t="inlineStr">
        <is>
          <t>NC 218</t>
        </is>
      </c>
      <c r="C117">
        <v>0.0</v>
      </c>
      <c r="E117" t="inlineStr">
        <is>
          <t>SR 1001</t>
        </is>
      </c>
      <c r="F117" t="inlineStr">
        <is>
          <t>NC 200</t>
        </is>
      </c>
      <c r="G117" t="inlineStr">
        <is>
          <t>NC 218</t>
        </is>
      </c>
      <c r="H117">
        <v>9.786</v>
      </c>
      <c r="L117">
        <v>107715702</v>
      </c>
      <c r="M117" t="inlineStr">
        <is>
          <t>5/11/2024</t>
        </is>
      </c>
      <c r="N117">
        <v>30</v>
      </c>
      <c r="O117">
        <v>1</v>
      </c>
      <c r="P117">
        <v>7</v>
      </c>
      <c r="Q117">
        <v>1</v>
      </c>
      <c r="R117" t="inlineStr">
        <is>
          <t>O</t>
        </is>
      </c>
    </row>
    <row r="118">
      <c r="A118" t="inlineStr">
        <is>
          <t>0</t>
        </is>
      </c>
      <c r="B118" t="inlineStr">
        <is>
          <t>NC 218</t>
        </is>
      </c>
      <c r="C118">
        <v>0.0</v>
      </c>
      <c r="E118" t="inlineStr">
        <is>
          <t>SR 1001</t>
        </is>
      </c>
      <c r="F118" t="inlineStr">
        <is>
          <t>SR 1547</t>
        </is>
      </c>
      <c r="G118" t="inlineStr">
        <is>
          <t>NC 218</t>
        </is>
      </c>
      <c r="H118">
        <v>9.786</v>
      </c>
      <c r="L118">
        <v>107040279</v>
      </c>
      <c r="M118" t="inlineStr">
        <is>
          <t>8/3/2022</t>
        </is>
      </c>
      <c r="N118">
        <v>30</v>
      </c>
      <c r="O118">
        <v>1</v>
      </c>
      <c r="P118">
        <v>7</v>
      </c>
      <c r="Q118">
        <v>1</v>
      </c>
      <c r="R118" t="inlineStr">
        <is>
          <t>O</t>
        </is>
      </c>
    </row>
    <row r="119">
      <c r="A119" t="inlineStr">
        <is>
          <t>0</t>
        </is>
      </c>
      <c r="B119" t="inlineStr">
        <is>
          <t>NC 218</t>
        </is>
      </c>
      <c r="C119">
        <v>0.0</v>
      </c>
      <c r="E119" t="inlineStr">
        <is>
          <t>SR 1001</t>
        </is>
      </c>
      <c r="F119" t="inlineStr">
        <is>
          <t>SR 1606</t>
        </is>
      </c>
      <c r="G119" t="inlineStr">
        <is>
          <t>NC 218</t>
        </is>
      </c>
      <c r="H119">
        <v>9.786</v>
      </c>
      <c r="L119">
        <v>107011232</v>
      </c>
      <c r="M119" t="inlineStr">
        <is>
          <t>7/8/2022</t>
        </is>
      </c>
      <c r="N119">
        <v>28</v>
      </c>
      <c r="O119">
        <v>1</v>
      </c>
      <c r="P119">
        <v>7</v>
      </c>
      <c r="Q119">
        <v>1</v>
      </c>
      <c r="R119" t="inlineStr">
        <is>
          <t>B</t>
        </is>
      </c>
    </row>
    <row r="120">
      <c r="A120" t="inlineStr">
        <is>
          <t>0</t>
        </is>
      </c>
      <c r="B120" t="inlineStr">
        <is>
          <t>NC 218</t>
        </is>
      </c>
      <c r="C120">
        <v>0.0</v>
      </c>
      <c r="E120" t="inlineStr">
        <is>
          <t>SR 1001</t>
        </is>
      </c>
      <c r="F120" t="inlineStr">
        <is>
          <t>SR 1606</t>
        </is>
      </c>
      <c r="G120" t="inlineStr">
        <is>
          <t>NC 218</t>
        </is>
      </c>
      <c r="H120">
        <v>9.786</v>
      </c>
      <c r="L120">
        <v>107011234</v>
      </c>
      <c r="M120" t="inlineStr">
        <is>
          <t>7/8/2022</t>
        </is>
      </c>
      <c r="N120">
        <v>30</v>
      </c>
      <c r="O120">
        <v>1</v>
      </c>
      <c r="P120">
        <v>7</v>
      </c>
      <c r="Q120">
        <v>1</v>
      </c>
      <c r="R120" t="inlineStr">
        <is>
          <t>C</t>
        </is>
      </c>
    </row>
    <row r="121">
      <c r="A121" t="inlineStr">
        <is>
          <t>0</t>
        </is>
      </c>
      <c r="B121" t="inlineStr">
        <is>
          <t>NC 218</t>
        </is>
      </c>
      <c r="C121">
        <v>0.0</v>
      </c>
      <c r="E121" t="inlineStr">
        <is>
          <t>SR 1001</t>
        </is>
      </c>
      <c r="F121" t="inlineStr">
        <is>
          <t>NC 200</t>
        </is>
      </c>
      <c r="G121" t="inlineStr">
        <is>
          <t>NC 218</t>
        </is>
      </c>
      <c r="H121">
        <v>9.786</v>
      </c>
      <c r="L121">
        <v>106880793</v>
      </c>
      <c r="M121" t="inlineStr">
        <is>
          <t>3/5/2022</t>
        </is>
      </c>
      <c r="N121">
        <v>30</v>
      </c>
      <c r="O121">
        <v>1</v>
      </c>
      <c r="P121">
        <v>7</v>
      </c>
      <c r="Q121">
        <v>1</v>
      </c>
      <c r="R121" t="inlineStr">
        <is>
          <t>B</t>
        </is>
      </c>
    </row>
    <row r="122">
      <c r="A122" t="inlineStr">
        <is>
          <t>637</t>
        </is>
      </c>
      <c r="B122" t="inlineStr">
        <is>
          <t>NC 218</t>
        </is>
      </c>
      <c r="C122">
        <v>0.0</v>
      </c>
      <c r="E122" t="inlineStr">
        <is>
          <t>SR 1001</t>
        </is>
      </c>
      <c r="F122" t="inlineStr">
        <is>
          <t>SR 1610</t>
        </is>
      </c>
      <c r="G122" t="inlineStr">
        <is>
          <t>NC 218</t>
        </is>
      </c>
      <c r="H122">
        <v>9.786</v>
      </c>
      <c r="L122">
        <v>107287156</v>
      </c>
      <c r="M122" t="inlineStr">
        <is>
          <t>3/28/2023</t>
        </is>
      </c>
      <c r="N122">
        <v>30</v>
      </c>
      <c r="O122">
        <v>1</v>
      </c>
      <c r="P122">
        <v>7</v>
      </c>
      <c r="Q122">
        <v>1</v>
      </c>
      <c r="R122" t="inlineStr">
        <is>
          <t>B</t>
        </is>
      </c>
    </row>
    <row r="123">
      <c r="A123" t="inlineStr">
        <is>
          <t>0</t>
        </is>
      </c>
      <c r="B123" t="inlineStr">
        <is>
          <t>NC 218</t>
        </is>
      </c>
      <c r="C123">
        <v>0.0</v>
      </c>
      <c r="E123" t="inlineStr">
        <is>
          <t>SR 1001</t>
        </is>
      </c>
      <c r="F123" t="inlineStr">
        <is>
          <t>SR 1639</t>
        </is>
      </c>
      <c r="G123" t="inlineStr">
        <is>
          <t>NC 218</t>
        </is>
      </c>
      <c r="H123">
        <v>9.786</v>
      </c>
      <c r="L123">
        <v>106759634</v>
      </c>
      <c r="M123" t="inlineStr">
        <is>
          <t>11/5/2021</t>
        </is>
      </c>
      <c r="N123">
        <v>30</v>
      </c>
      <c r="O123">
        <v>1</v>
      </c>
      <c r="P123">
        <v>7</v>
      </c>
      <c r="Q123">
        <v>1</v>
      </c>
      <c r="R123" t="inlineStr">
        <is>
          <t>O</t>
        </is>
      </c>
    </row>
    <row r="124">
      <c r="A124" t="inlineStr">
        <is>
          <t>637</t>
        </is>
      </c>
      <c r="B124" t="inlineStr">
        <is>
          <t>NC 218</t>
        </is>
      </c>
      <c r="C124">
        <v>0.0</v>
      </c>
      <c r="E124" t="inlineStr">
        <is>
          <t>SR 1001</t>
        </is>
      </c>
      <c r="F124" t="inlineStr">
        <is>
          <t>NC 200</t>
        </is>
      </c>
      <c r="G124" t="inlineStr">
        <is>
          <t>NC 218</t>
        </is>
      </c>
      <c r="H124">
        <v>9.786</v>
      </c>
      <c r="L124">
        <v>106655032</v>
      </c>
      <c r="M124" t="inlineStr">
        <is>
          <t>8/4/2021</t>
        </is>
      </c>
      <c r="N124">
        <v>30</v>
      </c>
      <c r="O124">
        <v>1</v>
      </c>
      <c r="P124">
        <v>7</v>
      </c>
      <c r="Q124">
        <v>1</v>
      </c>
      <c r="R124" t="inlineStr">
        <is>
          <t>O</t>
        </is>
      </c>
    </row>
    <row r="125">
      <c r="A125" t="inlineStr">
        <is>
          <t>0</t>
        </is>
      </c>
      <c r="B125" t="inlineStr">
        <is>
          <t>NC 218</t>
        </is>
      </c>
      <c r="C125">
        <v>0.0</v>
      </c>
      <c r="E125" t="inlineStr">
        <is>
          <t>SR 1001</t>
        </is>
      </c>
      <c r="F125" t="inlineStr">
        <is>
          <t>SR 1547</t>
        </is>
      </c>
      <c r="G125" t="inlineStr">
        <is>
          <t>NC 218</t>
        </is>
      </c>
      <c r="H125">
        <v>9.786</v>
      </c>
      <c r="L125">
        <v>106554754</v>
      </c>
      <c r="M125" t="inlineStr">
        <is>
          <t>4/22/2021</t>
        </is>
      </c>
      <c r="N125">
        <v>21</v>
      </c>
      <c r="O125">
        <v>1</v>
      </c>
      <c r="P125">
        <v>7</v>
      </c>
      <c r="Q125">
        <v>1</v>
      </c>
      <c r="R125" t="inlineStr">
        <is>
          <t>C</t>
        </is>
      </c>
    </row>
    <row r="126">
      <c r="A126" t="inlineStr">
        <is>
          <t>558</t>
        </is>
      </c>
      <c r="B126" t="inlineStr">
        <is>
          <t>NC 218</t>
        </is>
      </c>
      <c r="C126">
        <v>0.0</v>
      </c>
      <c r="E126" t="inlineStr">
        <is>
          <t>SR 1001</t>
        </is>
      </c>
      <c r="F126" t="inlineStr">
        <is>
          <t>CYRUS LEE</t>
        </is>
      </c>
      <c r="G126" t="inlineStr">
        <is>
          <t>NC 218</t>
        </is>
      </c>
      <c r="H126">
        <v>9.786</v>
      </c>
      <c r="L126">
        <v>106521629</v>
      </c>
      <c r="M126" t="inlineStr">
        <is>
          <t>3/21/2021</t>
        </is>
      </c>
      <c r="N126">
        <v>22</v>
      </c>
      <c r="O126">
        <v>1</v>
      </c>
      <c r="P126">
        <v>7</v>
      </c>
      <c r="Q126">
        <v>1</v>
      </c>
      <c r="R126" t="inlineStr">
        <is>
          <t>B</t>
        </is>
      </c>
    </row>
    <row r="127">
      <c r="A127" t="inlineStr">
        <is>
          <t>0</t>
        </is>
      </c>
      <c r="B127" t="inlineStr">
        <is>
          <t>NC 218</t>
        </is>
      </c>
      <c r="C127">
        <v>0.0</v>
      </c>
      <c r="E127" t="inlineStr">
        <is>
          <t>SR 1001</t>
        </is>
      </c>
      <c r="F127" t="inlineStr">
        <is>
          <t>NC 200</t>
        </is>
      </c>
      <c r="G127" t="inlineStr">
        <is>
          <t>NC 218</t>
        </is>
      </c>
      <c r="H127">
        <v>9.786</v>
      </c>
      <c r="L127">
        <v>106362077</v>
      </c>
      <c r="M127" t="inlineStr">
        <is>
          <t>10/5/2020</t>
        </is>
      </c>
      <c r="N127">
        <v>30</v>
      </c>
      <c r="O127">
        <v>1</v>
      </c>
      <c r="P127">
        <v>7</v>
      </c>
      <c r="Q127">
        <v>1</v>
      </c>
      <c r="R127" t="inlineStr">
        <is>
          <t>O</t>
        </is>
      </c>
    </row>
    <row r="128">
      <c r="A128" t="inlineStr">
        <is>
          <t>0</t>
        </is>
      </c>
      <c r="B128" t="inlineStr">
        <is>
          <t>NC 218</t>
        </is>
      </c>
      <c r="C128">
        <v>0.0</v>
      </c>
      <c r="E128" t="inlineStr">
        <is>
          <t>SR 1001</t>
        </is>
      </c>
      <c r="F128" t="inlineStr">
        <is>
          <t>NC 200</t>
        </is>
      </c>
      <c r="G128" t="inlineStr">
        <is>
          <t>NC 218</t>
        </is>
      </c>
      <c r="H128">
        <v>9.786</v>
      </c>
      <c r="L128">
        <v>106219177</v>
      </c>
      <c r="M128" t="inlineStr">
        <is>
          <t>5/1/2020</t>
        </is>
      </c>
      <c r="N128">
        <v>30</v>
      </c>
      <c r="O128">
        <v>1</v>
      </c>
      <c r="P128">
        <v>7</v>
      </c>
      <c r="Q128">
        <v>5</v>
      </c>
      <c r="R128" t="inlineStr">
        <is>
          <t>O</t>
        </is>
      </c>
    </row>
    <row r="129">
      <c r="A129" t="inlineStr">
        <is>
          <t>637</t>
        </is>
      </c>
      <c r="B129" t="inlineStr">
        <is>
          <t>NC 218</t>
        </is>
      </c>
      <c r="C129">
        <v>0.0</v>
      </c>
      <c r="E129" t="inlineStr">
        <is>
          <t>SR 1001</t>
        </is>
      </c>
      <c r="F129" t="inlineStr">
        <is>
          <t>SR 1547</t>
        </is>
      </c>
      <c r="G129" t="inlineStr">
        <is>
          <t>NC 218</t>
        </is>
      </c>
      <c r="H129">
        <v>9.786</v>
      </c>
      <c r="L129">
        <v>106186515</v>
      </c>
      <c r="M129" t="inlineStr">
        <is>
          <t>3/16/2020</t>
        </is>
      </c>
      <c r="N129">
        <v>30</v>
      </c>
      <c r="O129">
        <v>1</v>
      </c>
      <c r="P129">
        <v>7</v>
      </c>
      <c r="Q129">
        <v>1</v>
      </c>
      <c r="R129" t="inlineStr">
        <is>
          <t>O</t>
        </is>
      </c>
    </row>
    <row r="130">
      <c r="A130" t="inlineStr">
        <is>
          <t>558</t>
        </is>
      </c>
      <c r="B130" t="inlineStr">
        <is>
          <t>NC 218</t>
        </is>
      </c>
      <c r="C130">
        <v>0.0</v>
      </c>
      <c r="E130" t="inlineStr">
        <is>
          <t>SR 1001</t>
        </is>
      </c>
      <c r="F130" t="inlineStr">
        <is>
          <t>SR 1547</t>
        </is>
      </c>
      <c r="G130" t="inlineStr">
        <is>
          <t>NC 218</t>
        </is>
      </c>
      <c r="H130">
        <v>9.786</v>
      </c>
      <c r="L130">
        <v>106071236</v>
      </c>
      <c r="M130" t="inlineStr">
        <is>
          <t>11/20/2019</t>
        </is>
      </c>
      <c r="N130">
        <v>30</v>
      </c>
      <c r="O130">
        <v>1</v>
      </c>
      <c r="P130">
        <v>7</v>
      </c>
      <c r="Q130">
        <v>1</v>
      </c>
      <c r="R130" t="inlineStr">
        <is>
          <t>C</t>
        </is>
      </c>
    </row>
    <row r="131">
      <c r="A131" t="inlineStr">
        <is>
          <t>637</t>
        </is>
      </c>
      <c r="B131" t="inlineStr">
        <is>
          <t>NC 218</t>
        </is>
      </c>
      <c r="C131">
        <v>0.0</v>
      </c>
      <c r="E131" t="inlineStr">
        <is>
          <t>SR 1001</t>
        </is>
      </c>
      <c r="F131" t="inlineStr">
        <is>
          <t>SR 1547</t>
        </is>
      </c>
      <c r="G131" t="inlineStr">
        <is>
          <t>NC 218</t>
        </is>
      </c>
      <c r="H131">
        <v>9.786</v>
      </c>
      <c r="L131">
        <v>106062746</v>
      </c>
      <c r="M131" t="inlineStr">
        <is>
          <t>11/15/2019</t>
        </is>
      </c>
      <c r="N131">
        <v>30</v>
      </c>
      <c r="O131">
        <v>2</v>
      </c>
      <c r="P131">
        <v>7</v>
      </c>
      <c r="Q131">
        <v>1</v>
      </c>
      <c r="R131" t="inlineStr">
        <is>
          <t>O</t>
        </is>
      </c>
    </row>
    <row r="132">
      <c r="A132" t="inlineStr">
        <is>
          <t>0</t>
        </is>
      </c>
      <c r="B132" t="inlineStr">
        <is>
          <t>NC 218</t>
        </is>
      </c>
      <c r="C132">
        <v>0.0</v>
      </c>
      <c r="E132" t="inlineStr">
        <is>
          <t>SR 1001</t>
        </is>
      </c>
      <c r="F132" t="inlineStr">
        <is>
          <t>SR 1547</t>
        </is>
      </c>
      <c r="G132" t="inlineStr">
        <is>
          <t>NC 218</t>
        </is>
      </c>
      <c r="H132">
        <v>9.786</v>
      </c>
      <c r="L132">
        <v>105842501</v>
      </c>
      <c r="M132" t="inlineStr">
        <is>
          <t>4/20/2019</t>
        </is>
      </c>
      <c r="N132">
        <v>21</v>
      </c>
      <c r="O132">
        <v>1</v>
      </c>
      <c r="P132">
        <v>7</v>
      </c>
      <c r="Q132">
        <v>1</v>
      </c>
      <c r="R132" t="inlineStr">
        <is>
          <t>O</t>
        </is>
      </c>
    </row>
    <row r="133">
      <c r="A133" t="inlineStr">
        <is>
          <t>0</t>
        </is>
      </c>
      <c r="B133" t="inlineStr">
        <is>
          <t>NC 218</t>
        </is>
      </c>
      <c r="C133">
        <v>0.0</v>
      </c>
      <c r="E133" t="inlineStr">
        <is>
          <t>SR 1001</t>
        </is>
      </c>
      <c r="F133" t="inlineStr">
        <is>
          <t>SR 2732</t>
        </is>
      </c>
      <c r="G133" t="inlineStr">
        <is>
          <t>NC 218</t>
        </is>
      </c>
      <c r="H133">
        <v>9.786</v>
      </c>
      <c r="L133">
        <v>105989915</v>
      </c>
      <c r="M133" t="inlineStr">
        <is>
          <t>9/11/2019</t>
        </is>
      </c>
      <c r="N133">
        <v>30</v>
      </c>
      <c r="O133">
        <v>1</v>
      </c>
      <c r="P133">
        <v>7</v>
      </c>
      <c r="Q133">
        <v>1</v>
      </c>
      <c r="R133" t="inlineStr">
        <is>
          <t>B</t>
        </is>
      </c>
    </row>
    <row r="134">
      <c r="A134" t="inlineStr">
        <is>
          <t>0</t>
        </is>
      </c>
      <c r="B134" t="inlineStr">
        <is>
          <t>NC 218</t>
        </is>
      </c>
      <c r="C134">
        <v>0.0</v>
      </c>
      <c r="E134" t="inlineStr">
        <is>
          <t>SR 1001</t>
        </is>
      </c>
      <c r="F134" t="inlineStr">
        <is>
          <t>NC 200</t>
        </is>
      </c>
      <c r="G134" t="inlineStr">
        <is>
          <t>NC 218</t>
        </is>
      </c>
      <c r="H134">
        <v>9.786</v>
      </c>
      <c r="L134">
        <v>105711501</v>
      </c>
      <c r="M134" t="inlineStr">
        <is>
          <t>12/14/2018</t>
        </is>
      </c>
      <c r="N134">
        <v>30</v>
      </c>
      <c r="O134">
        <v>2</v>
      </c>
      <c r="P134">
        <v>7</v>
      </c>
      <c r="Q134">
        <v>5</v>
      </c>
      <c r="R134" t="inlineStr">
        <is>
          <t>B</t>
        </is>
      </c>
    </row>
    <row r="135">
      <c r="A135" t="inlineStr">
        <is>
          <t>0</t>
        </is>
      </c>
      <c r="B135" t="inlineStr">
        <is>
          <t>NC 218</t>
        </is>
      </c>
      <c r="C135">
        <v>0.0</v>
      </c>
      <c r="E135" t="inlineStr">
        <is>
          <t>SR 1001</t>
        </is>
      </c>
      <c r="F135" t="inlineStr">
        <is>
          <t>SR 1606</t>
        </is>
      </c>
      <c r="G135" t="inlineStr">
        <is>
          <t>NC 218</t>
        </is>
      </c>
      <c r="H135">
        <v>9.786</v>
      </c>
      <c r="L135">
        <v>105644334</v>
      </c>
      <c r="M135" t="inlineStr">
        <is>
          <t>10/21/2018</t>
        </is>
      </c>
      <c r="N135">
        <v>19</v>
      </c>
      <c r="O135">
        <v>1</v>
      </c>
      <c r="P135">
        <v>7</v>
      </c>
      <c r="Q135">
        <v>1</v>
      </c>
      <c r="R135" t="inlineStr">
        <is>
          <t>O</t>
        </is>
      </c>
    </row>
    <row r="136">
      <c r="A136" t="inlineStr">
        <is>
          <t>558</t>
        </is>
      </c>
      <c r="B136" t="inlineStr">
        <is>
          <t>NC 218</t>
        </is>
      </c>
      <c r="C136">
        <v>0.0</v>
      </c>
      <c r="E136" t="inlineStr">
        <is>
          <t>SR 1001</t>
        </is>
      </c>
      <c r="F136" t="inlineStr">
        <is>
          <t>SR 1547</t>
        </is>
      </c>
      <c r="G136" t="inlineStr">
        <is>
          <t>NC 218</t>
        </is>
      </c>
      <c r="H136">
        <v>9.786</v>
      </c>
      <c r="L136">
        <v>105502400</v>
      </c>
      <c r="M136" t="inlineStr">
        <is>
          <t>6/6/2018</t>
        </is>
      </c>
      <c r="N136">
        <v>22</v>
      </c>
      <c r="O136">
        <v>1</v>
      </c>
      <c r="P136">
        <v>7</v>
      </c>
      <c r="Q136">
        <v>1</v>
      </c>
      <c r="R136" t="inlineStr">
        <is>
          <t>O</t>
        </is>
      </c>
    </row>
    <row r="137">
      <c r="A137" t="inlineStr">
        <is>
          <t>0</t>
        </is>
      </c>
      <c r="B137" t="inlineStr">
        <is>
          <t>NC 218</t>
        </is>
      </c>
      <c r="C137">
        <v>0.0</v>
      </c>
      <c r="E137" t="inlineStr">
        <is>
          <t>SR 1001</t>
        </is>
      </c>
      <c r="F137" t="inlineStr">
        <is>
          <t>SR 1547</t>
        </is>
      </c>
      <c r="G137" t="inlineStr">
        <is>
          <t>NC 218</t>
        </is>
      </c>
      <c r="H137">
        <v>9.786</v>
      </c>
      <c r="L137">
        <v>105452058</v>
      </c>
      <c r="M137" t="inlineStr">
        <is>
          <t>4/18/2018</t>
        </is>
      </c>
      <c r="N137">
        <v>21</v>
      </c>
      <c r="O137">
        <v>1</v>
      </c>
      <c r="P137">
        <v>7</v>
      </c>
      <c r="Q137">
        <v>1</v>
      </c>
      <c r="R137" t="inlineStr">
        <is>
          <t>O</t>
        </is>
      </c>
    </row>
    <row r="138">
      <c r="A138" t="inlineStr">
        <is>
          <t>0</t>
        </is>
      </c>
      <c r="B138" t="inlineStr">
        <is>
          <t>NC 218</t>
        </is>
      </c>
      <c r="C138">
        <v>0.0</v>
      </c>
      <c r="E138" t="inlineStr">
        <is>
          <t>SR 1001</t>
        </is>
      </c>
      <c r="F138" t="inlineStr">
        <is>
          <t>NC 200</t>
        </is>
      </c>
      <c r="G138" t="inlineStr">
        <is>
          <t>NC 218</t>
        </is>
      </c>
      <c r="H138">
        <v>9.786</v>
      </c>
      <c r="L138">
        <v>105283709</v>
      </c>
      <c r="M138" t="inlineStr">
        <is>
          <t>11/3/2017</t>
        </is>
      </c>
      <c r="N138">
        <v>28</v>
      </c>
      <c r="O138">
        <v>1</v>
      </c>
      <c r="P138">
        <v>0</v>
      </c>
      <c r="Q138">
        <v>1</v>
      </c>
      <c r="R138" t="inlineStr">
        <is>
          <t>O</t>
        </is>
      </c>
    </row>
    <row r="139">
      <c r="A139" t="inlineStr">
        <is>
          <t>650</t>
        </is>
      </c>
      <c r="B139" t="inlineStr">
        <is>
          <t>NC 218</t>
        </is>
      </c>
      <c r="C139">
        <v>0.0</v>
      </c>
      <c r="E139" t="inlineStr">
        <is>
          <t>SR 1001</t>
        </is>
      </c>
      <c r="F139" t="inlineStr">
        <is>
          <t>SR 1547</t>
        </is>
      </c>
      <c r="G139" t="inlineStr">
        <is>
          <t>NC 218</t>
        </is>
      </c>
      <c r="H139">
        <v>9.786</v>
      </c>
      <c r="L139">
        <v>105326336</v>
      </c>
      <c r="M139" t="inlineStr">
        <is>
          <t>12/13/2017</t>
        </is>
      </c>
      <c r="N139">
        <v>21</v>
      </c>
      <c r="O139">
        <v>1</v>
      </c>
      <c r="P139">
        <v>7</v>
      </c>
      <c r="Q139">
        <v>1</v>
      </c>
      <c r="R139" t="inlineStr">
        <is>
          <t>B</t>
        </is>
      </c>
    </row>
    <row r="140">
      <c r="A140" t="inlineStr">
        <is>
          <t>558</t>
        </is>
      </c>
      <c r="B140" t="inlineStr">
        <is>
          <t>NC 218</t>
        </is>
      </c>
      <c r="C140">
        <v>0.0</v>
      </c>
      <c r="E140" t="inlineStr">
        <is>
          <t>SR 1001</t>
        </is>
      </c>
      <c r="F140" t="inlineStr">
        <is>
          <t>NC 200</t>
        </is>
      </c>
      <c r="G140" t="inlineStr">
        <is>
          <t>NC 218</t>
        </is>
      </c>
      <c r="H140">
        <v>9.786</v>
      </c>
      <c r="L140">
        <v>105085947</v>
      </c>
      <c r="M140" t="inlineStr">
        <is>
          <t>4/20/2017</t>
        </is>
      </c>
      <c r="N140">
        <v>21</v>
      </c>
      <c r="O140">
        <v>1</v>
      </c>
      <c r="P140">
        <v>7</v>
      </c>
      <c r="Q140">
        <v>1</v>
      </c>
      <c r="R140" t="inlineStr">
        <is>
          <t>C</t>
        </is>
      </c>
    </row>
    <row r="141">
      <c r="A141" t="inlineStr">
        <is>
          <t>0</t>
        </is>
      </c>
      <c r="B141" t="inlineStr">
        <is>
          <t>NC 218</t>
        </is>
      </c>
      <c r="C141">
        <v>0.0</v>
      </c>
      <c r="E141" t="inlineStr">
        <is>
          <t>SR 1001</t>
        </is>
      </c>
      <c r="F141" t="inlineStr">
        <is>
          <t>SR 1547</t>
        </is>
      </c>
      <c r="G141" t="inlineStr">
        <is>
          <t>NC 218</t>
        </is>
      </c>
      <c r="H141">
        <v>9.786</v>
      </c>
      <c r="L141">
        <v>105127353</v>
      </c>
      <c r="M141" t="inlineStr">
        <is>
          <t>6/8/2017</t>
        </is>
      </c>
      <c r="N141">
        <v>21</v>
      </c>
      <c r="O141">
        <v>1</v>
      </c>
      <c r="P141">
        <v>7</v>
      </c>
      <c r="Q141">
        <v>1</v>
      </c>
      <c r="R141" t="inlineStr">
        <is>
          <t>B</t>
        </is>
      </c>
    </row>
    <row r="142">
      <c r="A142" t="inlineStr">
        <is>
          <t>650</t>
        </is>
      </c>
      <c r="B142" t="inlineStr">
        <is>
          <t>NC 218</t>
        </is>
      </c>
      <c r="C142">
        <v>0.0</v>
      </c>
      <c r="E142" t="inlineStr">
        <is>
          <t>SR 1001</t>
        </is>
      </c>
      <c r="F142" t="inlineStr">
        <is>
          <t>CYRUS LEE</t>
        </is>
      </c>
      <c r="G142" t="inlineStr">
        <is>
          <t>NC 218</t>
        </is>
      </c>
      <c r="H142">
        <v>9.786</v>
      </c>
      <c r="L142">
        <v>105125636</v>
      </c>
      <c r="M142" t="inlineStr">
        <is>
          <t>6/4/2017</t>
        </is>
      </c>
      <c r="N142">
        <v>21</v>
      </c>
      <c r="O142">
        <v>1</v>
      </c>
      <c r="P142">
        <v>12</v>
      </c>
      <c r="Q142">
        <v>1</v>
      </c>
      <c r="R142" t="inlineStr">
        <is>
          <t>O</t>
        </is>
      </c>
    </row>
    <row r="143">
      <c r="A143" t="inlineStr">
        <is>
          <t>637</t>
        </is>
      </c>
      <c r="B143" t="inlineStr">
        <is>
          <t>NC 218</t>
        </is>
      </c>
      <c r="C143">
        <v>0.005</v>
      </c>
      <c r="D143" t="inlineStr">
        <is>
          <t>E</t>
        </is>
      </c>
      <c r="E143" t="inlineStr">
        <is>
          <t>LOVE MILL</t>
        </is>
      </c>
      <c r="F143" t="inlineStr">
        <is>
          <t>NC 200</t>
        </is>
      </c>
      <c r="G143" t="inlineStr">
        <is>
          <t>NC 218</t>
        </is>
      </c>
      <c r="H143">
        <v>9.791</v>
      </c>
      <c r="L143">
        <v>107609800</v>
      </c>
      <c r="M143" t="inlineStr">
        <is>
          <t>1/31/2024</t>
        </is>
      </c>
      <c r="N143">
        <v>21</v>
      </c>
      <c r="O143">
        <v>2</v>
      </c>
      <c r="P143">
        <v>7</v>
      </c>
      <c r="Q143">
        <v>1</v>
      </c>
      <c r="R143" t="inlineStr">
        <is>
          <t>C</t>
        </is>
      </c>
    </row>
    <row r="144">
      <c r="A144" t="inlineStr">
        <is>
          <t>0</t>
        </is>
      </c>
      <c r="B144" t="inlineStr">
        <is>
          <t>NC 218</t>
        </is>
      </c>
      <c r="C144">
        <v>0.006</v>
      </c>
      <c r="D144" t="inlineStr">
        <is>
          <t>E</t>
        </is>
      </c>
      <c r="E144" t="inlineStr">
        <is>
          <t>SR 1001</t>
        </is>
      </c>
      <c r="F144" t="inlineStr">
        <is>
          <t>NC 200</t>
        </is>
      </c>
      <c r="G144" t="inlineStr">
        <is>
          <t>NC 218</t>
        </is>
      </c>
      <c r="H144">
        <v>9.792</v>
      </c>
      <c r="L144">
        <v>106370455</v>
      </c>
      <c r="M144" t="inlineStr">
        <is>
          <t>10/17/2020</t>
        </is>
      </c>
      <c r="N144">
        <v>23</v>
      </c>
      <c r="O144">
        <v>1</v>
      </c>
      <c r="P144">
        <v>7</v>
      </c>
      <c r="Q144">
        <v>1</v>
      </c>
      <c r="R144" t="inlineStr">
        <is>
          <t>O</t>
        </is>
      </c>
    </row>
    <row r="145">
      <c r="A145" t="inlineStr">
        <is>
          <t>650</t>
        </is>
      </c>
      <c r="B145" t="inlineStr">
        <is>
          <t>NC 218</t>
        </is>
      </c>
      <c r="C145">
        <v>0.028</v>
      </c>
      <c r="D145" t="inlineStr">
        <is>
          <t>E</t>
        </is>
      </c>
      <c r="E145" t="inlineStr">
        <is>
          <t>SR 1001</t>
        </is>
      </c>
      <c r="F145" t="inlineStr">
        <is>
          <t>NC 200</t>
        </is>
      </c>
      <c r="G145" t="inlineStr">
        <is>
          <t>NC 218</t>
        </is>
      </c>
      <c r="H145">
        <v>9.814</v>
      </c>
      <c r="L145">
        <v>104859857</v>
      </c>
      <c r="M145" t="inlineStr">
        <is>
          <t>9/20/2016</t>
        </is>
      </c>
      <c r="N145">
        <v>21</v>
      </c>
      <c r="O145">
        <v>1</v>
      </c>
      <c r="P145">
        <v>0</v>
      </c>
      <c r="Q145">
        <v>1</v>
      </c>
      <c r="R145" t="inlineStr">
        <is>
          <t>O</t>
        </is>
      </c>
    </row>
    <row r="146">
      <c r="A146" t="inlineStr">
        <is>
          <t>637</t>
        </is>
      </c>
      <c r="B146" t="inlineStr">
        <is>
          <t>SIKES MILL</t>
        </is>
      </c>
      <c r="C146">
        <v>0.095</v>
      </c>
      <c r="D146" t="inlineStr">
        <is>
          <t>N</t>
        </is>
      </c>
      <c r="E146" t="inlineStr">
        <is>
          <t>BRIEF</t>
        </is>
      </c>
      <c r="F146" t="inlineStr">
        <is>
          <t>OLD FERRY</t>
        </is>
      </c>
      <c r="G146" t="inlineStr">
        <is>
          <t>SIKES MILL</t>
        </is>
      </c>
      <c r="H146">
        <v>999.999</v>
      </c>
      <c r="L146">
        <v>105713579</v>
      </c>
      <c r="M146" t="inlineStr">
        <is>
          <t>12/18/2018</t>
        </is>
      </c>
      <c r="N146">
        <v>17</v>
      </c>
      <c r="O146">
        <v>1</v>
      </c>
      <c r="P146">
        <v>0</v>
      </c>
      <c r="Q146">
        <v>1</v>
      </c>
      <c r="R146" t="inlineStr">
        <is>
          <t>O</t>
        </is>
      </c>
    </row>
    <row r="147">
      <c r="A147" t="inlineStr">
        <is>
          <t>637</t>
        </is>
      </c>
      <c r="B147" t="inlineStr">
        <is>
          <t>SIKES MILL</t>
        </is>
      </c>
      <c r="C147">
        <v>0.19</v>
      </c>
      <c r="D147" t="inlineStr">
        <is>
          <t>N</t>
        </is>
      </c>
      <c r="E147" t="inlineStr">
        <is>
          <t>BRIEF</t>
        </is>
      </c>
      <c r="F147" t="inlineStr">
        <is>
          <t>OLD FERRY</t>
        </is>
      </c>
      <c r="G147" t="inlineStr">
        <is>
          <t>SIKES MILL</t>
        </is>
      </c>
      <c r="H147">
        <v>999.999</v>
      </c>
      <c r="L147">
        <v>108485442</v>
      </c>
      <c r="M147" t="inlineStr">
        <is>
          <t>5/4/2026</t>
        </is>
      </c>
      <c r="N147">
        <v>17</v>
      </c>
      <c r="O147">
        <v>1</v>
      </c>
      <c r="Q147">
        <v>1</v>
      </c>
      <c r="R147" t="inlineStr">
        <is>
          <t>O</t>
        </is>
      </c>
    </row>
    <row r="148">
      <c r="A148" t="inlineStr">
        <is>
          <t>637</t>
        </is>
      </c>
      <c r="B148" t="inlineStr">
        <is>
          <t>SIKES MILL</t>
        </is>
      </c>
      <c r="C148">
        <v>0.35</v>
      </c>
      <c r="D148" t="inlineStr">
        <is>
          <t>S</t>
        </is>
      </c>
      <c r="E148" t="inlineStr">
        <is>
          <t>BRIEF</t>
        </is>
      </c>
      <c r="F148" t="inlineStr">
        <is>
          <t>NC 218</t>
        </is>
      </c>
      <c r="G148" t="inlineStr">
        <is>
          <t>SIKES MILL</t>
        </is>
      </c>
      <c r="H148">
        <v>999.999</v>
      </c>
      <c r="L148">
        <v>107562589</v>
      </c>
      <c r="M148" t="inlineStr">
        <is>
          <t>12/14/2023</t>
        </is>
      </c>
      <c r="N148">
        <v>19</v>
      </c>
      <c r="O148">
        <v>1</v>
      </c>
      <c r="P148">
        <v>0</v>
      </c>
      <c r="Q148">
        <v>1</v>
      </c>
      <c r="R148" t="inlineStr">
        <is>
          <t>O</t>
        </is>
      </c>
    </row>
    <row r="149">
      <c r="A149" t="inlineStr">
        <is>
          <t>558</t>
        </is>
      </c>
      <c r="B149" t="inlineStr">
        <is>
          <t>SIKES MILL</t>
        </is>
      </c>
      <c r="C149">
        <v>0.3</v>
      </c>
      <c r="D149" t="inlineStr">
        <is>
          <t>N</t>
        </is>
      </c>
      <c r="E149" t="inlineStr">
        <is>
          <t>CARRIKER</t>
        </is>
      </c>
      <c r="F149" t="inlineStr">
        <is>
          <t>*LCL OLD FISH RD</t>
        </is>
      </c>
      <c r="G149" t="inlineStr">
        <is>
          <t>SIKES MILL</t>
        </is>
      </c>
      <c r="H149">
        <v>999.999</v>
      </c>
      <c r="L149">
        <v>108496852</v>
      </c>
      <c r="M149" t="inlineStr">
        <is>
          <t>5/13/2026</t>
        </is>
      </c>
      <c r="N149">
        <v>17</v>
      </c>
      <c r="O149">
        <v>1</v>
      </c>
      <c r="P149">
        <v>0</v>
      </c>
      <c r="Q149">
        <v>5</v>
      </c>
      <c r="R149" t="inlineStr">
        <is>
          <t>O</t>
        </is>
      </c>
    </row>
    <row r="150">
      <c r="A150" t="inlineStr">
        <is>
          <t>558</t>
        </is>
      </c>
      <c r="B150" t="inlineStr">
        <is>
          <t>SIKES MILL</t>
        </is>
      </c>
      <c r="C150">
        <v>0.038</v>
      </c>
      <c r="D150" t="inlineStr">
        <is>
          <t>N</t>
        </is>
      </c>
      <c r="E150" t="inlineStr">
        <is>
          <t>CLONTZ LONG</t>
        </is>
      </c>
      <c r="F150" t="inlineStr">
        <is>
          <t>*LCL TYLER RIDGE CT</t>
        </is>
      </c>
      <c r="G150" t="inlineStr">
        <is>
          <t>SIKES MILL</t>
        </is>
      </c>
      <c r="H150">
        <v>999.999</v>
      </c>
      <c r="L150">
        <v>107553868</v>
      </c>
      <c r="M150" t="inlineStr">
        <is>
          <t>12/2/2023</t>
        </is>
      </c>
      <c r="N150">
        <v>17</v>
      </c>
      <c r="O150">
        <v>1</v>
      </c>
      <c r="P150">
        <v>0</v>
      </c>
      <c r="Q150">
        <v>5</v>
      </c>
      <c r="R150" t="inlineStr">
        <is>
          <t>O</t>
        </is>
      </c>
    </row>
    <row r="151">
      <c r="A151" t="inlineStr">
        <is>
          <t>558</t>
        </is>
      </c>
      <c r="B151" t="inlineStr">
        <is>
          <t>SIKES MILL</t>
        </is>
      </c>
      <c r="C151">
        <v>0.15</v>
      </c>
      <c r="D151" t="inlineStr">
        <is>
          <t>S</t>
        </is>
      </c>
      <c r="E151" t="inlineStr">
        <is>
          <t>CLONTZ LONG</t>
        </is>
      </c>
      <c r="F151" t="inlineStr">
        <is>
          <t>UNIONVILLE</t>
        </is>
      </c>
      <c r="G151" t="inlineStr">
        <is>
          <t>SIKES MILL</t>
        </is>
      </c>
      <c r="H151">
        <v>999.999</v>
      </c>
      <c r="L151">
        <v>107408108</v>
      </c>
      <c r="M151" t="inlineStr">
        <is>
          <t>7/27/2023</t>
        </is>
      </c>
      <c r="N151">
        <v>29</v>
      </c>
      <c r="O151">
        <v>1</v>
      </c>
      <c r="P151">
        <v>0</v>
      </c>
      <c r="Q151">
        <v>1</v>
      </c>
      <c r="R151" t="inlineStr">
        <is>
          <t>O</t>
        </is>
      </c>
    </row>
    <row r="152">
      <c r="A152" t="inlineStr">
        <is>
          <t>558</t>
        </is>
      </c>
      <c r="B152" t="inlineStr">
        <is>
          <t>SIKES MILL</t>
        </is>
      </c>
      <c r="C152">
        <v>0.25</v>
      </c>
      <c r="D152" t="inlineStr">
        <is>
          <t>S</t>
        </is>
      </c>
      <c r="E152" t="inlineStr">
        <is>
          <t>CLONTZ LONG</t>
        </is>
      </c>
      <c r="F152" t="inlineStr">
        <is>
          <t>UNIONVILLE</t>
        </is>
      </c>
      <c r="G152" t="inlineStr">
        <is>
          <t>SIKES MILL</t>
        </is>
      </c>
      <c r="H152">
        <v>999.999</v>
      </c>
      <c r="L152">
        <v>107535602</v>
      </c>
      <c r="M152" t="inlineStr">
        <is>
          <t>11/20/2023</t>
        </is>
      </c>
      <c r="N152">
        <v>17</v>
      </c>
      <c r="O152">
        <v>1</v>
      </c>
      <c r="P152">
        <v>0</v>
      </c>
      <c r="Q152">
        <v>5</v>
      </c>
      <c r="R152" t="inlineStr">
        <is>
          <t>O</t>
        </is>
      </c>
    </row>
    <row r="153">
      <c r="A153" t="inlineStr">
        <is>
          <t>558</t>
        </is>
      </c>
      <c r="B153" t="inlineStr">
        <is>
          <t>SIKES MILL</t>
        </is>
      </c>
      <c r="C153">
        <v>0.095</v>
      </c>
      <c r="D153" t="inlineStr">
        <is>
          <t>S</t>
        </is>
      </c>
      <c r="E153" t="inlineStr">
        <is>
          <t>HAIGLER BAUCOM</t>
        </is>
      </c>
      <c r="F153" t="inlineStr">
        <is>
          <t>HENRY SMITH</t>
        </is>
      </c>
      <c r="G153" t="inlineStr">
        <is>
          <t>SIKES MILL</t>
        </is>
      </c>
      <c r="H153">
        <v>999.999</v>
      </c>
      <c r="L153">
        <v>106918739</v>
      </c>
      <c r="M153" t="inlineStr">
        <is>
          <t>4/11/2022</t>
        </is>
      </c>
      <c r="N153">
        <v>19</v>
      </c>
      <c r="O153">
        <v>1</v>
      </c>
      <c r="P153">
        <v>0</v>
      </c>
      <c r="Q153">
        <v>1</v>
      </c>
      <c r="R153" t="inlineStr">
        <is>
          <t>O</t>
        </is>
      </c>
    </row>
    <row r="154">
      <c r="A154" t="inlineStr">
        <is>
          <t>558</t>
        </is>
      </c>
      <c r="B154" t="inlineStr">
        <is>
          <t>SIKES MILL</t>
        </is>
      </c>
      <c r="C154">
        <v>0.17</v>
      </c>
      <c r="D154" t="inlineStr">
        <is>
          <t>S</t>
        </is>
      </c>
      <c r="E154" t="inlineStr">
        <is>
          <t>HAIGLER BAUCOM</t>
        </is>
      </c>
      <c r="F154" t="inlineStr">
        <is>
          <t>PIEDMONT SCHOOL</t>
        </is>
      </c>
      <c r="G154" t="inlineStr">
        <is>
          <t>SIKES MILL</t>
        </is>
      </c>
      <c r="H154">
        <v>999.999</v>
      </c>
      <c r="L154">
        <v>106479132</v>
      </c>
      <c r="M154" t="inlineStr">
        <is>
          <t>2/3/2021</t>
        </is>
      </c>
      <c r="N154">
        <v>19</v>
      </c>
      <c r="O154">
        <v>1</v>
      </c>
      <c r="P154">
        <v>0</v>
      </c>
      <c r="Q154">
        <v>1</v>
      </c>
      <c r="R154" t="inlineStr">
        <is>
          <t>C</t>
        </is>
      </c>
    </row>
    <row r="155">
      <c r="A155" t="inlineStr">
        <is>
          <t>558</t>
        </is>
      </c>
      <c r="B155" t="inlineStr">
        <is>
          <t>SIKES MILL</t>
        </is>
      </c>
      <c r="C155">
        <v>0.057</v>
      </c>
      <c r="D155" t="inlineStr">
        <is>
          <t>N</t>
        </is>
      </c>
      <c r="E155" t="inlineStr">
        <is>
          <t>HENRY SMITH</t>
        </is>
      </c>
      <c r="F155" t="inlineStr">
        <is>
          <t>*LCL TOM HELMS ROAD</t>
        </is>
      </c>
      <c r="G155" t="inlineStr">
        <is>
          <t>SIKES MILL</t>
        </is>
      </c>
      <c r="H155">
        <v>999.999</v>
      </c>
      <c r="L155">
        <v>106910959</v>
      </c>
      <c r="M155" t="inlineStr">
        <is>
          <t>4/1/2022</t>
        </is>
      </c>
      <c r="N155">
        <v>24</v>
      </c>
      <c r="O155">
        <v>1</v>
      </c>
      <c r="P155">
        <v>4</v>
      </c>
      <c r="Q155">
        <v>1</v>
      </c>
      <c r="R155" t="inlineStr">
        <is>
          <t>O</t>
        </is>
      </c>
    </row>
    <row r="156">
      <c r="A156" t="inlineStr">
        <is>
          <t>558</t>
        </is>
      </c>
      <c r="B156" t="inlineStr">
        <is>
          <t>SIKES MILL</t>
        </is>
      </c>
      <c r="C156">
        <v>0.095</v>
      </c>
      <c r="D156" t="inlineStr">
        <is>
          <t>S</t>
        </is>
      </c>
      <c r="E156" t="inlineStr">
        <is>
          <t>HENRY SMITH</t>
        </is>
      </c>
      <c r="F156" t="inlineStr">
        <is>
          <t>TOM HELMS</t>
        </is>
      </c>
      <c r="G156" t="inlineStr">
        <is>
          <t>SIKES MILL</t>
        </is>
      </c>
      <c r="H156">
        <v>999.999</v>
      </c>
      <c r="L156">
        <v>107217101</v>
      </c>
      <c r="M156" t="inlineStr">
        <is>
          <t>1/19/2023</t>
        </is>
      </c>
      <c r="N156">
        <v>24</v>
      </c>
      <c r="O156">
        <v>2</v>
      </c>
      <c r="P156">
        <v>4</v>
      </c>
      <c r="Q156">
        <v>1</v>
      </c>
      <c r="R156" t="inlineStr">
        <is>
          <t>C</t>
        </is>
      </c>
    </row>
    <row r="157">
      <c r="A157" t="inlineStr">
        <is>
          <t>558</t>
        </is>
      </c>
      <c r="B157" t="inlineStr">
        <is>
          <t>SIKES MILL</t>
        </is>
      </c>
      <c r="C157">
        <v>0.19</v>
      </c>
      <c r="D157" t="inlineStr">
        <is>
          <t>S</t>
        </is>
      </c>
      <c r="E157" t="inlineStr">
        <is>
          <t>HENRY SMITH</t>
        </is>
      </c>
      <c r="F157" t="inlineStr">
        <is>
          <t>TOM HELMS</t>
        </is>
      </c>
      <c r="G157" t="inlineStr">
        <is>
          <t>SIKES MILL</t>
        </is>
      </c>
      <c r="H157">
        <v>999.999</v>
      </c>
      <c r="L157">
        <v>106612846</v>
      </c>
      <c r="M157" t="inlineStr">
        <is>
          <t>6/30/2021</t>
        </is>
      </c>
      <c r="N157">
        <v>21</v>
      </c>
      <c r="O157">
        <v>1</v>
      </c>
      <c r="P157">
        <v>0</v>
      </c>
      <c r="Q157">
        <v>1</v>
      </c>
      <c r="R157" t="inlineStr">
        <is>
          <t>C</t>
        </is>
      </c>
    </row>
    <row r="158">
      <c r="A158" t="inlineStr">
        <is>
          <t>558</t>
        </is>
      </c>
      <c r="B158" t="inlineStr">
        <is>
          <t>SIKES MILL</t>
        </is>
      </c>
      <c r="C158">
        <v>0.21</v>
      </c>
      <c r="D158" t="inlineStr">
        <is>
          <t>N</t>
        </is>
      </c>
      <c r="E158" t="inlineStr">
        <is>
          <t>HENRY SMITH</t>
        </is>
      </c>
      <c r="F158" t="inlineStr">
        <is>
          <t>HAIGLER BAUCOM</t>
        </is>
      </c>
      <c r="G158" t="inlineStr">
        <is>
          <t>SIKES MILL</t>
        </is>
      </c>
      <c r="H158">
        <v>999.999</v>
      </c>
      <c r="L158">
        <v>107337337</v>
      </c>
      <c r="M158" t="inlineStr">
        <is>
          <t>5/16/2023</t>
        </is>
      </c>
      <c r="N158">
        <v>21</v>
      </c>
      <c r="O158">
        <v>1</v>
      </c>
      <c r="P158">
        <v>0</v>
      </c>
      <c r="Q158">
        <v>1</v>
      </c>
      <c r="R158" t="inlineStr">
        <is>
          <t>O</t>
        </is>
      </c>
    </row>
    <row r="159">
      <c r="A159" t="inlineStr">
        <is>
          <t>0</t>
        </is>
      </c>
      <c r="B159" t="inlineStr">
        <is>
          <t>SIKES MILL</t>
        </is>
      </c>
      <c r="C159">
        <v>0.0</v>
      </c>
      <c r="E159" t="inlineStr">
        <is>
          <t>NC 218</t>
        </is>
      </c>
      <c r="F159" t="inlineStr">
        <is>
          <t>*LCL OLD FISH RD</t>
        </is>
      </c>
      <c r="G159" t="inlineStr">
        <is>
          <t>SIKES MILL</t>
        </is>
      </c>
      <c r="H159">
        <v>999.999</v>
      </c>
      <c r="L159">
        <v>106882446</v>
      </c>
      <c r="M159" t="inlineStr">
        <is>
          <t>2/27/2022</t>
        </is>
      </c>
      <c r="N159">
        <v>21</v>
      </c>
      <c r="O159">
        <v>2</v>
      </c>
      <c r="P159">
        <v>7</v>
      </c>
      <c r="Q159">
        <v>1</v>
      </c>
      <c r="R159" t="inlineStr">
        <is>
          <t>O</t>
        </is>
      </c>
    </row>
    <row r="160">
      <c r="A160" t="inlineStr">
        <is>
          <t>637</t>
        </is>
      </c>
      <c r="B160" t="inlineStr">
        <is>
          <t>SIKES MILL</t>
        </is>
      </c>
      <c r="C160">
        <v>0.11</v>
      </c>
      <c r="D160" t="inlineStr">
        <is>
          <t>N</t>
        </is>
      </c>
      <c r="E160" t="inlineStr">
        <is>
          <t>NC 218</t>
        </is>
      </c>
      <c r="F160" t="inlineStr">
        <is>
          <t>BRIEF</t>
        </is>
      </c>
      <c r="G160" t="inlineStr">
        <is>
          <t>SIKES MILL</t>
        </is>
      </c>
      <c r="H160">
        <v>999.999</v>
      </c>
      <c r="L160">
        <v>107575353</v>
      </c>
      <c r="M160" t="inlineStr">
        <is>
          <t>12/26/2023</t>
        </is>
      </c>
      <c r="N160">
        <v>19</v>
      </c>
      <c r="O160">
        <v>2</v>
      </c>
      <c r="P160">
        <v>0</v>
      </c>
      <c r="Q160">
        <v>1</v>
      </c>
      <c r="R160" t="inlineStr">
        <is>
          <t>O</t>
        </is>
      </c>
    </row>
    <row r="161">
      <c r="A161" t="inlineStr">
        <is>
          <t>637</t>
        </is>
      </c>
      <c r="B161" t="inlineStr">
        <is>
          <t>SIKES MILL</t>
        </is>
      </c>
      <c r="C161">
        <v>0.19</v>
      </c>
      <c r="D161" t="inlineStr">
        <is>
          <t>N</t>
        </is>
      </c>
      <c r="E161" t="inlineStr">
        <is>
          <t>NC 218</t>
        </is>
      </c>
      <c r="F161" t="inlineStr">
        <is>
          <t>BRIEF</t>
        </is>
      </c>
      <c r="G161" t="inlineStr">
        <is>
          <t>SIKES MILL</t>
        </is>
      </c>
      <c r="H161">
        <v>999.999</v>
      </c>
      <c r="L161">
        <v>107132496</v>
      </c>
      <c r="M161" t="inlineStr">
        <is>
          <t>11/3/2022</t>
        </is>
      </c>
      <c r="N161">
        <v>28</v>
      </c>
      <c r="O161">
        <v>1</v>
      </c>
      <c r="P161">
        <v>0</v>
      </c>
      <c r="Q161">
        <v>1</v>
      </c>
      <c r="R161" t="inlineStr">
        <is>
          <t>O</t>
        </is>
      </c>
    </row>
    <row r="162">
      <c r="A162" t="inlineStr">
        <is>
          <t>637</t>
        </is>
      </c>
      <c r="B162" t="inlineStr">
        <is>
          <t>SIKES MILL</t>
        </is>
      </c>
      <c r="C162">
        <v>0.44</v>
      </c>
      <c r="D162" t="inlineStr">
        <is>
          <t>N</t>
        </is>
      </c>
      <c r="E162" t="inlineStr">
        <is>
          <t>NC 218</t>
        </is>
      </c>
      <c r="F162" t="inlineStr">
        <is>
          <t>BRIEF</t>
        </is>
      </c>
      <c r="G162" t="inlineStr">
        <is>
          <t>SIKES MILL</t>
        </is>
      </c>
      <c r="H162">
        <v>999.999</v>
      </c>
      <c r="L162">
        <v>108296735</v>
      </c>
      <c r="M162" t="inlineStr">
        <is>
          <t>11/6/2025</t>
        </is>
      </c>
      <c r="N162">
        <v>29</v>
      </c>
      <c r="O162">
        <v>1</v>
      </c>
      <c r="P162">
        <v>0</v>
      </c>
      <c r="Q162">
        <v>5</v>
      </c>
      <c r="R162" t="inlineStr">
        <is>
          <t>O</t>
        </is>
      </c>
    </row>
    <row r="163">
      <c r="A163" t="inlineStr">
        <is>
          <t>637</t>
        </is>
      </c>
      <c r="B163" t="inlineStr">
        <is>
          <t>SIKES MILL</t>
        </is>
      </c>
      <c r="C163">
        <v>0.0</v>
      </c>
      <c r="E163" t="inlineStr">
        <is>
          <t>OLD FERRY</t>
        </is>
      </c>
      <c r="F163" t="inlineStr">
        <is>
          <t>*LCL BIGGERS CEMETERY RD</t>
        </is>
      </c>
      <c r="G163" t="inlineStr">
        <is>
          <t>SIKES MILL</t>
        </is>
      </c>
      <c r="H163">
        <v>999.999</v>
      </c>
      <c r="L163">
        <v>107885248</v>
      </c>
      <c r="M163" t="inlineStr">
        <is>
          <t>10/16/2024</t>
        </is>
      </c>
      <c r="N163">
        <v>23</v>
      </c>
      <c r="O163">
        <v>1</v>
      </c>
      <c r="P163">
        <v>7</v>
      </c>
      <c r="Q163">
        <v>1</v>
      </c>
      <c r="R163" t="inlineStr">
        <is>
          <t>O</t>
        </is>
      </c>
    </row>
    <row r="164">
      <c r="A164" t="inlineStr">
        <is>
          <t>637</t>
        </is>
      </c>
      <c r="B164" t="inlineStr">
        <is>
          <t>SIKES MILL</t>
        </is>
      </c>
      <c r="C164">
        <v>0.019</v>
      </c>
      <c r="D164" t="inlineStr">
        <is>
          <t>S</t>
        </is>
      </c>
      <c r="E164" t="inlineStr">
        <is>
          <t>OLD FERRY</t>
        </is>
      </c>
      <c r="F164" t="inlineStr">
        <is>
          <t>BRIEF</t>
        </is>
      </c>
      <c r="G164" t="inlineStr">
        <is>
          <t>SIKES MILL</t>
        </is>
      </c>
      <c r="H164">
        <v>999.999</v>
      </c>
      <c r="L164">
        <v>106029162</v>
      </c>
      <c r="M164" t="inlineStr">
        <is>
          <t>10/18/2019</t>
        </is>
      </c>
      <c r="N164">
        <v>29</v>
      </c>
      <c r="O164">
        <v>1</v>
      </c>
      <c r="P164">
        <v>0</v>
      </c>
      <c r="Q164">
        <v>3</v>
      </c>
      <c r="R164" t="inlineStr">
        <is>
          <t>C</t>
        </is>
      </c>
    </row>
    <row r="165">
      <c r="A165" t="inlineStr">
        <is>
          <t>637</t>
        </is>
      </c>
      <c r="B165" t="inlineStr">
        <is>
          <t>SIKES MILL</t>
        </is>
      </c>
      <c r="C165">
        <v>0.076</v>
      </c>
      <c r="D165" t="inlineStr">
        <is>
          <t>S</t>
        </is>
      </c>
      <c r="E165" t="inlineStr">
        <is>
          <t>OLD FERRY</t>
        </is>
      </c>
      <c r="F165" t="inlineStr">
        <is>
          <t>BRIEF</t>
        </is>
      </c>
      <c r="G165" t="inlineStr">
        <is>
          <t>SIKES MILL</t>
        </is>
      </c>
      <c r="H165">
        <v>999.999</v>
      </c>
      <c r="L165">
        <v>106285749</v>
      </c>
      <c r="M165" t="inlineStr">
        <is>
          <t>7/24/2020</t>
        </is>
      </c>
      <c r="N165">
        <v>29</v>
      </c>
      <c r="O165">
        <v>2</v>
      </c>
      <c r="P165">
        <v>0</v>
      </c>
      <c r="Q165">
        <v>1</v>
      </c>
      <c r="R165" t="inlineStr">
        <is>
          <t>O</t>
        </is>
      </c>
    </row>
    <row r="166">
      <c r="A166" t="inlineStr">
        <is>
          <t>637</t>
        </is>
      </c>
      <c r="B166" t="inlineStr">
        <is>
          <t>SIKES MILL</t>
        </is>
      </c>
      <c r="C166">
        <v>0.085</v>
      </c>
      <c r="D166" t="inlineStr">
        <is>
          <t>N</t>
        </is>
      </c>
      <c r="E166" t="inlineStr">
        <is>
          <t>OLD FERRY</t>
        </is>
      </c>
      <c r="F166" t="inlineStr">
        <is>
          <t>*LCL BIGGERS CEMETRY RD</t>
        </is>
      </c>
      <c r="G166" t="inlineStr">
        <is>
          <t>SIKES MILL</t>
        </is>
      </c>
      <c r="H166">
        <v>999.999</v>
      </c>
      <c r="L166">
        <v>108310676</v>
      </c>
      <c r="M166" t="inlineStr">
        <is>
          <t>11/18/2025</t>
        </is>
      </c>
      <c r="N166">
        <v>19</v>
      </c>
      <c r="O166">
        <v>1</v>
      </c>
      <c r="P166">
        <v>0</v>
      </c>
      <c r="Q166">
        <v>1</v>
      </c>
      <c r="R166" t="inlineStr">
        <is>
          <t>O</t>
        </is>
      </c>
    </row>
    <row r="167">
      <c r="A167" t="inlineStr">
        <is>
          <t>558</t>
        </is>
      </c>
      <c r="B167" t="inlineStr">
        <is>
          <t>SIKES MILL</t>
        </is>
      </c>
      <c r="C167">
        <v>0.19</v>
      </c>
      <c r="D167" t="inlineStr">
        <is>
          <t>N</t>
        </is>
      </c>
      <c r="E167" t="inlineStr">
        <is>
          <t>OLD FERRY</t>
        </is>
      </c>
      <c r="F167" t="inlineStr">
        <is>
          <t>*LCL BIGGERS CEMETERY RD</t>
        </is>
      </c>
      <c r="G167" t="inlineStr">
        <is>
          <t>SIKES MILL</t>
        </is>
      </c>
      <c r="H167">
        <v>999.999</v>
      </c>
      <c r="L167">
        <v>106626412</v>
      </c>
      <c r="M167" t="inlineStr">
        <is>
          <t>7/9/2021</t>
        </is>
      </c>
      <c r="N167">
        <v>29</v>
      </c>
      <c r="O167">
        <v>2</v>
      </c>
      <c r="P167">
        <v>0</v>
      </c>
      <c r="Q167">
        <v>1</v>
      </c>
      <c r="R167" t="inlineStr">
        <is>
          <t>O</t>
        </is>
      </c>
    </row>
    <row r="168">
      <c r="A168" t="inlineStr">
        <is>
          <t>0</t>
        </is>
      </c>
      <c r="B168" t="inlineStr">
        <is>
          <t>SIKES MILL</t>
        </is>
      </c>
      <c r="C168">
        <v>0.2</v>
      </c>
      <c r="D168" t="inlineStr">
        <is>
          <t>S</t>
        </is>
      </c>
      <c r="E168" t="inlineStr">
        <is>
          <t>OLD FERRY</t>
        </is>
      </c>
      <c r="F168" t="inlineStr">
        <is>
          <t>BRIEF</t>
        </is>
      </c>
      <c r="G168" t="inlineStr">
        <is>
          <t>SIKES MILL</t>
        </is>
      </c>
      <c r="H168">
        <v>999.999</v>
      </c>
      <c r="L168">
        <v>106023012</v>
      </c>
      <c r="M168" t="inlineStr">
        <is>
          <t>10/15/2019</t>
        </is>
      </c>
      <c r="N168">
        <v>17</v>
      </c>
      <c r="O168">
        <v>1</v>
      </c>
      <c r="P168">
        <v>0</v>
      </c>
      <c r="Q168">
        <v>5</v>
      </c>
      <c r="R168" t="inlineStr">
        <is>
          <t>O</t>
        </is>
      </c>
    </row>
    <row r="169">
      <c r="A169" t="inlineStr">
        <is>
          <t>637</t>
        </is>
      </c>
      <c r="B169" t="inlineStr">
        <is>
          <t>SIKES MILL</t>
        </is>
      </c>
      <c r="C169">
        <v>0.3</v>
      </c>
      <c r="D169" t="inlineStr">
        <is>
          <t>N</t>
        </is>
      </c>
      <c r="E169" t="inlineStr">
        <is>
          <t>OLD FERRY</t>
        </is>
      </c>
      <c r="F169" t="inlineStr">
        <is>
          <t>*LCL BIGGERS CEMETRY RD</t>
        </is>
      </c>
      <c r="G169" t="inlineStr">
        <is>
          <t>SIKES MILL</t>
        </is>
      </c>
      <c r="H169">
        <v>999.999</v>
      </c>
      <c r="L169">
        <v>107748214</v>
      </c>
      <c r="M169" t="inlineStr">
        <is>
          <t>6/12/2024</t>
        </is>
      </c>
      <c r="N169">
        <v>17</v>
      </c>
      <c r="O169">
        <v>1</v>
      </c>
      <c r="P169">
        <v>0</v>
      </c>
      <c r="Q169">
        <v>1</v>
      </c>
      <c r="R169" t="inlineStr">
        <is>
          <t>O</t>
        </is>
      </c>
    </row>
    <row r="170">
      <c r="A170" t="inlineStr">
        <is>
          <t>558</t>
        </is>
      </c>
      <c r="B170" t="inlineStr">
        <is>
          <t>SIKES MILL</t>
        </is>
      </c>
      <c r="C170">
        <v>0.0</v>
      </c>
      <c r="E170" t="inlineStr">
        <is>
          <t>PIEDMONT SCHOOL</t>
        </is>
      </c>
      <c r="F170" t="inlineStr">
        <is>
          <t>HENRY SMITH</t>
        </is>
      </c>
      <c r="G170" t="inlineStr">
        <is>
          <t>SIKES MILL</t>
        </is>
      </c>
      <c r="H170">
        <v>999.999</v>
      </c>
      <c r="L170">
        <v>105787598</v>
      </c>
      <c r="M170" t="inlineStr">
        <is>
          <t>2/28/2019</t>
        </is>
      </c>
      <c r="N170">
        <v>24</v>
      </c>
      <c r="O170">
        <v>1</v>
      </c>
      <c r="P170">
        <v>8</v>
      </c>
      <c r="Q170">
        <v>1</v>
      </c>
      <c r="R170" t="inlineStr">
        <is>
          <t>C</t>
        </is>
      </c>
    </row>
    <row r="171">
      <c r="A171" t="inlineStr">
        <is>
          <t>558</t>
        </is>
      </c>
      <c r="B171" t="inlineStr">
        <is>
          <t>SIKES MILL</t>
        </is>
      </c>
      <c r="C171">
        <v>0.22</v>
      </c>
      <c r="D171" t="inlineStr">
        <is>
          <t>N</t>
        </is>
      </c>
      <c r="E171" t="inlineStr">
        <is>
          <t>PIEDMONT SCHOOL</t>
        </is>
      </c>
      <c r="F171" t="inlineStr">
        <is>
          <t>HAIGLER BAUCOM</t>
        </is>
      </c>
      <c r="G171" t="inlineStr">
        <is>
          <t>SIKES MILL</t>
        </is>
      </c>
      <c r="H171">
        <v>999.999</v>
      </c>
      <c r="L171">
        <v>104745060</v>
      </c>
      <c r="M171" t="inlineStr">
        <is>
          <t>5/26/2016</t>
        </is>
      </c>
      <c r="N171">
        <v>21</v>
      </c>
      <c r="O171">
        <v>1</v>
      </c>
      <c r="P171">
        <v>0</v>
      </c>
      <c r="Q171">
        <v>1</v>
      </c>
      <c r="R171" t="inlineStr">
        <is>
          <t>O</t>
        </is>
      </c>
    </row>
    <row r="172">
      <c r="A172" t="inlineStr">
        <is>
          <t>558</t>
        </is>
      </c>
      <c r="B172" t="inlineStr">
        <is>
          <t>SR 1001</t>
        </is>
      </c>
      <c r="C172">
        <v>0.0</v>
      </c>
      <c r="E172" t="inlineStr">
        <is>
          <t>US 601</t>
        </is>
      </c>
      <c r="F172" t="inlineStr">
        <is>
          <t>US 74</t>
        </is>
      </c>
      <c r="G172" t="inlineStr">
        <is>
          <t>SR 1001</t>
        </is>
      </c>
      <c r="H172">
        <v>0.0</v>
      </c>
      <c r="L172">
        <v>108010266</v>
      </c>
      <c r="M172" t="inlineStr">
        <is>
          <t>2/3/2025</t>
        </is>
      </c>
      <c r="N172">
        <v>21</v>
      </c>
      <c r="O172">
        <v>1</v>
      </c>
      <c r="P172">
        <v>8</v>
      </c>
      <c r="Q172">
        <v>1</v>
      </c>
      <c r="R172" t="inlineStr">
        <is>
          <t>O</t>
        </is>
      </c>
    </row>
    <row r="173">
      <c r="A173" t="inlineStr">
        <is>
          <t>0</t>
        </is>
      </c>
      <c r="B173" t="inlineStr">
        <is>
          <t>SR 1001</t>
        </is>
      </c>
      <c r="C173">
        <v>0.0</v>
      </c>
      <c r="E173" t="inlineStr">
        <is>
          <t>US 601</t>
        </is>
      </c>
      <c r="F173" t="inlineStr">
        <is>
          <t>SR 1504</t>
        </is>
      </c>
      <c r="G173" t="inlineStr">
        <is>
          <t>SR 1001</t>
        </is>
      </c>
      <c r="H173">
        <v>0.0</v>
      </c>
      <c r="L173">
        <v>106852598</v>
      </c>
      <c r="M173" t="inlineStr">
        <is>
          <t>2/5/2022</t>
        </is>
      </c>
      <c r="N173">
        <v>19</v>
      </c>
      <c r="O173">
        <v>1</v>
      </c>
      <c r="P173">
        <v>8</v>
      </c>
      <c r="Q173">
        <v>5</v>
      </c>
      <c r="R173" t="inlineStr">
        <is>
          <t>O</t>
        </is>
      </c>
    </row>
    <row r="174">
      <c r="A174" t="inlineStr">
        <is>
          <t>0</t>
        </is>
      </c>
      <c r="B174" t="inlineStr">
        <is>
          <t>SR 1001</t>
        </is>
      </c>
      <c r="C174">
        <v>0.0</v>
      </c>
      <c r="E174" t="inlineStr">
        <is>
          <t>US 601</t>
        </is>
      </c>
      <c r="F174" t="inlineStr">
        <is>
          <t>DEAD END</t>
        </is>
      </c>
      <c r="G174" t="inlineStr">
        <is>
          <t>SR 1001</t>
        </is>
      </c>
      <c r="H174">
        <v>0.0</v>
      </c>
      <c r="L174">
        <v>106345655</v>
      </c>
      <c r="M174" t="inlineStr">
        <is>
          <t>9/14/2020</t>
        </is>
      </c>
      <c r="N174">
        <v>30</v>
      </c>
      <c r="O174">
        <v>1</v>
      </c>
      <c r="P174">
        <v>8</v>
      </c>
      <c r="Q174">
        <v>5</v>
      </c>
      <c r="R174" t="inlineStr">
        <is>
          <t>A</t>
        </is>
      </c>
    </row>
    <row r="175">
      <c r="A175" t="inlineStr">
        <is>
          <t>0</t>
        </is>
      </c>
      <c r="B175" t="inlineStr">
        <is>
          <t>SR 1001</t>
        </is>
      </c>
      <c r="C175">
        <v>0.0</v>
      </c>
      <c r="E175" t="inlineStr">
        <is>
          <t>US 601</t>
        </is>
      </c>
      <c r="F175" t="inlineStr">
        <is>
          <t>SR 1620</t>
        </is>
      </c>
      <c r="G175" t="inlineStr">
        <is>
          <t>SR 1001</t>
        </is>
      </c>
      <c r="H175">
        <v>0.0</v>
      </c>
      <c r="L175">
        <v>106219230</v>
      </c>
      <c r="M175" t="inlineStr">
        <is>
          <t>5/5/2020</t>
        </is>
      </c>
      <c r="N175">
        <v>19</v>
      </c>
      <c r="O175">
        <v>2</v>
      </c>
      <c r="P175">
        <v>8</v>
      </c>
      <c r="Q175">
        <v>5</v>
      </c>
      <c r="R175" t="inlineStr">
        <is>
          <t>B</t>
        </is>
      </c>
    </row>
    <row r="176">
      <c r="A176" t="inlineStr">
        <is>
          <t>0</t>
        </is>
      </c>
      <c r="B176" t="inlineStr">
        <is>
          <t>SR 1001</t>
        </is>
      </c>
      <c r="C176">
        <v>0.0</v>
      </c>
      <c r="E176" t="inlineStr">
        <is>
          <t>US 601</t>
        </is>
      </c>
      <c r="G176" t="inlineStr">
        <is>
          <t>SR 1001</t>
        </is>
      </c>
      <c r="H176">
        <v>0.0</v>
      </c>
      <c r="L176">
        <v>105752124</v>
      </c>
      <c r="M176" t="inlineStr">
        <is>
          <t>1/23/2019</t>
        </is>
      </c>
      <c r="N176">
        <v>21</v>
      </c>
      <c r="O176">
        <v>2</v>
      </c>
      <c r="P176">
        <v>8</v>
      </c>
      <c r="Q176">
        <v>5</v>
      </c>
      <c r="R176" t="inlineStr">
        <is>
          <t>C</t>
        </is>
      </c>
    </row>
    <row r="177">
      <c r="A177" t="inlineStr">
        <is>
          <t>0</t>
        </is>
      </c>
      <c r="B177" t="inlineStr">
        <is>
          <t>SR 1001</t>
        </is>
      </c>
      <c r="C177">
        <v>0.0</v>
      </c>
      <c r="E177" t="inlineStr">
        <is>
          <t>US 601</t>
        </is>
      </c>
      <c r="F177" t="inlineStr">
        <is>
          <t>SR 1460</t>
        </is>
      </c>
      <c r="G177" t="inlineStr">
        <is>
          <t>SR 1001</t>
        </is>
      </c>
      <c r="H177">
        <v>0.0</v>
      </c>
      <c r="L177">
        <v>105477289</v>
      </c>
      <c r="M177" t="inlineStr">
        <is>
          <t>5/11/2018</t>
        </is>
      </c>
      <c r="N177">
        <v>24</v>
      </c>
      <c r="O177">
        <v>1</v>
      </c>
      <c r="P177">
        <v>8</v>
      </c>
      <c r="Q177">
        <v>5</v>
      </c>
      <c r="R177" t="inlineStr">
        <is>
          <t>C</t>
        </is>
      </c>
    </row>
    <row r="178">
      <c r="A178" t="inlineStr">
        <is>
          <t>0</t>
        </is>
      </c>
      <c r="B178" t="inlineStr">
        <is>
          <t>SIKES MILL</t>
        </is>
      </c>
      <c r="C178">
        <v>1.35</v>
      </c>
      <c r="D178" t="inlineStr">
        <is>
          <t>S</t>
        </is>
      </c>
      <c r="E178" t="inlineStr">
        <is>
          <t>BAUCOM</t>
        </is>
      </c>
      <c r="F178" t="inlineStr">
        <is>
          <t>US 601</t>
        </is>
      </c>
      <c r="G178" t="inlineStr">
        <is>
          <t>SR 1001</t>
        </is>
      </c>
      <c r="H178">
        <v>0.002</v>
      </c>
      <c r="L178">
        <v>106252525</v>
      </c>
      <c r="M178" t="inlineStr">
        <is>
          <t>6/7/2020</t>
        </is>
      </c>
      <c r="N178">
        <v>19</v>
      </c>
      <c r="O178">
        <v>1</v>
      </c>
      <c r="P178">
        <v>8</v>
      </c>
      <c r="Q178">
        <v>5</v>
      </c>
      <c r="R178" t="inlineStr">
        <is>
          <t>O</t>
        </is>
      </c>
    </row>
    <row r="179">
      <c r="A179" t="inlineStr">
        <is>
          <t>558</t>
        </is>
      </c>
      <c r="B179" t="inlineStr">
        <is>
          <t>SR 1001</t>
        </is>
      </c>
      <c r="C179">
        <v>0.002</v>
      </c>
      <c r="D179" t="inlineStr">
        <is>
          <t>N</t>
        </is>
      </c>
      <c r="E179" t="inlineStr">
        <is>
          <t>US 601</t>
        </is>
      </c>
      <c r="F179" t="inlineStr">
        <is>
          <t>SPRING LAKE</t>
        </is>
      </c>
      <c r="G179" t="inlineStr">
        <is>
          <t>SR 1001</t>
        </is>
      </c>
      <c r="H179">
        <v>0.002</v>
      </c>
      <c r="L179">
        <v>105520586</v>
      </c>
      <c r="M179" t="inlineStr">
        <is>
          <t>5/23/2018</t>
        </is>
      </c>
      <c r="N179">
        <v>21</v>
      </c>
      <c r="O179">
        <v>1</v>
      </c>
      <c r="P179">
        <v>0</v>
      </c>
      <c r="Q179">
        <v>1</v>
      </c>
      <c r="R179" t="inlineStr">
        <is>
          <t>O</t>
        </is>
      </c>
    </row>
    <row r="180">
      <c r="A180" t="inlineStr">
        <is>
          <t>0</t>
        </is>
      </c>
      <c r="B180" t="inlineStr">
        <is>
          <t>SR 1001</t>
        </is>
      </c>
      <c r="C180">
        <v>0.002</v>
      </c>
      <c r="D180" t="inlineStr">
        <is>
          <t>NE</t>
        </is>
      </c>
      <c r="E180" t="inlineStr">
        <is>
          <t>US 601</t>
        </is>
      </c>
      <c r="F180" t="inlineStr">
        <is>
          <t>SPRING LAKE</t>
        </is>
      </c>
      <c r="G180" t="inlineStr">
        <is>
          <t>SR 1001</t>
        </is>
      </c>
      <c r="H180">
        <v>0.002</v>
      </c>
      <c r="L180">
        <v>105326274</v>
      </c>
      <c r="M180" t="inlineStr">
        <is>
          <t>11/25/2017</t>
        </is>
      </c>
      <c r="N180">
        <v>21</v>
      </c>
      <c r="O180">
        <v>1</v>
      </c>
      <c r="P180">
        <v>9</v>
      </c>
      <c r="Q180">
        <v>1</v>
      </c>
      <c r="R180" t="inlineStr">
        <is>
          <t>O</t>
        </is>
      </c>
    </row>
    <row r="181">
      <c r="A181" t="inlineStr">
        <is>
          <t>0</t>
        </is>
      </c>
      <c r="B181" t="inlineStr">
        <is>
          <t>SR 1001</t>
        </is>
      </c>
      <c r="C181">
        <v>0.003</v>
      </c>
      <c r="D181" t="inlineStr">
        <is>
          <t>E</t>
        </is>
      </c>
      <c r="E181" t="inlineStr">
        <is>
          <t>US 601</t>
        </is>
      </c>
      <c r="F181" t="inlineStr">
        <is>
          <t>SR 1620</t>
        </is>
      </c>
      <c r="G181" t="inlineStr">
        <is>
          <t>SR 1001</t>
        </is>
      </c>
      <c r="H181">
        <v>0.003</v>
      </c>
      <c r="L181">
        <v>105007511</v>
      </c>
      <c r="M181" t="inlineStr">
        <is>
          <t>2/11/2017</t>
        </is>
      </c>
      <c r="N181">
        <v>27</v>
      </c>
      <c r="O181">
        <v>1</v>
      </c>
      <c r="P181">
        <v>8</v>
      </c>
      <c r="Q181">
        <v>5</v>
      </c>
      <c r="R181" t="inlineStr">
        <is>
          <t>B</t>
        </is>
      </c>
    </row>
    <row r="182">
      <c r="A182" t="inlineStr">
        <is>
          <t>558</t>
        </is>
      </c>
      <c r="B182" t="inlineStr">
        <is>
          <t>SR 1001</t>
        </is>
      </c>
      <c r="C182">
        <v>0.004</v>
      </c>
      <c r="D182" t="inlineStr">
        <is>
          <t>N</t>
        </is>
      </c>
      <c r="E182" t="inlineStr">
        <is>
          <t>US 601</t>
        </is>
      </c>
      <c r="F182" t="inlineStr">
        <is>
          <t>SR 1620</t>
        </is>
      </c>
      <c r="G182" t="inlineStr">
        <is>
          <t>SR 1001</t>
        </is>
      </c>
      <c r="H182">
        <v>0.004</v>
      </c>
      <c r="L182">
        <v>107405557</v>
      </c>
      <c r="M182" t="inlineStr">
        <is>
          <t>7/22/2023</t>
        </is>
      </c>
      <c r="N182">
        <v>21</v>
      </c>
      <c r="O182">
        <v>1</v>
      </c>
      <c r="P182">
        <v>9</v>
      </c>
      <c r="Q182">
        <v>1</v>
      </c>
      <c r="R182" t="inlineStr">
        <is>
          <t>O</t>
        </is>
      </c>
    </row>
    <row r="183">
      <c r="A183" t="inlineStr">
        <is>
          <t>558</t>
        </is>
      </c>
      <c r="B183" t="inlineStr">
        <is>
          <t>SR 1001</t>
        </is>
      </c>
      <c r="C183">
        <v>0.004</v>
      </c>
      <c r="D183" t="inlineStr">
        <is>
          <t>NE</t>
        </is>
      </c>
      <c r="E183" t="inlineStr">
        <is>
          <t>US 601</t>
        </is>
      </c>
      <c r="F183" t="inlineStr">
        <is>
          <t>SR 1665</t>
        </is>
      </c>
      <c r="G183" t="inlineStr">
        <is>
          <t>SR 1001</t>
        </is>
      </c>
      <c r="H183">
        <v>0.004</v>
      </c>
      <c r="L183">
        <v>106020271</v>
      </c>
      <c r="M183" t="inlineStr">
        <is>
          <t>10/8/2019</t>
        </is>
      </c>
      <c r="N183">
        <v>21</v>
      </c>
      <c r="O183">
        <v>1</v>
      </c>
      <c r="P183">
        <v>0</v>
      </c>
      <c r="Q183">
        <v>1</v>
      </c>
      <c r="R183" t="inlineStr">
        <is>
          <t>O</t>
        </is>
      </c>
    </row>
    <row r="184">
      <c r="A184" t="inlineStr">
        <is>
          <t>558</t>
        </is>
      </c>
      <c r="B184" t="inlineStr">
        <is>
          <t>SR 1001</t>
        </is>
      </c>
      <c r="C184">
        <v>0.005</v>
      </c>
      <c r="D184" t="inlineStr">
        <is>
          <t>N</t>
        </is>
      </c>
      <c r="E184" t="inlineStr">
        <is>
          <t>US 601</t>
        </is>
      </c>
      <c r="F184" t="inlineStr">
        <is>
          <t>SR 1620</t>
        </is>
      </c>
      <c r="G184" t="inlineStr">
        <is>
          <t>SR 1001</t>
        </is>
      </c>
      <c r="H184">
        <v>0.005</v>
      </c>
      <c r="L184">
        <v>107088923</v>
      </c>
      <c r="M184" t="inlineStr">
        <is>
          <t>9/21/2022</t>
        </is>
      </c>
      <c r="N184">
        <v>21</v>
      </c>
      <c r="O184">
        <v>1</v>
      </c>
      <c r="P184">
        <v>8</v>
      </c>
      <c r="Q184">
        <v>1</v>
      </c>
      <c r="R184" t="inlineStr">
        <is>
          <t>O</t>
        </is>
      </c>
    </row>
    <row r="185">
      <c r="A185" t="inlineStr">
        <is>
          <t>0</t>
        </is>
      </c>
      <c r="B185" t="inlineStr">
        <is>
          <t>SR 1001</t>
        </is>
      </c>
      <c r="C185">
        <v>0.008</v>
      </c>
      <c r="D185" t="inlineStr">
        <is>
          <t>N</t>
        </is>
      </c>
      <c r="E185" t="inlineStr">
        <is>
          <t>US 601</t>
        </is>
      </c>
      <c r="F185" t="inlineStr">
        <is>
          <t>SR 1620</t>
        </is>
      </c>
      <c r="G185" t="inlineStr">
        <is>
          <t>SR 1001</t>
        </is>
      </c>
      <c r="H185">
        <v>0.008</v>
      </c>
      <c r="L185">
        <v>104867496</v>
      </c>
      <c r="M185" t="inlineStr">
        <is>
          <t>9/30/2016</t>
        </is>
      </c>
      <c r="N185">
        <v>19</v>
      </c>
      <c r="O185">
        <v>1</v>
      </c>
      <c r="P185">
        <v>8</v>
      </c>
      <c r="Q185">
        <v>5</v>
      </c>
      <c r="R185" t="inlineStr">
        <is>
          <t>O</t>
        </is>
      </c>
    </row>
    <row r="186">
      <c r="A186" t="inlineStr">
        <is>
          <t>558</t>
        </is>
      </c>
      <c r="B186" t="inlineStr">
        <is>
          <t>SR 1001</t>
        </is>
      </c>
      <c r="C186">
        <v>0.01</v>
      </c>
      <c r="D186" t="inlineStr">
        <is>
          <t>NE</t>
        </is>
      </c>
      <c r="E186" t="inlineStr">
        <is>
          <t>US 601</t>
        </is>
      </c>
      <c r="F186" t="inlineStr">
        <is>
          <t>SR 1620</t>
        </is>
      </c>
      <c r="G186" t="inlineStr">
        <is>
          <t>SR 1001</t>
        </is>
      </c>
      <c r="H186">
        <v>0.01</v>
      </c>
      <c r="L186">
        <v>107615459</v>
      </c>
      <c r="M186" t="inlineStr">
        <is>
          <t>2/5/2024</t>
        </is>
      </c>
      <c r="N186">
        <v>29</v>
      </c>
      <c r="O186">
        <v>1</v>
      </c>
      <c r="P186">
        <v>0</v>
      </c>
      <c r="Q186">
        <v>3</v>
      </c>
      <c r="R186" t="inlineStr">
        <is>
          <t>O</t>
        </is>
      </c>
    </row>
    <row r="187">
      <c r="A187" t="inlineStr">
        <is>
          <t>558</t>
        </is>
      </c>
      <c r="B187" t="inlineStr">
        <is>
          <t>SIKES MILL</t>
        </is>
      </c>
      <c r="C187">
        <v>0.038</v>
      </c>
      <c r="D187" t="inlineStr">
        <is>
          <t>N</t>
        </is>
      </c>
      <c r="E187" t="inlineStr">
        <is>
          <t>US 601</t>
        </is>
      </c>
      <c r="F187" t="inlineStr">
        <is>
          <t>SPRING LAKE</t>
        </is>
      </c>
      <c r="G187" t="inlineStr">
        <is>
          <t>SR 1001</t>
        </is>
      </c>
      <c r="H187">
        <v>0.038</v>
      </c>
      <c r="L187">
        <v>107395905</v>
      </c>
      <c r="M187" t="inlineStr">
        <is>
          <t>7/14/2023</t>
        </is>
      </c>
      <c r="N187">
        <v>19</v>
      </c>
      <c r="O187">
        <v>1</v>
      </c>
      <c r="P187">
        <v>0</v>
      </c>
      <c r="Q187">
        <v>1</v>
      </c>
      <c r="R187" t="inlineStr">
        <is>
          <t>O</t>
        </is>
      </c>
    </row>
    <row r="188">
      <c r="A188" t="inlineStr">
        <is>
          <t>0</t>
        </is>
      </c>
      <c r="B188" t="inlineStr">
        <is>
          <t>SIKES MILL</t>
        </is>
      </c>
      <c r="C188">
        <v>0.74</v>
      </c>
      <c r="D188" t="inlineStr">
        <is>
          <t>SW</t>
        </is>
      </c>
      <c r="E188" t="inlineStr">
        <is>
          <t>SPRING LAKE</t>
        </is>
      </c>
      <c r="F188" t="inlineStr">
        <is>
          <t>US 601</t>
        </is>
      </c>
      <c r="G188" t="inlineStr">
        <is>
          <t>SR 1001</t>
        </is>
      </c>
      <c r="H188">
        <v>0.145</v>
      </c>
      <c r="L188">
        <v>104717808</v>
      </c>
      <c r="M188" t="inlineStr">
        <is>
          <t>4/26/2016</t>
        </is>
      </c>
      <c r="N188">
        <v>21</v>
      </c>
      <c r="O188">
        <v>1</v>
      </c>
      <c r="P188">
        <v>12</v>
      </c>
      <c r="Q188">
        <v>1</v>
      </c>
      <c r="R188" t="inlineStr">
        <is>
          <t>O</t>
        </is>
      </c>
    </row>
    <row r="189">
      <c r="A189" t="inlineStr">
        <is>
          <t>558</t>
        </is>
      </c>
      <c r="B189" t="inlineStr">
        <is>
          <t>SR 1001</t>
        </is>
      </c>
      <c r="C189">
        <v>0.2</v>
      </c>
      <c r="D189" t="inlineStr">
        <is>
          <t>N</t>
        </is>
      </c>
      <c r="E189" t="inlineStr">
        <is>
          <t>US 601</t>
        </is>
      </c>
      <c r="F189" t="inlineStr">
        <is>
          <t>SR 1620</t>
        </is>
      </c>
      <c r="G189" t="inlineStr">
        <is>
          <t>SR 1001</t>
        </is>
      </c>
      <c r="H189">
        <v>0.2</v>
      </c>
      <c r="L189">
        <v>107643542</v>
      </c>
      <c r="M189" t="inlineStr">
        <is>
          <t>3/2/2024</t>
        </is>
      </c>
      <c r="N189">
        <v>19</v>
      </c>
      <c r="O189">
        <v>1</v>
      </c>
      <c r="P189">
        <v>0</v>
      </c>
      <c r="Q189">
        <v>2</v>
      </c>
      <c r="R189" t="inlineStr">
        <is>
          <t>C</t>
        </is>
      </c>
    </row>
    <row r="190">
      <c r="A190" t="inlineStr">
        <is>
          <t>558</t>
        </is>
      </c>
      <c r="B190" t="inlineStr">
        <is>
          <t>SR 1001</t>
        </is>
      </c>
      <c r="C190">
        <v>0.23</v>
      </c>
      <c r="D190" t="inlineStr">
        <is>
          <t>E</t>
        </is>
      </c>
      <c r="E190" t="inlineStr">
        <is>
          <t>US 601</t>
        </is>
      </c>
      <c r="F190" t="inlineStr">
        <is>
          <t>SPRING LAKE</t>
        </is>
      </c>
      <c r="G190" t="inlineStr">
        <is>
          <t>SR 1001</t>
        </is>
      </c>
      <c r="H190">
        <v>0.23</v>
      </c>
      <c r="L190">
        <v>108184095</v>
      </c>
      <c r="M190" t="inlineStr">
        <is>
          <t>7/21/2025</t>
        </is>
      </c>
      <c r="N190">
        <v>19</v>
      </c>
      <c r="O190">
        <v>1</v>
      </c>
      <c r="P190">
        <v>0</v>
      </c>
      <c r="Q190">
        <v>1</v>
      </c>
      <c r="R190" t="inlineStr">
        <is>
          <t>A</t>
        </is>
      </c>
    </row>
    <row r="191">
      <c r="A191" t="inlineStr">
        <is>
          <t>558</t>
        </is>
      </c>
      <c r="B191" t="inlineStr">
        <is>
          <t>SR 1001</t>
        </is>
      </c>
      <c r="C191">
        <v>0.3</v>
      </c>
      <c r="D191" t="inlineStr">
        <is>
          <t>N</t>
        </is>
      </c>
      <c r="E191" t="inlineStr">
        <is>
          <t>US 601</t>
        </is>
      </c>
      <c r="F191" t="inlineStr">
        <is>
          <t>SR 1620</t>
        </is>
      </c>
      <c r="G191" t="inlineStr">
        <is>
          <t>SR 1001</t>
        </is>
      </c>
      <c r="H191">
        <v>0.3</v>
      </c>
      <c r="L191">
        <v>107224114</v>
      </c>
      <c r="M191" t="inlineStr">
        <is>
          <t>1/24/2023</t>
        </is>
      </c>
      <c r="N191">
        <v>19</v>
      </c>
      <c r="O191">
        <v>1</v>
      </c>
      <c r="P191">
        <v>0</v>
      </c>
      <c r="Q191">
        <v>5</v>
      </c>
      <c r="R191" t="inlineStr">
        <is>
          <t>O</t>
        </is>
      </c>
    </row>
    <row r="192">
      <c r="A192" t="inlineStr">
        <is>
          <t>558</t>
        </is>
      </c>
      <c r="B192" t="inlineStr">
        <is>
          <t>SR 1001</t>
        </is>
      </c>
      <c r="C192">
        <v>0.35</v>
      </c>
      <c r="D192" t="inlineStr">
        <is>
          <t>N</t>
        </is>
      </c>
      <c r="E192" t="inlineStr">
        <is>
          <t>US 601</t>
        </is>
      </c>
      <c r="F192" t="inlineStr">
        <is>
          <t>SR 1620</t>
        </is>
      </c>
      <c r="G192" t="inlineStr">
        <is>
          <t>SR 1001</t>
        </is>
      </c>
      <c r="H192">
        <v>0.35</v>
      </c>
      <c r="L192">
        <v>105876758</v>
      </c>
      <c r="M192" t="inlineStr">
        <is>
          <t>5/27/2019</t>
        </is>
      </c>
      <c r="N192">
        <v>19</v>
      </c>
      <c r="O192">
        <v>1</v>
      </c>
      <c r="P192">
        <v>0</v>
      </c>
      <c r="Q192">
        <v>1</v>
      </c>
      <c r="R192" t="inlineStr">
        <is>
          <t>A</t>
        </is>
      </c>
    </row>
    <row r="193">
      <c r="A193" t="inlineStr">
        <is>
          <t>558</t>
        </is>
      </c>
      <c r="B193" t="inlineStr">
        <is>
          <t>SR 1001</t>
        </is>
      </c>
      <c r="C193">
        <v>1.0</v>
      </c>
      <c r="D193" t="inlineStr">
        <is>
          <t>S</t>
        </is>
      </c>
      <c r="E193" t="inlineStr">
        <is>
          <t>SR 1620</t>
        </is>
      </c>
      <c r="F193" t="inlineStr">
        <is>
          <t>SPRING LAKE</t>
        </is>
      </c>
      <c r="G193" t="inlineStr">
        <is>
          <t>SR 1001</t>
        </is>
      </c>
      <c r="H193">
        <v>0.352</v>
      </c>
      <c r="L193">
        <v>107943300</v>
      </c>
      <c r="M193" t="inlineStr">
        <is>
          <t>12/1/2024</t>
        </is>
      </c>
      <c r="N193">
        <v>17</v>
      </c>
      <c r="O193">
        <v>1</v>
      </c>
      <c r="P193">
        <v>0</v>
      </c>
      <c r="Q193">
        <v>5</v>
      </c>
      <c r="R193" t="inlineStr">
        <is>
          <t>O</t>
        </is>
      </c>
    </row>
    <row r="194">
      <c r="A194" t="inlineStr">
        <is>
          <t>0</t>
        </is>
      </c>
      <c r="B194" t="inlineStr">
        <is>
          <t>SR 1001</t>
        </is>
      </c>
      <c r="C194">
        <v>1.0</v>
      </c>
      <c r="D194" t="inlineStr">
        <is>
          <t>S</t>
        </is>
      </c>
      <c r="E194" t="inlineStr">
        <is>
          <t>SR 1620</t>
        </is>
      </c>
      <c r="F194" t="inlineStr">
        <is>
          <t>SPRING LAKE</t>
        </is>
      </c>
      <c r="G194" t="inlineStr">
        <is>
          <t>SR 1001</t>
        </is>
      </c>
      <c r="H194">
        <v>0.352</v>
      </c>
      <c r="L194">
        <v>106392203</v>
      </c>
      <c r="M194" t="inlineStr">
        <is>
          <t>11/1/2020</t>
        </is>
      </c>
      <c r="N194">
        <v>19</v>
      </c>
      <c r="O194">
        <v>2</v>
      </c>
      <c r="P194">
        <v>0</v>
      </c>
      <c r="Q194">
        <v>5</v>
      </c>
      <c r="R194" t="inlineStr">
        <is>
          <t>O</t>
        </is>
      </c>
    </row>
    <row r="195">
      <c r="A195" t="inlineStr">
        <is>
          <t>558</t>
        </is>
      </c>
      <c r="B195" t="inlineStr">
        <is>
          <t>SR 1001</t>
        </is>
      </c>
      <c r="C195">
        <v>0.5</v>
      </c>
      <c r="D195" t="inlineStr">
        <is>
          <t>E</t>
        </is>
      </c>
      <c r="E195" t="inlineStr">
        <is>
          <t>US 601</t>
        </is>
      </c>
      <c r="F195" t="inlineStr">
        <is>
          <t>SPRING LAKE</t>
        </is>
      </c>
      <c r="G195" t="inlineStr">
        <is>
          <t>SR 1001</t>
        </is>
      </c>
      <c r="H195">
        <v>0.5</v>
      </c>
      <c r="L195">
        <v>108339974</v>
      </c>
      <c r="M195" t="inlineStr">
        <is>
          <t>12/2/2025</t>
        </is>
      </c>
      <c r="N195">
        <v>17</v>
      </c>
      <c r="O195">
        <v>2</v>
      </c>
      <c r="P195">
        <v>0</v>
      </c>
      <c r="Q195">
        <v>1</v>
      </c>
      <c r="R195" t="inlineStr">
        <is>
          <t>O</t>
        </is>
      </c>
    </row>
    <row r="196">
      <c r="A196" t="inlineStr">
        <is>
          <t>0</t>
        </is>
      </c>
      <c r="B196" t="inlineStr">
        <is>
          <t>SR 1001</t>
        </is>
      </c>
      <c r="C196">
        <v>0.5</v>
      </c>
      <c r="D196" t="inlineStr">
        <is>
          <t>N</t>
        </is>
      </c>
      <c r="E196" t="inlineStr">
        <is>
          <t>US 601</t>
        </is>
      </c>
      <c r="F196" t="inlineStr">
        <is>
          <t>SR 1620</t>
        </is>
      </c>
      <c r="G196" t="inlineStr">
        <is>
          <t>SR 1001</t>
        </is>
      </c>
      <c r="H196">
        <v>0.5</v>
      </c>
      <c r="L196">
        <v>107466297</v>
      </c>
      <c r="M196" t="inlineStr">
        <is>
          <t>9/20/2023</t>
        </is>
      </c>
      <c r="N196">
        <v>29</v>
      </c>
      <c r="O196">
        <v>1</v>
      </c>
      <c r="P196">
        <v>0</v>
      </c>
      <c r="Q196">
        <v>1</v>
      </c>
      <c r="R196" t="inlineStr">
        <is>
          <t>C</t>
        </is>
      </c>
    </row>
    <row r="197">
      <c r="A197" t="inlineStr">
        <is>
          <t>558</t>
        </is>
      </c>
      <c r="B197" t="inlineStr">
        <is>
          <t>SR 1001</t>
        </is>
      </c>
      <c r="C197">
        <v>0.68</v>
      </c>
      <c r="D197" t="inlineStr">
        <is>
          <t>N</t>
        </is>
      </c>
      <c r="E197" t="inlineStr">
        <is>
          <t>US 601</t>
        </is>
      </c>
      <c r="F197" t="inlineStr">
        <is>
          <t>SR 1620</t>
        </is>
      </c>
      <c r="G197" t="inlineStr">
        <is>
          <t>SR 1001</t>
        </is>
      </c>
      <c r="H197">
        <v>0.68</v>
      </c>
      <c r="L197">
        <v>105741595</v>
      </c>
      <c r="M197" t="inlineStr">
        <is>
          <t>1/14/2019</t>
        </is>
      </c>
      <c r="N197">
        <v>17</v>
      </c>
      <c r="O197">
        <v>1</v>
      </c>
      <c r="P197">
        <v>0</v>
      </c>
      <c r="Q197">
        <v>3</v>
      </c>
      <c r="R197" t="inlineStr">
        <is>
          <t>O</t>
        </is>
      </c>
    </row>
    <row r="198">
      <c r="A198" t="inlineStr">
        <is>
          <t>558</t>
        </is>
      </c>
      <c r="B198" t="inlineStr">
        <is>
          <t>SIKES MILL</t>
        </is>
      </c>
      <c r="C198">
        <v>0.19</v>
      </c>
      <c r="D198" t="inlineStr">
        <is>
          <t>S</t>
        </is>
      </c>
      <c r="E198" t="inlineStr">
        <is>
          <t>SPRING LAKE</t>
        </is>
      </c>
      <c r="F198" t="inlineStr">
        <is>
          <t>US 601</t>
        </is>
      </c>
      <c r="G198" t="inlineStr">
        <is>
          <t>SR 1001</t>
        </is>
      </c>
      <c r="H198">
        <v>0.695</v>
      </c>
      <c r="L198">
        <v>107653448</v>
      </c>
      <c r="M198" t="inlineStr">
        <is>
          <t>3/12/2024</t>
        </is>
      </c>
      <c r="N198">
        <v>29</v>
      </c>
      <c r="O198">
        <v>1</v>
      </c>
      <c r="P198">
        <v>0</v>
      </c>
      <c r="Q198">
        <v>5</v>
      </c>
      <c r="R198" t="inlineStr">
        <is>
          <t>O</t>
        </is>
      </c>
    </row>
    <row r="199">
      <c r="A199" t="inlineStr">
        <is>
          <t>0</t>
        </is>
      </c>
      <c r="B199" t="inlineStr">
        <is>
          <t>SR 1001</t>
        </is>
      </c>
      <c r="C199">
        <v>0.7</v>
      </c>
      <c r="D199" t="inlineStr">
        <is>
          <t>N</t>
        </is>
      </c>
      <c r="E199" t="inlineStr">
        <is>
          <t>US 601</t>
        </is>
      </c>
      <c r="F199" t="inlineStr">
        <is>
          <t>SR 1620</t>
        </is>
      </c>
      <c r="G199" t="inlineStr">
        <is>
          <t>SR 1001</t>
        </is>
      </c>
      <c r="H199">
        <v>0.7</v>
      </c>
      <c r="L199">
        <v>108424807</v>
      </c>
      <c r="M199" t="inlineStr">
        <is>
          <t>3/7/2026</t>
        </is>
      </c>
      <c r="N199">
        <v>29</v>
      </c>
      <c r="O199">
        <v>1</v>
      </c>
      <c r="P199">
        <v>0</v>
      </c>
      <c r="Q199">
        <v>1</v>
      </c>
      <c r="R199" t="inlineStr">
        <is>
          <t>O</t>
        </is>
      </c>
    </row>
    <row r="200">
      <c r="A200" t="inlineStr">
        <is>
          <t>558</t>
        </is>
      </c>
      <c r="B200" t="inlineStr">
        <is>
          <t>SR 1001</t>
        </is>
      </c>
      <c r="C200">
        <v>0.5</v>
      </c>
      <c r="D200" t="inlineStr">
        <is>
          <t>S</t>
        </is>
      </c>
      <c r="E200" t="inlineStr">
        <is>
          <t>BAUCOM</t>
        </is>
      </c>
      <c r="F200" t="inlineStr">
        <is>
          <t>US 601</t>
        </is>
      </c>
      <c r="G200" t="inlineStr">
        <is>
          <t>SR 1001</t>
        </is>
      </c>
      <c r="H200">
        <v>0.852</v>
      </c>
      <c r="L200">
        <v>104938752</v>
      </c>
      <c r="M200" t="inlineStr">
        <is>
          <t>12/6/2016</t>
        </is>
      </c>
      <c r="N200">
        <v>17</v>
      </c>
      <c r="O200">
        <v>1</v>
      </c>
      <c r="P200">
        <v>0</v>
      </c>
      <c r="Q200">
        <v>5</v>
      </c>
      <c r="R200" t="inlineStr">
        <is>
          <t>O</t>
        </is>
      </c>
    </row>
    <row r="201">
      <c r="A201" t="inlineStr">
        <is>
          <t>0</t>
        </is>
      </c>
      <c r="B201" t="inlineStr">
        <is>
          <t>SIKES MILL</t>
        </is>
      </c>
      <c r="C201">
        <v>0.002</v>
      </c>
      <c r="D201" t="inlineStr">
        <is>
          <t>S</t>
        </is>
      </c>
      <c r="E201" t="inlineStr">
        <is>
          <t>SPRING LAKE</t>
        </is>
      </c>
      <c r="F201" t="inlineStr">
        <is>
          <t>US 601</t>
        </is>
      </c>
      <c r="G201" t="inlineStr">
        <is>
          <t>SR 1001</t>
        </is>
      </c>
      <c r="H201">
        <v>0.883</v>
      </c>
      <c r="L201">
        <v>106059402</v>
      </c>
      <c r="M201" t="inlineStr">
        <is>
          <t>11/8/2019</t>
        </is>
      </c>
      <c r="N201">
        <v>19</v>
      </c>
      <c r="O201">
        <v>2</v>
      </c>
      <c r="P201">
        <v>0</v>
      </c>
      <c r="Q201">
        <v>4</v>
      </c>
      <c r="R201" t="inlineStr">
        <is>
          <t>B</t>
        </is>
      </c>
    </row>
    <row r="202">
      <c r="A202" t="inlineStr">
        <is>
          <t>558</t>
        </is>
      </c>
      <c r="B202" t="inlineStr">
        <is>
          <t>SR 1001</t>
        </is>
      </c>
      <c r="C202">
        <v>0.004</v>
      </c>
      <c r="D202" t="inlineStr">
        <is>
          <t>N</t>
        </is>
      </c>
      <c r="E202" t="inlineStr">
        <is>
          <t>SPRING LAKE</t>
        </is>
      </c>
      <c r="F202" t="inlineStr">
        <is>
          <t>SR 1620</t>
        </is>
      </c>
      <c r="G202" t="inlineStr">
        <is>
          <t>SR 1001</t>
        </is>
      </c>
      <c r="H202">
        <v>0.889</v>
      </c>
      <c r="L202">
        <v>106976262</v>
      </c>
      <c r="M202" t="inlineStr">
        <is>
          <t>6/2/2022</t>
        </is>
      </c>
      <c r="N202">
        <v>19</v>
      </c>
      <c r="O202">
        <v>1</v>
      </c>
      <c r="P202">
        <v>0</v>
      </c>
      <c r="Q202">
        <v>5</v>
      </c>
      <c r="R202" t="inlineStr">
        <is>
          <t>C</t>
        </is>
      </c>
    </row>
    <row r="203">
      <c r="A203" t="inlineStr">
        <is>
          <t>558</t>
        </is>
      </c>
      <c r="B203" t="inlineStr">
        <is>
          <t>SIKES MILL</t>
        </is>
      </c>
      <c r="C203">
        <v>0.076</v>
      </c>
      <c r="D203" t="inlineStr">
        <is>
          <t>N</t>
        </is>
      </c>
      <c r="E203" t="inlineStr">
        <is>
          <t>SPRING LAKE</t>
        </is>
      </c>
      <c r="F203" t="inlineStr">
        <is>
          <t>BAUCOM</t>
        </is>
      </c>
      <c r="G203" t="inlineStr">
        <is>
          <t>SR 1001</t>
        </is>
      </c>
      <c r="H203">
        <v>0.961</v>
      </c>
      <c r="L203">
        <v>105442537</v>
      </c>
      <c r="M203" t="inlineStr">
        <is>
          <t>4/12/2018</t>
        </is>
      </c>
      <c r="N203">
        <v>19</v>
      </c>
      <c r="O203">
        <v>1</v>
      </c>
      <c r="P203">
        <v>0</v>
      </c>
      <c r="Q203">
        <v>1</v>
      </c>
      <c r="R203" t="inlineStr">
        <is>
          <t>O</t>
        </is>
      </c>
    </row>
    <row r="204">
      <c r="A204" t="inlineStr">
        <is>
          <t>558</t>
        </is>
      </c>
      <c r="B204" t="inlineStr">
        <is>
          <t>SR 1001</t>
        </is>
      </c>
      <c r="C204">
        <v>1.0</v>
      </c>
      <c r="D204" t="inlineStr">
        <is>
          <t>N</t>
        </is>
      </c>
      <c r="E204" t="inlineStr">
        <is>
          <t>US 601</t>
        </is>
      </c>
      <c r="F204" t="inlineStr">
        <is>
          <t>SR 1620</t>
        </is>
      </c>
      <c r="G204" t="inlineStr">
        <is>
          <t>SR 1001</t>
        </is>
      </c>
      <c r="H204">
        <v>1.0</v>
      </c>
      <c r="L204">
        <v>107900538</v>
      </c>
      <c r="M204" t="inlineStr">
        <is>
          <t>10/21/2024</t>
        </is>
      </c>
      <c r="N204">
        <v>14</v>
      </c>
      <c r="O204">
        <v>1</v>
      </c>
      <c r="P204">
        <v>0</v>
      </c>
      <c r="Q204">
        <v>1</v>
      </c>
      <c r="R204" t="inlineStr">
        <is>
          <t>C</t>
        </is>
      </c>
    </row>
    <row r="205">
      <c r="A205" t="inlineStr">
        <is>
          <t>0</t>
        </is>
      </c>
      <c r="B205" t="inlineStr">
        <is>
          <t>SR 1001</t>
        </is>
      </c>
      <c r="C205">
        <v>1.0</v>
      </c>
      <c r="D205" t="inlineStr">
        <is>
          <t>N</t>
        </is>
      </c>
      <c r="E205" t="inlineStr">
        <is>
          <t>US 601</t>
        </is>
      </c>
      <c r="F205" t="inlineStr">
        <is>
          <t>SR 1620</t>
        </is>
      </c>
      <c r="G205" t="inlineStr">
        <is>
          <t>SR 1001</t>
        </is>
      </c>
      <c r="H205">
        <v>1.0</v>
      </c>
      <c r="L205">
        <v>106572928</v>
      </c>
      <c r="M205" t="inlineStr">
        <is>
          <t>5/11/2021</t>
        </is>
      </c>
      <c r="N205">
        <v>19</v>
      </c>
      <c r="O205">
        <v>1</v>
      </c>
      <c r="P205">
        <v>0</v>
      </c>
      <c r="Q205">
        <v>1</v>
      </c>
      <c r="R205" t="inlineStr">
        <is>
          <t>C</t>
        </is>
      </c>
    </row>
    <row r="206">
      <c r="A206" t="inlineStr">
        <is>
          <t>0</t>
        </is>
      </c>
      <c r="B206" t="inlineStr">
        <is>
          <t>SIKES MILL</t>
        </is>
      </c>
      <c r="C206">
        <v>0.13</v>
      </c>
      <c r="D206" t="inlineStr">
        <is>
          <t>N</t>
        </is>
      </c>
      <c r="E206" t="inlineStr">
        <is>
          <t>SPRING LAKE</t>
        </is>
      </c>
      <c r="F206" t="inlineStr">
        <is>
          <t>CHANEY</t>
        </is>
      </c>
      <c r="G206" t="inlineStr">
        <is>
          <t>SR 1001</t>
        </is>
      </c>
      <c r="H206">
        <v>1.015</v>
      </c>
      <c r="L206">
        <v>107715447</v>
      </c>
      <c r="M206" t="inlineStr">
        <is>
          <t>5/7/2024</t>
        </is>
      </c>
      <c r="N206">
        <v>17</v>
      </c>
      <c r="O206">
        <v>1</v>
      </c>
      <c r="P206">
        <v>0</v>
      </c>
      <c r="Q206">
        <v>5</v>
      </c>
      <c r="R206" t="inlineStr">
        <is>
          <t>O</t>
        </is>
      </c>
    </row>
    <row r="207">
      <c r="A207" t="inlineStr">
        <is>
          <t>0</t>
        </is>
      </c>
      <c r="B207" t="inlineStr">
        <is>
          <t>SR 1001</t>
        </is>
      </c>
      <c r="C207">
        <v>0.19</v>
      </c>
      <c r="D207" t="inlineStr">
        <is>
          <t>N</t>
        </is>
      </c>
      <c r="E207" t="inlineStr">
        <is>
          <t>SPRING LAKE</t>
        </is>
      </c>
      <c r="F207" t="inlineStr">
        <is>
          <t>SR 1620</t>
        </is>
      </c>
      <c r="G207" t="inlineStr">
        <is>
          <t>SR 1001</t>
        </is>
      </c>
      <c r="H207">
        <v>1.075</v>
      </c>
      <c r="L207">
        <v>108256185</v>
      </c>
      <c r="M207" t="inlineStr">
        <is>
          <t>10/5/2025</t>
        </is>
      </c>
      <c r="N207">
        <v>17</v>
      </c>
      <c r="O207">
        <v>1</v>
      </c>
      <c r="P207">
        <v>0</v>
      </c>
      <c r="Q207">
        <v>1</v>
      </c>
      <c r="R207" t="inlineStr">
        <is>
          <t>O</t>
        </is>
      </c>
    </row>
    <row r="208">
      <c r="A208" t="inlineStr">
        <is>
          <t>558</t>
        </is>
      </c>
      <c r="B208" t="inlineStr">
        <is>
          <t>SIKES MILL</t>
        </is>
      </c>
      <c r="C208">
        <v>0.26</v>
      </c>
      <c r="D208" t="inlineStr">
        <is>
          <t>S</t>
        </is>
      </c>
      <c r="E208" t="inlineStr">
        <is>
          <t>BAUCOM</t>
        </is>
      </c>
      <c r="F208" t="inlineStr">
        <is>
          <t>US 601</t>
        </is>
      </c>
      <c r="G208" t="inlineStr">
        <is>
          <t>SR 1001</t>
        </is>
      </c>
      <c r="H208">
        <v>1.092</v>
      </c>
      <c r="L208">
        <v>105898128</v>
      </c>
      <c r="M208" t="inlineStr">
        <is>
          <t>6/13/2019</t>
        </is>
      </c>
      <c r="N208">
        <v>17</v>
      </c>
      <c r="O208">
        <v>1</v>
      </c>
      <c r="P208">
        <v>0</v>
      </c>
      <c r="Q208">
        <v>5</v>
      </c>
      <c r="R208" t="inlineStr">
        <is>
          <t>O</t>
        </is>
      </c>
    </row>
    <row r="209">
      <c r="A209" t="inlineStr">
        <is>
          <t>0</t>
        </is>
      </c>
      <c r="B209" t="inlineStr">
        <is>
          <t>SIKES MILL</t>
        </is>
      </c>
      <c r="C209">
        <v>1.1</v>
      </c>
      <c r="D209" t="inlineStr">
        <is>
          <t>N</t>
        </is>
      </c>
      <c r="E209" t="inlineStr">
        <is>
          <t>CONCORD</t>
        </is>
      </c>
      <c r="F209" t="inlineStr">
        <is>
          <t>BAUCOM</t>
        </is>
      </c>
      <c r="G209" t="inlineStr">
        <is>
          <t>SR 1001</t>
        </is>
      </c>
      <c r="H209">
        <v>1.1</v>
      </c>
      <c r="L209">
        <v>106028073</v>
      </c>
      <c r="M209" t="inlineStr">
        <is>
          <t>10/18/2019</t>
        </is>
      </c>
      <c r="N209">
        <v>17</v>
      </c>
      <c r="O209">
        <v>1</v>
      </c>
      <c r="P209">
        <v>0</v>
      </c>
      <c r="Q209">
        <v>5</v>
      </c>
      <c r="R209" t="inlineStr">
        <is>
          <t>O</t>
        </is>
      </c>
    </row>
    <row r="210">
      <c r="A210" t="inlineStr">
        <is>
          <t>558</t>
        </is>
      </c>
      <c r="B210" t="inlineStr">
        <is>
          <t>SR 1001</t>
        </is>
      </c>
      <c r="C210">
        <v>0.24</v>
      </c>
      <c r="D210" t="inlineStr">
        <is>
          <t>S</t>
        </is>
      </c>
      <c r="E210" t="inlineStr">
        <is>
          <t>SR 1620</t>
        </is>
      </c>
      <c r="F210" t="inlineStr">
        <is>
          <t>US 601</t>
        </is>
      </c>
      <c r="G210" t="inlineStr">
        <is>
          <t>SR 1001</t>
        </is>
      </c>
      <c r="H210">
        <v>1.112</v>
      </c>
      <c r="L210">
        <v>108478263</v>
      </c>
      <c r="M210" t="inlineStr">
        <is>
          <t>4/24/2026</t>
        </is>
      </c>
      <c r="N210">
        <v>23</v>
      </c>
      <c r="O210">
        <v>1</v>
      </c>
      <c r="P210">
        <v>0</v>
      </c>
      <c r="Q210">
        <v>1</v>
      </c>
      <c r="R210" t="inlineStr">
        <is>
          <t>O</t>
        </is>
      </c>
    </row>
    <row r="211">
      <c r="A211" t="inlineStr">
        <is>
          <t>558</t>
        </is>
      </c>
      <c r="B211" t="inlineStr">
        <is>
          <t>SIKES MILL</t>
        </is>
      </c>
      <c r="C211">
        <v>0.23</v>
      </c>
      <c r="D211" t="inlineStr">
        <is>
          <t>SW</t>
        </is>
      </c>
      <c r="E211" t="inlineStr">
        <is>
          <t>BAUCOM</t>
        </is>
      </c>
      <c r="F211" t="inlineStr">
        <is>
          <t>US 601</t>
        </is>
      </c>
      <c r="G211" t="inlineStr">
        <is>
          <t>SR 1001</t>
        </is>
      </c>
      <c r="H211">
        <v>1.122</v>
      </c>
      <c r="L211">
        <v>105934391</v>
      </c>
      <c r="M211" t="inlineStr">
        <is>
          <t>7/22/2019</t>
        </is>
      </c>
      <c r="N211">
        <v>19</v>
      </c>
      <c r="O211">
        <v>1</v>
      </c>
      <c r="P211">
        <v>0</v>
      </c>
      <c r="Q211">
        <v>1</v>
      </c>
      <c r="R211" t="inlineStr">
        <is>
          <t>O</t>
        </is>
      </c>
    </row>
    <row r="212">
      <c r="A212" t="inlineStr">
        <is>
          <t>558</t>
        </is>
      </c>
      <c r="B212" t="inlineStr">
        <is>
          <t>SIKES MILL</t>
        </is>
      </c>
      <c r="C212">
        <v>1.16</v>
      </c>
      <c r="D212" t="inlineStr">
        <is>
          <t>N</t>
        </is>
      </c>
      <c r="E212" t="inlineStr">
        <is>
          <t>US 601</t>
        </is>
      </c>
      <c r="F212" t="inlineStr">
        <is>
          <t>BAUCOM</t>
        </is>
      </c>
      <c r="G212" t="inlineStr">
        <is>
          <t>SR 1001</t>
        </is>
      </c>
      <c r="H212">
        <v>1.16</v>
      </c>
      <c r="L212">
        <v>107470651</v>
      </c>
      <c r="M212" t="inlineStr">
        <is>
          <t>9/19/2023</t>
        </is>
      </c>
      <c r="N212">
        <v>17</v>
      </c>
      <c r="O212">
        <v>1</v>
      </c>
      <c r="P212">
        <v>0</v>
      </c>
      <c r="Q212">
        <v>5</v>
      </c>
      <c r="R212" t="inlineStr">
        <is>
          <t>O</t>
        </is>
      </c>
    </row>
    <row r="213">
      <c r="A213" t="inlineStr">
        <is>
          <t>558</t>
        </is>
      </c>
      <c r="B213" t="inlineStr">
        <is>
          <t>SR 1001</t>
        </is>
      </c>
      <c r="C213">
        <v>0.1</v>
      </c>
      <c r="D213" t="inlineStr">
        <is>
          <t>W</t>
        </is>
      </c>
      <c r="E213" t="inlineStr">
        <is>
          <t>SR 1620</t>
        </is>
      </c>
      <c r="F213" t="inlineStr">
        <is>
          <t>NC 200</t>
        </is>
      </c>
      <c r="G213" t="inlineStr">
        <is>
          <t>SR 1001</t>
        </is>
      </c>
      <c r="H213">
        <v>1.252</v>
      </c>
      <c r="L213">
        <v>105723366</v>
      </c>
      <c r="M213" t="inlineStr">
        <is>
          <t>12/27/2018</t>
        </is>
      </c>
      <c r="N213">
        <v>28</v>
      </c>
      <c r="O213">
        <v>1</v>
      </c>
      <c r="P213">
        <v>0</v>
      </c>
      <c r="Q213">
        <v>1</v>
      </c>
      <c r="R213" t="inlineStr">
        <is>
          <t>O</t>
        </is>
      </c>
    </row>
    <row r="214">
      <c r="A214" t="inlineStr">
        <is>
          <t>558</t>
        </is>
      </c>
      <c r="B214" t="inlineStr">
        <is>
          <t>SIKES MILL</t>
        </is>
      </c>
      <c r="C214">
        <v>0.019</v>
      </c>
      <c r="D214" t="inlineStr">
        <is>
          <t>S</t>
        </is>
      </c>
      <c r="E214" t="inlineStr">
        <is>
          <t>BAUCOM</t>
        </is>
      </c>
      <c r="F214" t="inlineStr">
        <is>
          <t>SPRING LAKE</t>
        </is>
      </c>
      <c r="G214" t="inlineStr">
        <is>
          <t>SR 1001</t>
        </is>
      </c>
      <c r="H214">
        <v>1.333</v>
      </c>
      <c r="L214">
        <v>106776645</v>
      </c>
      <c r="M214" t="inlineStr">
        <is>
          <t>11/19/2021</t>
        </is>
      </c>
      <c r="N214">
        <v>17</v>
      </c>
      <c r="O214">
        <v>1</v>
      </c>
      <c r="P214">
        <v>0</v>
      </c>
      <c r="Q214">
        <v>5</v>
      </c>
      <c r="R214" t="inlineStr">
        <is>
          <t>O</t>
        </is>
      </c>
    </row>
    <row r="215">
      <c r="A215" t="inlineStr">
        <is>
          <t>558</t>
        </is>
      </c>
      <c r="B215" t="inlineStr">
        <is>
          <t>SIKES MILL</t>
        </is>
      </c>
      <c r="C215">
        <v>0.019</v>
      </c>
      <c r="D215" t="inlineStr">
        <is>
          <t>S</t>
        </is>
      </c>
      <c r="E215" t="inlineStr">
        <is>
          <t>BAUCOM</t>
        </is>
      </c>
      <c r="F215" t="inlineStr">
        <is>
          <t>US 601</t>
        </is>
      </c>
      <c r="G215" t="inlineStr">
        <is>
          <t>SR 1001</t>
        </is>
      </c>
      <c r="H215">
        <v>1.333</v>
      </c>
      <c r="L215">
        <v>108314414</v>
      </c>
      <c r="M215" t="inlineStr">
        <is>
          <t>11/21/2025</t>
        </is>
      </c>
      <c r="N215">
        <v>21</v>
      </c>
      <c r="O215">
        <v>2</v>
      </c>
      <c r="P215">
        <v>0</v>
      </c>
      <c r="Q215">
        <v>1</v>
      </c>
      <c r="R215" t="inlineStr">
        <is>
          <t>O</t>
        </is>
      </c>
    </row>
    <row r="216">
      <c r="A216" t="inlineStr">
        <is>
          <t>558</t>
        </is>
      </c>
      <c r="B216" t="inlineStr">
        <is>
          <t>SR 1001</t>
        </is>
      </c>
      <c r="C216">
        <v>0.005</v>
      </c>
      <c r="D216" t="inlineStr">
        <is>
          <t>S</t>
        </is>
      </c>
      <c r="E216" t="inlineStr">
        <is>
          <t>SR 1620</t>
        </is>
      </c>
      <c r="F216" t="inlineStr">
        <is>
          <t>SPRING LAKE</t>
        </is>
      </c>
      <c r="G216" t="inlineStr">
        <is>
          <t>SR 1001</t>
        </is>
      </c>
      <c r="H216">
        <v>1.347</v>
      </c>
      <c r="L216">
        <v>105596512</v>
      </c>
      <c r="M216" t="inlineStr">
        <is>
          <t>8/15/2018</t>
        </is>
      </c>
      <c r="N216">
        <v>19</v>
      </c>
      <c r="O216">
        <v>1</v>
      </c>
      <c r="P216">
        <v>0</v>
      </c>
      <c r="Q216">
        <v>1</v>
      </c>
      <c r="R216" t="inlineStr">
        <is>
          <t>O</t>
        </is>
      </c>
    </row>
    <row r="217">
      <c r="A217" t="inlineStr">
        <is>
          <t>558</t>
        </is>
      </c>
      <c r="B217" t="inlineStr">
        <is>
          <t>SIKES MILL</t>
        </is>
      </c>
      <c r="C217">
        <v>0.0</v>
      </c>
      <c r="E217" t="inlineStr">
        <is>
          <t>BAUCOM</t>
        </is>
      </c>
      <c r="F217" t="inlineStr">
        <is>
          <t>US 601</t>
        </is>
      </c>
      <c r="G217" t="inlineStr">
        <is>
          <t>SR 1001</t>
        </is>
      </c>
      <c r="H217">
        <v>1.352</v>
      </c>
      <c r="L217">
        <v>107030009</v>
      </c>
      <c r="M217" t="inlineStr">
        <is>
          <t>7/29/2022</t>
        </is>
      </c>
      <c r="N217">
        <v>13</v>
      </c>
      <c r="O217">
        <v>1</v>
      </c>
      <c r="P217">
        <v>8</v>
      </c>
      <c r="Q217">
        <v>1</v>
      </c>
      <c r="R217" t="inlineStr">
        <is>
          <t>O</t>
        </is>
      </c>
    </row>
    <row r="218">
      <c r="A218" t="inlineStr">
        <is>
          <t>0</t>
        </is>
      </c>
      <c r="B218" t="inlineStr">
        <is>
          <t>SR 1001</t>
        </is>
      </c>
      <c r="C218">
        <v>0.0</v>
      </c>
      <c r="E218" t="inlineStr">
        <is>
          <t>SR 1620</t>
        </is>
      </c>
      <c r="F218" t="inlineStr">
        <is>
          <t>SR 1615</t>
        </is>
      </c>
      <c r="G218" t="inlineStr">
        <is>
          <t>SR 1001</t>
        </is>
      </c>
      <c r="H218">
        <v>1.352</v>
      </c>
      <c r="L218">
        <v>106971893</v>
      </c>
      <c r="M218" t="inlineStr">
        <is>
          <t>5/28/2022</t>
        </is>
      </c>
      <c r="N218">
        <v>23</v>
      </c>
      <c r="O218">
        <v>1</v>
      </c>
      <c r="P218">
        <v>8</v>
      </c>
      <c r="Q218">
        <v>1</v>
      </c>
      <c r="R218" t="inlineStr">
        <is>
          <t>O</t>
        </is>
      </c>
    </row>
    <row r="219">
      <c r="A219" t="inlineStr">
        <is>
          <t>558</t>
        </is>
      </c>
      <c r="B219" t="inlineStr">
        <is>
          <t>SIKES MILL</t>
        </is>
      </c>
      <c r="C219">
        <v>0.009</v>
      </c>
      <c r="D219" t="inlineStr">
        <is>
          <t>N</t>
        </is>
      </c>
      <c r="E219" t="inlineStr">
        <is>
          <t>BAUCOM</t>
        </is>
      </c>
      <c r="F219" t="inlineStr">
        <is>
          <t>CHANEY</t>
        </is>
      </c>
      <c r="G219" t="inlineStr">
        <is>
          <t>SR 1001</t>
        </is>
      </c>
      <c r="H219">
        <v>1.361</v>
      </c>
      <c r="L219">
        <v>104780506</v>
      </c>
      <c r="M219" t="inlineStr">
        <is>
          <t>7/2/2016</t>
        </is>
      </c>
      <c r="N219">
        <v>21</v>
      </c>
      <c r="O219">
        <v>1</v>
      </c>
      <c r="P219">
        <v>8</v>
      </c>
      <c r="Q219">
        <v>1</v>
      </c>
      <c r="R219" t="inlineStr">
        <is>
          <t>O</t>
        </is>
      </c>
    </row>
    <row r="220">
      <c r="A220" t="inlineStr">
        <is>
          <t>0</t>
        </is>
      </c>
      <c r="B220" t="inlineStr">
        <is>
          <t>SR 1001</t>
        </is>
      </c>
      <c r="C220">
        <v>0.019</v>
      </c>
      <c r="D220" t="inlineStr">
        <is>
          <t>E</t>
        </is>
      </c>
      <c r="E220" t="inlineStr">
        <is>
          <t>SR 1620</t>
        </is>
      </c>
      <c r="F220" t="inlineStr">
        <is>
          <t>US 601</t>
        </is>
      </c>
      <c r="G220" t="inlineStr">
        <is>
          <t>SR 1001</t>
        </is>
      </c>
      <c r="H220">
        <v>1.371</v>
      </c>
      <c r="L220">
        <v>106072796</v>
      </c>
      <c r="M220" t="inlineStr">
        <is>
          <t>11/23/2019</t>
        </is>
      </c>
      <c r="N220">
        <v>19</v>
      </c>
      <c r="O220">
        <v>1</v>
      </c>
      <c r="P220">
        <v>0</v>
      </c>
      <c r="Q220">
        <v>1</v>
      </c>
      <c r="R220" t="inlineStr">
        <is>
          <t>O</t>
        </is>
      </c>
    </row>
    <row r="221">
      <c r="A221" t="inlineStr">
        <is>
          <t>558</t>
        </is>
      </c>
      <c r="B221" t="inlineStr">
        <is>
          <t>SR 1001</t>
        </is>
      </c>
      <c r="C221">
        <v>0.028</v>
      </c>
      <c r="D221" t="inlineStr">
        <is>
          <t>N</t>
        </is>
      </c>
      <c r="E221" t="inlineStr">
        <is>
          <t>SR 1620</t>
        </is>
      </c>
      <c r="F221" t="inlineStr">
        <is>
          <t>SR 1665</t>
        </is>
      </c>
      <c r="G221" t="inlineStr">
        <is>
          <t>SR 1001</t>
        </is>
      </c>
      <c r="H221">
        <v>1.38</v>
      </c>
      <c r="L221">
        <v>108296963</v>
      </c>
      <c r="M221" t="inlineStr">
        <is>
          <t>10/29/2025</t>
        </is>
      </c>
      <c r="N221">
        <v>21</v>
      </c>
      <c r="O221">
        <v>2</v>
      </c>
      <c r="P221">
        <v>0</v>
      </c>
      <c r="Q221">
        <v>1</v>
      </c>
      <c r="R221" t="inlineStr">
        <is>
          <t>O</t>
        </is>
      </c>
    </row>
    <row r="222">
      <c r="A222" t="inlineStr">
        <is>
          <t>558</t>
        </is>
      </c>
      <c r="B222" t="inlineStr">
        <is>
          <t>SIKES MILL</t>
        </is>
      </c>
      <c r="C222">
        <v>0.029</v>
      </c>
      <c r="D222" t="inlineStr">
        <is>
          <t>N</t>
        </is>
      </c>
      <c r="E222" t="inlineStr">
        <is>
          <t>BAUCOM</t>
        </is>
      </c>
      <c r="F222" t="inlineStr">
        <is>
          <t>CHANEY</t>
        </is>
      </c>
      <c r="G222" t="inlineStr">
        <is>
          <t>SR 1001</t>
        </is>
      </c>
      <c r="H222">
        <v>1.381</v>
      </c>
      <c r="L222">
        <v>106254958</v>
      </c>
      <c r="M222" t="inlineStr">
        <is>
          <t>6/19/2020</t>
        </is>
      </c>
      <c r="N222">
        <v>19</v>
      </c>
      <c r="O222">
        <v>1</v>
      </c>
      <c r="P222">
        <v>8</v>
      </c>
      <c r="Q222">
        <v>1</v>
      </c>
      <c r="R222" t="inlineStr">
        <is>
          <t>C</t>
        </is>
      </c>
    </row>
    <row r="223">
      <c r="A223" t="inlineStr">
        <is>
          <t>558</t>
        </is>
      </c>
      <c r="B223" t="inlineStr">
        <is>
          <t>SR 1001</t>
        </is>
      </c>
      <c r="C223">
        <v>0.053</v>
      </c>
      <c r="D223" t="inlineStr">
        <is>
          <t>N</t>
        </is>
      </c>
      <c r="E223" t="inlineStr">
        <is>
          <t>SR 1620</t>
        </is>
      </c>
      <c r="F223" t="inlineStr">
        <is>
          <t>SR 1665</t>
        </is>
      </c>
      <c r="G223" t="inlineStr">
        <is>
          <t>SR 1001</t>
        </is>
      </c>
      <c r="H223">
        <v>1.405</v>
      </c>
      <c r="L223">
        <v>108285791</v>
      </c>
      <c r="M223" t="inlineStr">
        <is>
          <t>10/29/2025</t>
        </is>
      </c>
      <c r="N223">
        <v>29</v>
      </c>
      <c r="O223">
        <v>2</v>
      </c>
      <c r="P223">
        <v>0</v>
      </c>
      <c r="Q223">
        <v>1</v>
      </c>
      <c r="R223" t="inlineStr">
        <is>
          <t>O</t>
        </is>
      </c>
    </row>
    <row r="224">
      <c r="A224" t="inlineStr">
        <is>
          <t>558</t>
        </is>
      </c>
      <c r="B224" t="inlineStr">
        <is>
          <t>SIKES MILL</t>
        </is>
      </c>
      <c r="C224">
        <v>0.057</v>
      </c>
      <c r="D224" t="inlineStr">
        <is>
          <t>E</t>
        </is>
      </c>
      <c r="E224" t="inlineStr">
        <is>
          <t>BAUCOM</t>
        </is>
      </c>
      <c r="F224" t="inlineStr">
        <is>
          <t>CHANEY</t>
        </is>
      </c>
      <c r="G224" t="inlineStr">
        <is>
          <t>SR 1001</t>
        </is>
      </c>
      <c r="H224">
        <v>1.409</v>
      </c>
      <c r="L224">
        <v>106790781</v>
      </c>
      <c r="M224" t="inlineStr">
        <is>
          <t>12/3/2021</t>
        </is>
      </c>
      <c r="N224">
        <v>28</v>
      </c>
      <c r="O224">
        <v>1</v>
      </c>
      <c r="P224">
        <v>0</v>
      </c>
      <c r="Q224">
        <v>1</v>
      </c>
      <c r="R224" t="inlineStr">
        <is>
          <t>O</t>
        </is>
      </c>
    </row>
    <row r="225">
      <c r="A225" t="inlineStr">
        <is>
          <t>0</t>
        </is>
      </c>
      <c r="B225" t="inlineStr">
        <is>
          <t>SR 1001</t>
        </is>
      </c>
      <c r="C225">
        <v>0.076</v>
      </c>
      <c r="D225" t="inlineStr">
        <is>
          <t>N</t>
        </is>
      </c>
      <c r="E225" t="inlineStr">
        <is>
          <t>SR 1620</t>
        </is>
      </c>
      <c r="F225" t="inlineStr">
        <is>
          <t>SR 1645</t>
        </is>
      </c>
      <c r="G225" t="inlineStr">
        <is>
          <t>SR 1001</t>
        </is>
      </c>
      <c r="H225">
        <v>1.428</v>
      </c>
      <c r="L225">
        <v>107976497</v>
      </c>
      <c r="M225" t="inlineStr">
        <is>
          <t>12/29/2024</t>
        </is>
      </c>
      <c r="N225">
        <v>19</v>
      </c>
      <c r="O225">
        <v>2</v>
      </c>
      <c r="P225">
        <v>0</v>
      </c>
      <c r="Q225">
        <v>5</v>
      </c>
      <c r="R225" t="inlineStr">
        <is>
          <t>O</t>
        </is>
      </c>
    </row>
    <row r="226">
      <c r="A226" t="inlineStr">
        <is>
          <t>558</t>
        </is>
      </c>
      <c r="B226" t="inlineStr">
        <is>
          <t>SIKES MILL</t>
        </is>
      </c>
      <c r="C226">
        <v>0.095</v>
      </c>
      <c r="D226" t="inlineStr">
        <is>
          <t>N</t>
        </is>
      </c>
      <c r="E226" t="inlineStr">
        <is>
          <t>BAUCOM</t>
        </is>
      </c>
      <c r="F226" t="inlineStr">
        <is>
          <t>CHANEY</t>
        </is>
      </c>
      <c r="G226" t="inlineStr">
        <is>
          <t>SR 1001</t>
        </is>
      </c>
      <c r="H226">
        <v>1.447</v>
      </c>
      <c r="L226">
        <v>107319625</v>
      </c>
      <c r="M226" t="inlineStr">
        <is>
          <t>4/11/2023</t>
        </is>
      </c>
      <c r="N226">
        <v>29</v>
      </c>
      <c r="O226">
        <v>1</v>
      </c>
      <c r="P226">
        <v>0</v>
      </c>
      <c r="Q226">
        <v>1</v>
      </c>
      <c r="R226" t="inlineStr">
        <is>
          <t>O</t>
        </is>
      </c>
    </row>
    <row r="227">
      <c r="A227" t="inlineStr">
        <is>
          <t>0</t>
        </is>
      </c>
      <c r="B227" t="inlineStr">
        <is>
          <t>SR 1001</t>
        </is>
      </c>
      <c r="C227">
        <v>0.7</v>
      </c>
      <c r="D227" t="inlineStr">
        <is>
          <t>S</t>
        </is>
      </c>
      <c r="E227" t="inlineStr">
        <is>
          <t>SR 1665</t>
        </is>
      </c>
      <c r="F227" t="inlineStr">
        <is>
          <t>SR 1620</t>
        </is>
      </c>
      <c r="G227" t="inlineStr">
        <is>
          <t>SR 1001</t>
        </is>
      </c>
      <c r="H227">
        <v>1.515</v>
      </c>
      <c r="L227">
        <v>105713041</v>
      </c>
      <c r="M227" t="inlineStr">
        <is>
          <t>12/10/2018</t>
        </is>
      </c>
      <c r="N227">
        <v>29</v>
      </c>
      <c r="O227">
        <v>2</v>
      </c>
      <c r="P227">
        <v>0</v>
      </c>
      <c r="Q227">
        <v>1</v>
      </c>
      <c r="R227" t="inlineStr">
        <is>
          <t>O</t>
        </is>
      </c>
    </row>
    <row r="228">
      <c r="A228" t="inlineStr">
        <is>
          <t>0</t>
        </is>
      </c>
      <c r="B228" t="inlineStr">
        <is>
          <t>SR 1001</t>
        </is>
      </c>
      <c r="C228">
        <v>0.19</v>
      </c>
      <c r="D228" t="inlineStr">
        <is>
          <t>N</t>
        </is>
      </c>
      <c r="E228" t="inlineStr">
        <is>
          <t>SR 1620</t>
        </is>
      </c>
      <c r="F228" t="inlineStr">
        <is>
          <t>SR 1665</t>
        </is>
      </c>
      <c r="G228" t="inlineStr">
        <is>
          <t>SR 1001</t>
        </is>
      </c>
      <c r="H228">
        <v>1.542</v>
      </c>
      <c r="L228">
        <v>106844875</v>
      </c>
      <c r="M228" t="inlineStr">
        <is>
          <t>1/27/2022</t>
        </is>
      </c>
      <c r="N228">
        <v>17</v>
      </c>
      <c r="O228">
        <v>1</v>
      </c>
      <c r="P228">
        <v>0</v>
      </c>
      <c r="Q228">
        <v>5</v>
      </c>
      <c r="R228" t="inlineStr">
        <is>
          <t>O</t>
        </is>
      </c>
    </row>
    <row r="229">
      <c r="A229" t="inlineStr">
        <is>
          <t>558</t>
        </is>
      </c>
      <c r="B229" t="inlineStr">
        <is>
          <t>SR 1001</t>
        </is>
      </c>
      <c r="C229">
        <v>0.25</v>
      </c>
      <c r="D229" t="inlineStr">
        <is>
          <t>N</t>
        </is>
      </c>
      <c r="E229" t="inlineStr">
        <is>
          <t>BAUCOM</t>
        </is>
      </c>
      <c r="F229" t="inlineStr">
        <is>
          <t>SPRING LAKE</t>
        </is>
      </c>
      <c r="G229" t="inlineStr">
        <is>
          <t>SR 1001</t>
        </is>
      </c>
      <c r="H229">
        <v>1.602</v>
      </c>
      <c r="L229">
        <v>107128674</v>
      </c>
      <c r="M229" t="inlineStr">
        <is>
          <t>10/31/2022</t>
        </is>
      </c>
      <c r="N229">
        <v>21</v>
      </c>
      <c r="O229">
        <v>1</v>
      </c>
      <c r="P229">
        <v>0</v>
      </c>
      <c r="Q229">
        <v>1</v>
      </c>
      <c r="R229" t="inlineStr">
        <is>
          <t>C</t>
        </is>
      </c>
    </row>
    <row r="230">
      <c r="A230" t="inlineStr">
        <is>
          <t>558</t>
        </is>
      </c>
      <c r="B230" t="inlineStr">
        <is>
          <t>SR 1001</t>
        </is>
      </c>
      <c r="C230">
        <v>0.25</v>
      </c>
      <c r="D230" t="inlineStr">
        <is>
          <t>N</t>
        </is>
      </c>
      <c r="E230" t="inlineStr">
        <is>
          <t>SR 1620</t>
        </is>
      </c>
      <c r="F230" t="inlineStr">
        <is>
          <t>SR 1665</t>
        </is>
      </c>
      <c r="G230" t="inlineStr">
        <is>
          <t>SR 1001</t>
        </is>
      </c>
      <c r="H230">
        <v>1.602</v>
      </c>
      <c r="L230">
        <v>107595975</v>
      </c>
      <c r="M230" t="inlineStr">
        <is>
          <t>1/15/2024</t>
        </is>
      </c>
      <c r="N230">
        <v>19</v>
      </c>
      <c r="O230">
        <v>1</v>
      </c>
      <c r="P230">
        <v>0</v>
      </c>
      <c r="Q230">
        <v>1</v>
      </c>
      <c r="R230" t="inlineStr">
        <is>
          <t>O</t>
        </is>
      </c>
    </row>
    <row r="231">
      <c r="A231" t="inlineStr">
        <is>
          <t>0</t>
        </is>
      </c>
      <c r="B231" t="inlineStr">
        <is>
          <t>SR 1001</t>
        </is>
      </c>
      <c r="C231">
        <v>0.3</v>
      </c>
      <c r="D231" t="inlineStr">
        <is>
          <t>N</t>
        </is>
      </c>
      <c r="E231" t="inlineStr">
        <is>
          <t>SR 1620</t>
        </is>
      </c>
      <c r="F231" t="inlineStr">
        <is>
          <t>SR 1665</t>
        </is>
      </c>
      <c r="G231" t="inlineStr">
        <is>
          <t>SR 1001</t>
        </is>
      </c>
      <c r="H231">
        <v>1.652</v>
      </c>
      <c r="L231">
        <v>107125512</v>
      </c>
      <c r="M231" t="inlineStr">
        <is>
          <t>10/27/2022</t>
        </is>
      </c>
      <c r="N231">
        <v>27</v>
      </c>
      <c r="O231">
        <v>1</v>
      </c>
      <c r="P231">
        <v>0</v>
      </c>
      <c r="Q231">
        <v>5</v>
      </c>
      <c r="R231" t="inlineStr">
        <is>
          <t>C</t>
        </is>
      </c>
    </row>
    <row r="232">
      <c r="A232" t="inlineStr">
        <is>
          <t>558</t>
        </is>
      </c>
      <c r="B232" t="inlineStr">
        <is>
          <t>SR 1001</t>
        </is>
      </c>
      <c r="C232">
        <v>0.5</v>
      </c>
      <c r="D232" t="inlineStr">
        <is>
          <t>S</t>
        </is>
      </c>
      <c r="E232" t="inlineStr">
        <is>
          <t>SR 1665</t>
        </is>
      </c>
      <c r="F232" t="inlineStr">
        <is>
          <t>SR 1620</t>
        </is>
      </c>
      <c r="G232" t="inlineStr">
        <is>
          <t>SR 1001</t>
        </is>
      </c>
      <c r="H232">
        <v>1.715</v>
      </c>
      <c r="L232">
        <v>105778678</v>
      </c>
      <c r="M232" t="inlineStr">
        <is>
          <t>2/13/2019</t>
        </is>
      </c>
      <c r="N232">
        <v>17</v>
      </c>
      <c r="O232">
        <v>1</v>
      </c>
      <c r="P232">
        <v>0</v>
      </c>
      <c r="Q232">
        <v>1</v>
      </c>
      <c r="R232" t="inlineStr">
        <is>
          <t>O</t>
        </is>
      </c>
    </row>
    <row r="233">
      <c r="A233" t="inlineStr">
        <is>
          <t>0</t>
        </is>
      </c>
      <c r="B233" t="inlineStr">
        <is>
          <t>SR 1001</t>
        </is>
      </c>
      <c r="C233">
        <v>0.5</v>
      </c>
      <c r="D233" t="inlineStr">
        <is>
          <t>S</t>
        </is>
      </c>
      <c r="E233" t="inlineStr">
        <is>
          <t>SR 1665</t>
        </is>
      </c>
      <c r="F233" t="inlineStr">
        <is>
          <t>SR 1620</t>
        </is>
      </c>
      <c r="G233" t="inlineStr">
        <is>
          <t>SR 1001</t>
        </is>
      </c>
      <c r="H233">
        <v>1.715</v>
      </c>
      <c r="L233">
        <v>105554071</v>
      </c>
      <c r="M233" t="inlineStr">
        <is>
          <t>7/25/2018</t>
        </is>
      </c>
      <c r="N233">
        <v>19</v>
      </c>
      <c r="O233">
        <v>1</v>
      </c>
      <c r="P233">
        <v>0</v>
      </c>
      <c r="Q233">
        <v>5</v>
      </c>
    </row>
    <row r="234">
      <c r="A234" t="inlineStr">
        <is>
          <t>366</t>
        </is>
      </c>
      <c r="B234" t="inlineStr">
        <is>
          <t>SR 1001</t>
        </is>
      </c>
      <c r="C234">
        <v>0.37</v>
      </c>
      <c r="D234" t="inlineStr">
        <is>
          <t>NE</t>
        </is>
      </c>
      <c r="E234" t="inlineStr">
        <is>
          <t>SR 1620</t>
        </is>
      </c>
      <c r="F234" t="inlineStr">
        <is>
          <t>SR 1665</t>
        </is>
      </c>
      <c r="G234" t="inlineStr">
        <is>
          <t>SR 1001</t>
        </is>
      </c>
      <c r="H234">
        <v>1.722</v>
      </c>
      <c r="L234">
        <v>106547429</v>
      </c>
      <c r="M234" t="inlineStr">
        <is>
          <t>4/16/2021</t>
        </is>
      </c>
      <c r="N234">
        <v>19</v>
      </c>
      <c r="O234">
        <v>1</v>
      </c>
      <c r="P234">
        <v>0</v>
      </c>
      <c r="Q234">
        <v>1</v>
      </c>
      <c r="R234" t="inlineStr">
        <is>
          <t>O</t>
        </is>
      </c>
    </row>
    <row r="235">
      <c r="A235" t="inlineStr">
        <is>
          <t>558</t>
        </is>
      </c>
      <c r="B235" t="inlineStr">
        <is>
          <t>SIKES MILL</t>
        </is>
      </c>
      <c r="C235">
        <v>0.38</v>
      </c>
      <c r="D235" t="inlineStr">
        <is>
          <t>NE</t>
        </is>
      </c>
      <c r="E235" t="inlineStr">
        <is>
          <t>BAUCOM</t>
        </is>
      </c>
      <c r="F235" t="inlineStr">
        <is>
          <t>CHANEY</t>
        </is>
      </c>
      <c r="G235" t="inlineStr">
        <is>
          <t>SR 1001</t>
        </is>
      </c>
      <c r="H235">
        <v>1.732</v>
      </c>
      <c r="L235">
        <v>107720690</v>
      </c>
      <c r="M235" t="inlineStr">
        <is>
          <t>5/16/2024</t>
        </is>
      </c>
      <c r="N235">
        <v>19</v>
      </c>
      <c r="O235">
        <v>1</v>
      </c>
      <c r="P235">
        <v>0</v>
      </c>
      <c r="Q235">
        <v>3</v>
      </c>
      <c r="R235" t="inlineStr">
        <is>
          <t>O</t>
        </is>
      </c>
    </row>
    <row r="236">
      <c r="A236" t="inlineStr">
        <is>
          <t>558</t>
        </is>
      </c>
      <c r="B236" t="inlineStr">
        <is>
          <t>SR 1001</t>
        </is>
      </c>
      <c r="C236">
        <v>0.4</v>
      </c>
      <c r="D236" t="inlineStr">
        <is>
          <t>SE</t>
        </is>
      </c>
      <c r="E236" t="inlineStr">
        <is>
          <t>SR 1665</t>
        </is>
      </c>
      <c r="F236" t="inlineStr">
        <is>
          <t>SR 1620</t>
        </is>
      </c>
      <c r="G236" t="inlineStr">
        <is>
          <t>SR 1001</t>
        </is>
      </c>
      <c r="H236">
        <v>1.815</v>
      </c>
      <c r="L236">
        <v>107984794</v>
      </c>
      <c r="M236" t="inlineStr">
        <is>
          <t>1/7/2025</t>
        </is>
      </c>
      <c r="N236">
        <v>18</v>
      </c>
      <c r="O236">
        <v>1</v>
      </c>
      <c r="P236">
        <v>0</v>
      </c>
      <c r="Q236">
        <v>5</v>
      </c>
      <c r="R236" t="inlineStr">
        <is>
          <t>O</t>
        </is>
      </c>
    </row>
    <row r="237">
      <c r="A237" t="inlineStr">
        <is>
          <t>558</t>
        </is>
      </c>
      <c r="B237" t="inlineStr">
        <is>
          <t>SIKES MILL</t>
        </is>
      </c>
      <c r="C237">
        <v>0.28</v>
      </c>
      <c r="D237" t="inlineStr">
        <is>
          <t>S</t>
        </is>
      </c>
      <c r="E237" t="inlineStr">
        <is>
          <t>CHANEY</t>
        </is>
      </c>
      <c r="F237" t="inlineStr">
        <is>
          <t>BAUCOM</t>
        </is>
      </c>
      <c r="G237" t="inlineStr">
        <is>
          <t>SR 1001</t>
        </is>
      </c>
      <c r="H237">
        <v>1.935</v>
      </c>
      <c r="L237">
        <v>106961419</v>
      </c>
      <c r="M237" t="inlineStr">
        <is>
          <t>5/19/2022</t>
        </is>
      </c>
      <c r="N237">
        <v>21</v>
      </c>
      <c r="O237">
        <v>1</v>
      </c>
      <c r="P237">
        <v>0</v>
      </c>
      <c r="Q237">
        <v>1</v>
      </c>
      <c r="R237" t="inlineStr">
        <is>
          <t>O</t>
        </is>
      </c>
    </row>
    <row r="238">
      <c r="A238" t="inlineStr">
        <is>
          <t>558</t>
        </is>
      </c>
      <c r="B238" t="inlineStr">
        <is>
          <t>SR 1001</t>
        </is>
      </c>
      <c r="C238">
        <v>0.25</v>
      </c>
      <c r="D238" t="inlineStr">
        <is>
          <t>S</t>
        </is>
      </c>
      <c r="E238" t="inlineStr">
        <is>
          <t>SR 1665</t>
        </is>
      </c>
      <c r="F238" t="inlineStr">
        <is>
          <t>SR 1620</t>
        </is>
      </c>
      <c r="G238" t="inlineStr">
        <is>
          <t>SR 1001</t>
        </is>
      </c>
      <c r="H238">
        <v>1.965</v>
      </c>
      <c r="L238">
        <v>106709721</v>
      </c>
      <c r="M238" t="inlineStr">
        <is>
          <t>9/21/2021</t>
        </is>
      </c>
      <c r="N238">
        <v>27</v>
      </c>
      <c r="O238">
        <v>3</v>
      </c>
      <c r="P238">
        <v>4</v>
      </c>
      <c r="Q238">
        <v>1</v>
      </c>
      <c r="R238" t="inlineStr">
        <is>
          <t>B</t>
        </is>
      </c>
    </row>
    <row r="239">
      <c r="A239" t="inlineStr">
        <is>
          <t>0</t>
        </is>
      </c>
      <c r="B239" t="inlineStr">
        <is>
          <t>SIKES MILL</t>
        </is>
      </c>
      <c r="C239">
        <v>0.24</v>
      </c>
      <c r="D239" t="inlineStr">
        <is>
          <t>S</t>
        </is>
      </c>
      <c r="E239" t="inlineStr">
        <is>
          <t>CHANEY</t>
        </is>
      </c>
      <c r="F239" t="inlineStr">
        <is>
          <t>BAUCOM</t>
        </is>
      </c>
      <c r="G239" t="inlineStr">
        <is>
          <t>SR 1001</t>
        </is>
      </c>
      <c r="H239">
        <v>1.975</v>
      </c>
      <c r="L239">
        <v>105178227</v>
      </c>
      <c r="M239" t="inlineStr">
        <is>
          <t>7/31/2017</t>
        </is>
      </c>
      <c r="N239">
        <v>19</v>
      </c>
      <c r="O239">
        <v>1</v>
      </c>
      <c r="P239">
        <v>0</v>
      </c>
      <c r="Q239">
        <v>5</v>
      </c>
      <c r="R239" t="inlineStr">
        <is>
          <t>O</t>
        </is>
      </c>
    </row>
    <row r="240">
      <c r="A240" t="inlineStr">
        <is>
          <t>558</t>
        </is>
      </c>
      <c r="B240" t="inlineStr">
        <is>
          <t>SR 1001</t>
        </is>
      </c>
      <c r="C240">
        <v>0.2</v>
      </c>
      <c r="D240" t="inlineStr">
        <is>
          <t>S</t>
        </is>
      </c>
      <c r="E240" t="inlineStr">
        <is>
          <t>SR 1665</t>
        </is>
      </c>
      <c r="F240" t="inlineStr">
        <is>
          <t>SR 1620</t>
        </is>
      </c>
      <c r="G240" t="inlineStr">
        <is>
          <t>SR 1001</t>
        </is>
      </c>
      <c r="H240">
        <v>2.015</v>
      </c>
      <c r="L240">
        <v>105912752</v>
      </c>
      <c r="M240" t="inlineStr">
        <is>
          <t>6/30/2019</t>
        </is>
      </c>
      <c r="N240">
        <v>17</v>
      </c>
      <c r="O240">
        <v>2</v>
      </c>
      <c r="P240">
        <v>0</v>
      </c>
      <c r="Q240">
        <v>5</v>
      </c>
      <c r="R240" t="inlineStr">
        <is>
          <t>O</t>
        </is>
      </c>
    </row>
    <row r="241">
      <c r="A241" t="inlineStr">
        <is>
          <t>558</t>
        </is>
      </c>
      <c r="B241" t="inlineStr">
        <is>
          <t>SR 1001</t>
        </is>
      </c>
      <c r="C241">
        <v>0.1</v>
      </c>
      <c r="D241" t="inlineStr">
        <is>
          <t>S</t>
        </is>
      </c>
      <c r="E241" t="inlineStr">
        <is>
          <t>SR 1665</t>
        </is>
      </c>
      <c r="F241" t="inlineStr">
        <is>
          <t>US 601</t>
        </is>
      </c>
      <c r="G241" t="inlineStr">
        <is>
          <t>SR 1001</t>
        </is>
      </c>
      <c r="H241">
        <v>2.115</v>
      </c>
      <c r="L241">
        <v>105707364</v>
      </c>
      <c r="M241" t="inlineStr">
        <is>
          <t>12/10/2018</t>
        </is>
      </c>
      <c r="N241">
        <v>29</v>
      </c>
      <c r="O241">
        <v>4</v>
      </c>
      <c r="P241">
        <v>0</v>
      </c>
      <c r="Q241">
        <v>1</v>
      </c>
      <c r="R241" t="inlineStr">
        <is>
          <t>O</t>
        </is>
      </c>
    </row>
    <row r="242">
      <c r="A242" t="inlineStr">
        <is>
          <t>558</t>
        </is>
      </c>
      <c r="B242" t="inlineStr">
        <is>
          <t>SR 1001</t>
        </is>
      </c>
      <c r="C242">
        <v>0.1</v>
      </c>
      <c r="D242" t="inlineStr">
        <is>
          <t>SW</t>
        </is>
      </c>
      <c r="E242" t="inlineStr">
        <is>
          <t>SR 1665</t>
        </is>
      </c>
      <c r="F242" t="inlineStr">
        <is>
          <t>SR 1620</t>
        </is>
      </c>
      <c r="G242" t="inlineStr">
        <is>
          <t>SR 1001</t>
        </is>
      </c>
      <c r="H242">
        <v>2.115</v>
      </c>
      <c r="L242">
        <v>107412806</v>
      </c>
      <c r="M242" t="inlineStr">
        <is>
          <t>7/31/2023</t>
        </is>
      </c>
      <c r="N242">
        <v>29</v>
      </c>
      <c r="O242">
        <v>1</v>
      </c>
      <c r="P242">
        <v>0</v>
      </c>
      <c r="Q242">
        <v>1</v>
      </c>
      <c r="R242" t="inlineStr">
        <is>
          <t>C</t>
        </is>
      </c>
    </row>
    <row r="243">
      <c r="A243" t="inlineStr">
        <is>
          <t>0</t>
        </is>
      </c>
      <c r="B243" t="inlineStr">
        <is>
          <t>SIKES MILL</t>
        </is>
      </c>
      <c r="C243">
        <v>0.095</v>
      </c>
      <c r="D243" t="inlineStr">
        <is>
          <t>S</t>
        </is>
      </c>
      <c r="E243" t="inlineStr">
        <is>
          <t>CHANEY</t>
        </is>
      </c>
      <c r="F243" t="inlineStr">
        <is>
          <t>BAUCOM</t>
        </is>
      </c>
      <c r="G243" t="inlineStr">
        <is>
          <t>SR 1001</t>
        </is>
      </c>
      <c r="H243">
        <v>2.12</v>
      </c>
      <c r="L243">
        <v>105302586</v>
      </c>
      <c r="M243" t="inlineStr">
        <is>
          <t>11/28/2017</t>
        </is>
      </c>
      <c r="N243">
        <v>17</v>
      </c>
      <c r="O243">
        <v>1</v>
      </c>
      <c r="P243">
        <v>0</v>
      </c>
      <c r="Q243">
        <v>5</v>
      </c>
      <c r="R243" t="inlineStr">
        <is>
          <t>O</t>
        </is>
      </c>
    </row>
    <row r="244">
      <c r="A244" t="inlineStr">
        <is>
          <t>0</t>
        </is>
      </c>
      <c r="B244" t="inlineStr">
        <is>
          <t>SR 1001</t>
        </is>
      </c>
      <c r="C244">
        <v>0.038</v>
      </c>
      <c r="D244" t="inlineStr">
        <is>
          <t>S</t>
        </is>
      </c>
      <c r="E244" t="inlineStr">
        <is>
          <t>SR 1665</t>
        </is>
      </c>
      <c r="F244" t="inlineStr">
        <is>
          <t>SR 1620</t>
        </is>
      </c>
      <c r="G244" t="inlineStr">
        <is>
          <t>SR 1001</t>
        </is>
      </c>
      <c r="H244">
        <v>2.177</v>
      </c>
      <c r="L244">
        <v>107935833</v>
      </c>
      <c r="M244" t="inlineStr">
        <is>
          <t>11/25/2024</t>
        </is>
      </c>
      <c r="N244">
        <v>17</v>
      </c>
      <c r="O244">
        <v>1</v>
      </c>
      <c r="P244">
        <v>0</v>
      </c>
      <c r="Q244">
        <v>5</v>
      </c>
      <c r="R244" t="inlineStr">
        <is>
          <t>O</t>
        </is>
      </c>
    </row>
    <row r="245">
      <c r="A245" t="inlineStr">
        <is>
          <t>558</t>
        </is>
      </c>
      <c r="B245" t="inlineStr">
        <is>
          <t>SR 1001</t>
        </is>
      </c>
      <c r="C245">
        <v>0.0</v>
      </c>
      <c r="E245" t="inlineStr">
        <is>
          <t>SR 1665</t>
        </is>
      </c>
      <c r="F245" t="inlineStr">
        <is>
          <t>SR 1615</t>
        </is>
      </c>
      <c r="G245" t="inlineStr">
        <is>
          <t>SR 1001</t>
        </is>
      </c>
      <c r="H245">
        <v>2.215</v>
      </c>
      <c r="L245">
        <v>105137812</v>
      </c>
      <c r="M245" t="inlineStr">
        <is>
          <t>6/19/2017</t>
        </is>
      </c>
      <c r="N245">
        <v>19</v>
      </c>
      <c r="O245">
        <v>1</v>
      </c>
      <c r="P245">
        <v>8</v>
      </c>
      <c r="Q245">
        <v>1</v>
      </c>
      <c r="R245" t="inlineStr">
        <is>
          <t>O</t>
        </is>
      </c>
    </row>
    <row r="246">
      <c r="A246" t="inlineStr">
        <is>
          <t>558</t>
        </is>
      </c>
      <c r="B246" t="inlineStr">
        <is>
          <t>SR 1001</t>
        </is>
      </c>
      <c r="C246">
        <v>0.01</v>
      </c>
      <c r="D246" t="inlineStr">
        <is>
          <t>N</t>
        </is>
      </c>
      <c r="E246" t="inlineStr">
        <is>
          <t>SR 1665</t>
        </is>
      </c>
      <c r="F246" t="inlineStr">
        <is>
          <t>SR 1615</t>
        </is>
      </c>
      <c r="G246" t="inlineStr">
        <is>
          <t>SR 1001</t>
        </is>
      </c>
      <c r="H246">
        <v>2.225</v>
      </c>
      <c r="L246">
        <v>107059684</v>
      </c>
      <c r="M246" t="inlineStr">
        <is>
          <t>8/28/2022</t>
        </is>
      </c>
      <c r="N246">
        <v>19</v>
      </c>
      <c r="O246">
        <v>1</v>
      </c>
      <c r="P246">
        <v>0</v>
      </c>
      <c r="Q246">
        <v>1</v>
      </c>
    </row>
    <row r="247">
      <c r="A247" t="inlineStr">
        <is>
          <t>0</t>
        </is>
      </c>
      <c r="B247" t="inlineStr">
        <is>
          <t>SR 1001</t>
        </is>
      </c>
      <c r="C247">
        <v>0.052</v>
      </c>
      <c r="D247" t="inlineStr">
        <is>
          <t>N</t>
        </is>
      </c>
      <c r="E247" t="inlineStr">
        <is>
          <t>SR 1665</t>
        </is>
      </c>
      <c r="F247" t="inlineStr">
        <is>
          <t>SR 2713</t>
        </is>
      </c>
      <c r="G247" t="inlineStr">
        <is>
          <t>SR 1001</t>
        </is>
      </c>
      <c r="H247">
        <v>2.267</v>
      </c>
      <c r="L247">
        <v>106807050</v>
      </c>
      <c r="M247" t="inlineStr">
        <is>
          <t>12/18/2021</t>
        </is>
      </c>
      <c r="N247">
        <v>5</v>
      </c>
      <c r="O247">
        <v>1</v>
      </c>
      <c r="P247">
        <v>0</v>
      </c>
      <c r="Q247">
        <v>5</v>
      </c>
      <c r="R247" t="inlineStr">
        <is>
          <t>C</t>
        </is>
      </c>
    </row>
    <row r="248">
      <c r="A248" t="inlineStr">
        <is>
          <t>558</t>
        </is>
      </c>
      <c r="B248" t="inlineStr">
        <is>
          <t>SR 1001</t>
        </is>
      </c>
      <c r="C248">
        <v>0.1</v>
      </c>
      <c r="D248" t="inlineStr">
        <is>
          <t>N</t>
        </is>
      </c>
      <c r="E248" t="inlineStr">
        <is>
          <t>SR 1665</t>
        </is>
      </c>
      <c r="F248" t="inlineStr">
        <is>
          <t>SR 2713</t>
        </is>
      </c>
      <c r="G248" t="inlineStr">
        <is>
          <t>SR 1001</t>
        </is>
      </c>
      <c r="H248">
        <v>2.315</v>
      </c>
      <c r="L248">
        <v>106678989</v>
      </c>
      <c r="M248" t="inlineStr">
        <is>
          <t>8/29/2021</t>
        </is>
      </c>
      <c r="N248">
        <v>29</v>
      </c>
      <c r="O248">
        <v>1</v>
      </c>
      <c r="P248">
        <v>0</v>
      </c>
      <c r="Q248">
        <v>1</v>
      </c>
      <c r="R248" t="inlineStr">
        <is>
          <t>O</t>
        </is>
      </c>
    </row>
    <row r="249">
      <c r="A249" t="inlineStr">
        <is>
          <t>558</t>
        </is>
      </c>
      <c r="B249" t="inlineStr">
        <is>
          <t>SR 1001</t>
        </is>
      </c>
      <c r="C249">
        <v>0.1</v>
      </c>
      <c r="D249" t="inlineStr">
        <is>
          <t>N</t>
        </is>
      </c>
      <c r="E249" t="inlineStr">
        <is>
          <t>SR 1665</t>
        </is>
      </c>
      <c r="F249" t="inlineStr">
        <is>
          <t>SR 2713</t>
        </is>
      </c>
      <c r="G249" t="inlineStr">
        <is>
          <t>SR 1001</t>
        </is>
      </c>
      <c r="H249">
        <v>2.315</v>
      </c>
      <c r="L249">
        <v>106572777</v>
      </c>
      <c r="M249" t="inlineStr">
        <is>
          <t>5/11/2021</t>
        </is>
      </c>
      <c r="N249">
        <v>29</v>
      </c>
      <c r="O249">
        <v>1</v>
      </c>
      <c r="P249">
        <v>0</v>
      </c>
      <c r="Q249">
        <v>1</v>
      </c>
      <c r="R249" t="inlineStr">
        <is>
          <t>C</t>
        </is>
      </c>
    </row>
    <row r="250">
      <c r="A250" t="inlineStr">
        <is>
          <t>558</t>
        </is>
      </c>
      <c r="B250" t="inlineStr">
        <is>
          <t>SR 1001</t>
        </is>
      </c>
      <c r="C250">
        <v>0.1</v>
      </c>
      <c r="D250" t="inlineStr">
        <is>
          <t>N</t>
        </is>
      </c>
      <c r="E250" t="inlineStr">
        <is>
          <t>SR 1665</t>
        </is>
      </c>
      <c r="F250" t="inlineStr">
        <is>
          <t>SR 2713</t>
        </is>
      </c>
      <c r="G250" t="inlineStr">
        <is>
          <t>SR 1001</t>
        </is>
      </c>
      <c r="H250">
        <v>2.315</v>
      </c>
      <c r="L250">
        <v>105183265</v>
      </c>
      <c r="M250" t="inlineStr">
        <is>
          <t>8/7/2017</t>
        </is>
      </c>
      <c r="N250">
        <v>23</v>
      </c>
      <c r="O250">
        <v>1</v>
      </c>
      <c r="P250">
        <v>0</v>
      </c>
      <c r="Q250">
        <v>1</v>
      </c>
      <c r="R250" t="inlineStr">
        <is>
          <t>B</t>
        </is>
      </c>
    </row>
    <row r="251">
      <c r="A251" t="inlineStr">
        <is>
          <t>0</t>
        </is>
      </c>
      <c r="B251" t="inlineStr">
        <is>
          <t>SR 1001</t>
        </is>
      </c>
      <c r="C251">
        <v>0.1</v>
      </c>
      <c r="D251" t="inlineStr">
        <is>
          <t>N</t>
        </is>
      </c>
      <c r="E251" t="inlineStr">
        <is>
          <t>SR 1665</t>
        </is>
      </c>
      <c r="F251" t="inlineStr">
        <is>
          <t>SR 2713</t>
        </is>
      </c>
      <c r="G251" t="inlineStr">
        <is>
          <t>SR 1001</t>
        </is>
      </c>
      <c r="H251">
        <v>2.315</v>
      </c>
      <c r="L251">
        <v>104942809</v>
      </c>
      <c r="M251" t="inlineStr">
        <is>
          <t>12/7/2016</t>
        </is>
      </c>
      <c r="N251">
        <v>1</v>
      </c>
      <c r="O251">
        <v>1</v>
      </c>
      <c r="P251">
        <v>5</v>
      </c>
      <c r="Q251">
        <v>5</v>
      </c>
      <c r="R251" t="inlineStr">
        <is>
          <t>O</t>
        </is>
      </c>
    </row>
    <row r="252">
      <c r="A252" t="inlineStr">
        <is>
          <t>0</t>
        </is>
      </c>
      <c r="B252" t="inlineStr">
        <is>
          <t>SR 1001</t>
        </is>
      </c>
      <c r="C252">
        <v>0.4</v>
      </c>
      <c r="D252" t="inlineStr">
        <is>
          <t>S</t>
        </is>
      </c>
      <c r="E252" t="inlineStr">
        <is>
          <t>SR 1615</t>
        </is>
      </c>
      <c r="F252" t="inlineStr">
        <is>
          <t>SR 1638</t>
        </is>
      </c>
      <c r="G252" t="inlineStr">
        <is>
          <t>SR 1001</t>
        </is>
      </c>
      <c r="H252">
        <v>2.471</v>
      </c>
      <c r="L252">
        <v>104946035</v>
      </c>
      <c r="M252" t="inlineStr">
        <is>
          <t>12/10/2016</t>
        </is>
      </c>
      <c r="N252">
        <v>21</v>
      </c>
      <c r="O252">
        <v>1</v>
      </c>
      <c r="P252">
        <v>0</v>
      </c>
      <c r="Q252">
        <v>5</v>
      </c>
      <c r="R252" t="inlineStr">
        <is>
          <t>C</t>
        </is>
      </c>
    </row>
    <row r="253">
      <c r="A253" t="inlineStr">
        <is>
          <t>558</t>
        </is>
      </c>
      <c r="B253" t="inlineStr">
        <is>
          <t>SR 1001</t>
        </is>
      </c>
      <c r="C253">
        <v>0.031</v>
      </c>
      <c r="D253" t="inlineStr">
        <is>
          <t>S</t>
        </is>
      </c>
      <c r="E253" t="inlineStr">
        <is>
          <t>SR 2713</t>
        </is>
      </c>
      <c r="F253" t="inlineStr">
        <is>
          <t>SR 1665</t>
        </is>
      </c>
      <c r="G253" t="inlineStr">
        <is>
          <t>SR 1001</t>
        </is>
      </c>
      <c r="H253">
        <v>2.494</v>
      </c>
      <c r="L253">
        <v>107743856</v>
      </c>
      <c r="M253" t="inlineStr">
        <is>
          <t>6/4/2024</t>
        </is>
      </c>
      <c r="N253">
        <v>5</v>
      </c>
      <c r="O253">
        <v>1</v>
      </c>
      <c r="P253">
        <v>0</v>
      </c>
      <c r="Q253">
        <v>1</v>
      </c>
      <c r="R253" t="inlineStr">
        <is>
          <t>A</t>
        </is>
      </c>
    </row>
    <row r="254">
      <c r="A254" t="inlineStr">
        <is>
          <t>558</t>
        </is>
      </c>
      <c r="B254" t="inlineStr">
        <is>
          <t>SR 1001</t>
        </is>
      </c>
      <c r="C254">
        <v>0.006</v>
      </c>
      <c r="D254" t="inlineStr">
        <is>
          <t>S</t>
        </is>
      </c>
      <c r="E254" t="inlineStr">
        <is>
          <t>SR 2713</t>
        </is>
      </c>
      <c r="F254" t="inlineStr">
        <is>
          <t>SR 1665</t>
        </is>
      </c>
      <c r="G254" t="inlineStr">
        <is>
          <t>SR 1001</t>
        </is>
      </c>
      <c r="H254">
        <v>2.519</v>
      </c>
      <c r="L254">
        <v>108208937</v>
      </c>
      <c r="M254" t="inlineStr">
        <is>
          <t>8/14/2025</t>
        </is>
      </c>
      <c r="N254">
        <v>19</v>
      </c>
      <c r="O254">
        <v>1</v>
      </c>
      <c r="P254">
        <v>0</v>
      </c>
      <c r="Q254">
        <v>1</v>
      </c>
      <c r="R254" t="inlineStr">
        <is>
          <t>A</t>
        </is>
      </c>
    </row>
    <row r="255">
      <c r="A255" t="inlineStr">
        <is>
          <t>558</t>
        </is>
      </c>
      <c r="B255" t="inlineStr">
        <is>
          <t>SR 1001</t>
        </is>
      </c>
      <c r="C255">
        <v>0.0</v>
      </c>
      <c r="E255" t="inlineStr">
        <is>
          <t>SR 2713</t>
        </is>
      </c>
      <c r="F255" t="inlineStr">
        <is>
          <t>SR 1615</t>
        </is>
      </c>
      <c r="G255" t="inlineStr">
        <is>
          <t>SR 1001</t>
        </is>
      </c>
      <c r="H255">
        <v>2.525</v>
      </c>
      <c r="L255">
        <v>108377777</v>
      </c>
      <c r="M255" t="inlineStr">
        <is>
          <t>1/19/2026</t>
        </is>
      </c>
      <c r="N255">
        <v>23</v>
      </c>
      <c r="O255">
        <v>1</v>
      </c>
      <c r="P255">
        <v>8</v>
      </c>
      <c r="Q255">
        <v>1</v>
      </c>
      <c r="R255" t="inlineStr">
        <is>
          <t>O</t>
        </is>
      </c>
    </row>
    <row r="256">
      <c r="A256" t="inlineStr">
        <is>
          <t>558</t>
        </is>
      </c>
      <c r="B256" t="inlineStr">
        <is>
          <t>SR 1001</t>
        </is>
      </c>
      <c r="C256">
        <v>0.0</v>
      </c>
      <c r="E256" t="inlineStr">
        <is>
          <t>SR 2713</t>
        </is>
      </c>
      <c r="F256" t="inlineStr">
        <is>
          <t>SR 1665</t>
        </is>
      </c>
      <c r="G256" t="inlineStr">
        <is>
          <t>SR 1001</t>
        </is>
      </c>
      <c r="H256">
        <v>2.525</v>
      </c>
      <c r="L256">
        <v>106017149</v>
      </c>
      <c r="M256" t="inlineStr">
        <is>
          <t>10/8/2019</t>
        </is>
      </c>
      <c r="N256">
        <v>24</v>
      </c>
      <c r="O256">
        <v>1</v>
      </c>
      <c r="P256">
        <v>8</v>
      </c>
      <c r="Q256">
        <v>1</v>
      </c>
      <c r="R256" t="inlineStr">
        <is>
          <t>B</t>
        </is>
      </c>
    </row>
    <row r="257">
      <c r="A257" t="inlineStr">
        <is>
          <t>558</t>
        </is>
      </c>
      <c r="B257" t="inlineStr">
        <is>
          <t>SR 1001</t>
        </is>
      </c>
      <c r="C257">
        <v>0.009</v>
      </c>
      <c r="D257" t="inlineStr">
        <is>
          <t>N</t>
        </is>
      </c>
      <c r="E257" t="inlineStr">
        <is>
          <t>SR 2713</t>
        </is>
      </c>
      <c r="F257" t="inlineStr">
        <is>
          <t>SR 1615</t>
        </is>
      </c>
      <c r="G257" t="inlineStr">
        <is>
          <t>SR 1001</t>
        </is>
      </c>
      <c r="H257">
        <v>2.534</v>
      </c>
      <c r="L257">
        <v>106393731</v>
      </c>
      <c r="M257" t="inlineStr">
        <is>
          <t>11/4/2020</t>
        </is>
      </c>
      <c r="N257">
        <v>17</v>
      </c>
      <c r="O257">
        <v>1</v>
      </c>
      <c r="P257">
        <v>0</v>
      </c>
      <c r="Q257">
        <v>3</v>
      </c>
      <c r="R257" t="inlineStr">
        <is>
          <t>O</t>
        </is>
      </c>
    </row>
    <row r="258">
      <c r="A258" t="inlineStr">
        <is>
          <t>558</t>
        </is>
      </c>
      <c r="B258" t="inlineStr">
        <is>
          <t>SR 1001</t>
        </is>
      </c>
      <c r="C258">
        <v>0.3</v>
      </c>
      <c r="D258" t="inlineStr">
        <is>
          <t>S</t>
        </is>
      </c>
      <c r="E258" t="inlineStr">
        <is>
          <t>SR 1615</t>
        </is>
      </c>
      <c r="F258" t="inlineStr">
        <is>
          <t>SR 2713</t>
        </is>
      </c>
      <c r="G258" t="inlineStr">
        <is>
          <t>SR 1001</t>
        </is>
      </c>
      <c r="H258">
        <v>2.571</v>
      </c>
      <c r="L258">
        <v>107054448</v>
      </c>
      <c r="M258" t="inlineStr">
        <is>
          <t>8/16/2022</t>
        </is>
      </c>
      <c r="N258">
        <v>29</v>
      </c>
      <c r="O258">
        <v>1</v>
      </c>
      <c r="P258">
        <v>0</v>
      </c>
      <c r="Q258">
        <v>1</v>
      </c>
      <c r="R258" t="inlineStr">
        <is>
          <t>O</t>
        </is>
      </c>
    </row>
    <row r="259">
      <c r="A259" t="inlineStr">
        <is>
          <t>558</t>
        </is>
      </c>
      <c r="B259" t="inlineStr">
        <is>
          <t>SR 1001</t>
        </is>
      </c>
      <c r="C259">
        <v>0.25</v>
      </c>
      <c r="D259" t="inlineStr">
        <is>
          <t>S</t>
        </is>
      </c>
      <c r="E259" t="inlineStr">
        <is>
          <t>SR 1615</t>
        </is>
      </c>
      <c r="F259" t="inlineStr">
        <is>
          <t>SR 2713</t>
        </is>
      </c>
      <c r="G259" t="inlineStr">
        <is>
          <t>SR 1001</t>
        </is>
      </c>
      <c r="H259">
        <v>2.621</v>
      </c>
      <c r="L259">
        <v>106146785</v>
      </c>
      <c r="M259" t="inlineStr">
        <is>
          <t>2/3/2020</t>
        </is>
      </c>
      <c r="N259">
        <v>17</v>
      </c>
      <c r="O259">
        <v>1</v>
      </c>
      <c r="P259">
        <v>0</v>
      </c>
      <c r="Q259">
        <v>5</v>
      </c>
      <c r="R259" t="inlineStr">
        <is>
          <t>O</t>
        </is>
      </c>
    </row>
    <row r="260">
      <c r="A260" t="inlineStr">
        <is>
          <t>558</t>
        </is>
      </c>
      <c r="B260" t="inlineStr">
        <is>
          <t>SR 1001</t>
        </is>
      </c>
      <c r="C260">
        <v>0.2</v>
      </c>
      <c r="D260" t="inlineStr">
        <is>
          <t>S</t>
        </is>
      </c>
      <c r="E260" t="inlineStr">
        <is>
          <t>SR 1615</t>
        </is>
      </c>
      <c r="F260" t="inlineStr">
        <is>
          <t>SR 2713</t>
        </is>
      </c>
      <c r="G260" t="inlineStr">
        <is>
          <t>SR 1001</t>
        </is>
      </c>
      <c r="H260">
        <v>2.671</v>
      </c>
      <c r="L260">
        <v>107693734</v>
      </c>
      <c r="M260" t="inlineStr">
        <is>
          <t>4/19/2024</t>
        </is>
      </c>
      <c r="N260">
        <v>17</v>
      </c>
      <c r="O260">
        <v>1</v>
      </c>
      <c r="P260">
        <v>0</v>
      </c>
      <c r="Q260">
        <v>1</v>
      </c>
      <c r="R260" t="inlineStr">
        <is>
          <t>O</t>
        </is>
      </c>
    </row>
    <row r="261">
      <c r="A261" t="inlineStr">
        <is>
          <t>0</t>
        </is>
      </c>
      <c r="B261" t="inlineStr">
        <is>
          <t>SR 1001</t>
        </is>
      </c>
      <c r="C261">
        <v>0.5</v>
      </c>
      <c r="D261" t="inlineStr">
        <is>
          <t>N</t>
        </is>
      </c>
      <c r="E261" t="inlineStr">
        <is>
          <t>SR 1665</t>
        </is>
      </c>
      <c r="F261" t="inlineStr">
        <is>
          <t>SR 2713</t>
        </is>
      </c>
      <c r="G261" t="inlineStr">
        <is>
          <t>SR 1001</t>
        </is>
      </c>
      <c r="H261">
        <v>2.715</v>
      </c>
      <c r="L261">
        <v>108271610</v>
      </c>
      <c r="M261" t="inlineStr">
        <is>
          <t>10/13/2025</t>
        </is>
      </c>
      <c r="N261">
        <v>29</v>
      </c>
      <c r="O261">
        <v>1</v>
      </c>
      <c r="P261">
        <v>0</v>
      </c>
      <c r="Q261">
        <v>1</v>
      </c>
      <c r="R261" t="inlineStr">
        <is>
          <t>O</t>
        </is>
      </c>
    </row>
    <row r="262">
      <c r="A262" t="inlineStr">
        <is>
          <t>0</t>
        </is>
      </c>
      <c r="B262" t="inlineStr">
        <is>
          <t>SR 1001</t>
        </is>
      </c>
      <c r="C262">
        <v>0.5</v>
      </c>
      <c r="D262" t="inlineStr">
        <is>
          <t>N</t>
        </is>
      </c>
      <c r="E262" t="inlineStr">
        <is>
          <t>SR 1665</t>
        </is>
      </c>
      <c r="F262" t="inlineStr">
        <is>
          <t>SR 1615</t>
        </is>
      </c>
      <c r="G262" t="inlineStr">
        <is>
          <t>SR 1001</t>
        </is>
      </c>
      <c r="H262">
        <v>2.715</v>
      </c>
      <c r="L262">
        <v>107158545</v>
      </c>
      <c r="M262" t="inlineStr">
        <is>
          <t>11/24/2022</t>
        </is>
      </c>
      <c r="N262">
        <v>17</v>
      </c>
      <c r="O262">
        <v>1</v>
      </c>
      <c r="P262">
        <v>0</v>
      </c>
      <c r="Q262">
        <v>5</v>
      </c>
      <c r="R262" t="inlineStr">
        <is>
          <t>O</t>
        </is>
      </c>
    </row>
    <row r="263">
      <c r="A263" t="inlineStr">
        <is>
          <t>558</t>
        </is>
      </c>
      <c r="B263" t="inlineStr">
        <is>
          <t>SR 1001</t>
        </is>
      </c>
      <c r="C263">
        <v>0.5</v>
      </c>
      <c r="D263" t="inlineStr">
        <is>
          <t>N</t>
        </is>
      </c>
      <c r="E263" t="inlineStr">
        <is>
          <t>SR 1665</t>
        </is>
      </c>
      <c r="F263" t="inlineStr">
        <is>
          <t>SR 1615</t>
        </is>
      </c>
      <c r="G263" t="inlineStr">
        <is>
          <t>SR 1001</t>
        </is>
      </c>
      <c r="H263">
        <v>2.715</v>
      </c>
      <c r="L263">
        <v>108436731</v>
      </c>
      <c r="M263" t="inlineStr">
        <is>
          <t>3/13/2026</t>
        </is>
      </c>
      <c r="N263">
        <v>19</v>
      </c>
      <c r="O263">
        <v>1</v>
      </c>
      <c r="P263">
        <v>0</v>
      </c>
      <c r="Q263">
        <v>1</v>
      </c>
      <c r="R263" t="inlineStr">
        <is>
          <t>B</t>
        </is>
      </c>
    </row>
    <row r="264">
      <c r="A264" t="inlineStr">
        <is>
          <t>558</t>
        </is>
      </c>
      <c r="B264" t="inlineStr">
        <is>
          <t>SR 1001</t>
        </is>
      </c>
      <c r="C264">
        <v>0.2</v>
      </c>
      <c r="D264" t="inlineStr">
        <is>
          <t>NE</t>
        </is>
      </c>
      <c r="E264" t="inlineStr">
        <is>
          <t>SR 2713</t>
        </is>
      </c>
      <c r="F264" t="inlineStr">
        <is>
          <t>SR 1615</t>
        </is>
      </c>
      <c r="G264" t="inlineStr">
        <is>
          <t>SR 1001</t>
        </is>
      </c>
      <c r="H264">
        <v>2.725</v>
      </c>
      <c r="L264">
        <v>105512829</v>
      </c>
      <c r="M264" t="inlineStr">
        <is>
          <t>6/15/2018</t>
        </is>
      </c>
      <c r="N264">
        <v>19</v>
      </c>
      <c r="O264">
        <v>1</v>
      </c>
      <c r="P264">
        <v>0</v>
      </c>
      <c r="Q264">
        <v>5</v>
      </c>
      <c r="R264" t="inlineStr">
        <is>
          <t>O</t>
        </is>
      </c>
    </row>
    <row r="265">
      <c r="A265" t="inlineStr">
        <is>
          <t>558</t>
        </is>
      </c>
      <c r="B265" t="inlineStr">
        <is>
          <t>SR 1001</t>
        </is>
      </c>
      <c r="C265">
        <v>0.1</v>
      </c>
      <c r="D265" t="inlineStr">
        <is>
          <t>S</t>
        </is>
      </c>
      <c r="E265" t="inlineStr">
        <is>
          <t>SR 1615</t>
        </is>
      </c>
      <c r="F265" t="inlineStr">
        <is>
          <t>SR 1638</t>
        </is>
      </c>
      <c r="G265" t="inlineStr">
        <is>
          <t>SR 1001</t>
        </is>
      </c>
      <c r="H265">
        <v>2.771</v>
      </c>
      <c r="L265">
        <v>105353604</v>
      </c>
      <c r="M265" t="inlineStr">
        <is>
          <t>1/16/2018</t>
        </is>
      </c>
      <c r="N265">
        <v>23</v>
      </c>
      <c r="O265">
        <v>1</v>
      </c>
      <c r="P265">
        <v>5</v>
      </c>
      <c r="Q265">
        <v>1</v>
      </c>
      <c r="R265" t="inlineStr">
        <is>
          <t>O</t>
        </is>
      </c>
    </row>
    <row r="266">
      <c r="A266" t="inlineStr">
        <is>
          <t>558</t>
        </is>
      </c>
      <c r="B266" t="inlineStr">
        <is>
          <t>SIKES MILL</t>
        </is>
      </c>
      <c r="C266">
        <v>0.25</v>
      </c>
      <c r="D266" t="inlineStr">
        <is>
          <t>N</t>
        </is>
      </c>
      <c r="E266" t="inlineStr">
        <is>
          <t>BRIARCLIFF</t>
        </is>
      </c>
      <c r="F266" t="inlineStr">
        <is>
          <t>UNIONVILLE</t>
        </is>
      </c>
      <c r="G266" t="inlineStr">
        <is>
          <t>SR 1001</t>
        </is>
      </c>
      <c r="H266">
        <v>2.775</v>
      </c>
      <c r="L266">
        <v>106042505</v>
      </c>
      <c r="M266" t="inlineStr">
        <is>
          <t>10/16/2019</t>
        </is>
      </c>
      <c r="N266">
        <v>1</v>
      </c>
      <c r="O266">
        <v>3</v>
      </c>
      <c r="P266">
        <v>0</v>
      </c>
      <c r="Q266">
        <v>1</v>
      </c>
      <c r="R266" t="inlineStr">
        <is>
          <t>O</t>
        </is>
      </c>
    </row>
    <row r="267">
      <c r="A267" t="inlineStr">
        <is>
          <t>558</t>
        </is>
      </c>
      <c r="B267" t="inlineStr">
        <is>
          <t>SIKES MILL</t>
        </is>
      </c>
      <c r="C267">
        <v>0.0</v>
      </c>
      <c r="E267" t="inlineStr">
        <is>
          <t>UNIONVILLE</t>
        </is>
      </c>
      <c r="F267" t="inlineStr">
        <is>
          <t>HAIGLER BAUCOM</t>
        </is>
      </c>
      <c r="G267" t="inlineStr">
        <is>
          <t>SR 1001</t>
        </is>
      </c>
      <c r="H267">
        <v>2.871</v>
      </c>
      <c r="L267">
        <v>108179130</v>
      </c>
      <c r="M267" t="inlineStr">
        <is>
          <t>7/22/2025</t>
        </is>
      </c>
      <c r="N267">
        <v>19</v>
      </c>
      <c r="O267">
        <v>1</v>
      </c>
      <c r="P267">
        <v>0</v>
      </c>
      <c r="Q267">
        <v>1</v>
      </c>
      <c r="R267" t="inlineStr">
        <is>
          <t>C</t>
        </is>
      </c>
    </row>
    <row r="268">
      <c r="A268" t="inlineStr">
        <is>
          <t>558</t>
        </is>
      </c>
      <c r="B268" t="inlineStr">
        <is>
          <t>SR 1001</t>
        </is>
      </c>
      <c r="C268">
        <v>0.0</v>
      </c>
      <c r="E268" t="inlineStr">
        <is>
          <t>SR 1615</t>
        </is>
      </c>
      <c r="F268" t="inlineStr">
        <is>
          <t>SR 1619</t>
        </is>
      </c>
      <c r="G268" t="inlineStr">
        <is>
          <t>SR 1001</t>
        </is>
      </c>
      <c r="H268">
        <v>2.871</v>
      </c>
      <c r="L268">
        <v>106467658</v>
      </c>
      <c r="M268" t="inlineStr">
        <is>
          <t>1/18/2021</t>
        </is>
      </c>
      <c r="N268">
        <v>23</v>
      </c>
      <c r="O268">
        <v>1</v>
      </c>
      <c r="P268">
        <v>8</v>
      </c>
      <c r="Q268">
        <v>1</v>
      </c>
      <c r="R268" t="inlineStr">
        <is>
          <t>O</t>
        </is>
      </c>
    </row>
    <row r="269">
      <c r="A269" t="inlineStr">
        <is>
          <t>558</t>
        </is>
      </c>
      <c r="B269" t="inlineStr">
        <is>
          <t>SR 1001</t>
        </is>
      </c>
      <c r="C269">
        <v>0.0</v>
      </c>
      <c r="E269" t="inlineStr">
        <is>
          <t>SR 1615</t>
        </is>
      </c>
      <c r="F269" t="inlineStr">
        <is>
          <t>SR 1617</t>
        </is>
      </c>
      <c r="G269" t="inlineStr">
        <is>
          <t>SR 1001</t>
        </is>
      </c>
      <c r="H269">
        <v>2.871</v>
      </c>
      <c r="L269">
        <v>106006697</v>
      </c>
      <c r="M269" t="inlineStr">
        <is>
          <t>9/27/2019</t>
        </is>
      </c>
      <c r="N269">
        <v>23</v>
      </c>
      <c r="O269">
        <v>1</v>
      </c>
      <c r="P269">
        <v>8</v>
      </c>
      <c r="Q269">
        <v>1</v>
      </c>
      <c r="R269" t="inlineStr">
        <is>
          <t>B</t>
        </is>
      </c>
    </row>
    <row r="270">
      <c r="A270" t="inlineStr">
        <is>
          <t>558</t>
        </is>
      </c>
      <c r="B270" t="inlineStr">
        <is>
          <t>SIKES MILL</t>
        </is>
      </c>
      <c r="C270">
        <v>0.5</v>
      </c>
      <c r="D270" t="inlineStr">
        <is>
          <t>S</t>
        </is>
      </c>
      <c r="E270" t="inlineStr">
        <is>
          <t>TOM BOYD</t>
        </is>
      </c>
      <c r="F270" t="inlineStr">
        <is>
          <t>UNIONVILLE</t>
        </is>
      </c>
      <c r="G270" t="inlineStr">
        <is>
          <t>SR 1001</t>
        </is>
      </c>
      <c r="H270">
        <v>2.961</v>
      </c>
      <c r="L270">
        <v>106582879</v>
      </c>
      <c r="M270" t="inlineStr">
        <is>
          <t>5/24/2021</t>
        </is>
      </c>
      <c r="N270">
        <v>17</v>
      </c>
      <c r="O270">
        <v>1</v>
      </c>
      <c r="P270">
        <v>0</v>
      </c>
      <c r="Q270">
        <v>1</v>
      </c>
      <c r="R270" t="inlineStr">
        <is>
          <t>O</t>
        </is>
      </c>
    </row>
    <row r="271">
      <c r="A271" t="inlineStr">
        <is>
          <t>0</t>
        </is>
      </c>
      <c r="B271" t="inlineStr">
        <is>
          <t>SR 1001</t>
        </is>
      </c>
      <c r="C271">
        <v>0.5</v>
      </c>
      <c r="D271" t="inlineStr">
        <is>
          <t>S</t>
        </is>
      </c>
      <c r="E271" t="inlineStr">
        <is>
          <t>SR 1617</t>
        </is>
      </c>
      <c r="F271" t="inlineStr">
        <is>
          <t>SR 1615</t>
        </is>
      </c>
      <c r="G271" t="inlineStr">
        <is>
          <t>SR 1001</t>
        </is>
      </c>
      <c r="H271">
        <v>2.961</v>
      </c>
      <c r="L271">
        <v>105477494</v>
      </c>
      <c r="M271" t="inlineStr">
        <is>
          <t>5/12/2018</t>
        </is>
      </c>
      <c r="N271">
        <v>19</v>
      </c>
      <c r="O271">
        <v>1</v>
      </c>
      <c r="P271">
        <v>0</v>
      </c>
      <c r="Q271">
        <v>5</v>
      </c>
      <c r="R271" t="inlineStr">
        <is>
          <t>A</t>
        </is>
      </c>
    </row>
    <row r="272">
      <c r="A272" t="inlineStr">
        <is>
          <t>0</t>
        </is>
      </c>
      <c r="B272" t="inlineStr">
        <is>
          <t>SR 1001</t>
        </is>
      </c>
      <c r="C272">
        <v>0.1</v>
      </c>
      <c r="D272" t="inlineStr">
        <is>
          <t>N</t>
        </is>
      </c>
      <c r="E272" t="inlineStr">
        <is>
          <t>SR 1615</t>
        </is>
      </c>
      <c r="F272" t="inlineStr">
        <is>
          <t>SR 1619</t>
        </is>
      </c>
      <c r="G272" t="inlineStr">
        <is>
          <t>SR 1001</t>
        </is>
      </c>
      <c r="H272">
        <v>2.971</v>
      </c>
      <c r="L272">
        <v>107410107</v>
      </c>
      <c r="M272" t="inlineStr">
        <is>
          <t>7/29/2023</t>
        </is>
      </c>
      <c r="N272">
        <v>17</v>
      </c>
      <c r="O272">
        <v>1</v>
      </c>
      <c r="P272">
        <v>0</v>
      </c>
      <c r="Q272">
        <v>1</v>
      </c>
      <c r="R272" t="inlineStr">
        <is>
          <t>O</t>
        </is>
      </c>
    </row>
    <row r="273">
      <c r="A273" t="inlineStr">
        <is>
          <t>558</t>
        </is>
      </c>
      <c r="B273" t="inlineStr">
        <is>
          <t>SIKES MILL</t>
        </is>
      </c>
      <c r="C273">
        <v>0.12</v>
      </c>
      <c r="D273" t="inlineStr">
        <is>
          <t>NE</t>
        </is>
      </c>
      <c r="E273" t="inlineStr">
        <is>
          <t>UNIONVILLE</t>
        </is>
      </c>
      <c r="F273" t="inlineStr">
        <is>
          <t>TOM BOYD</t>
        </is>
      </c>
      <c r="G273" t="inlineStr">
        <is>
          <t>SR 1001</t>
        </is>
      </c>
      <c r="H273">
        <v>2.991</v>
      </c>
      <c r="L273">
        <v>106000270</v>
      </c>
      <c r="M273" t="inlineStr">
        <is>
          <t>9/21/2019</t>
        </is>
      </c>
      <c r="N273">
        <v>19</v>
      </c>
      <c r="O273">
        <v>1</v>
      </c>
      <c r="P273">
        <v>0</v>
      </c>
      <c r="Q273">
        <v>1</v>
      </c>
      <c r="R273" t="inlineStr">
        <is>
          <t>O</t>
        </is>
      </c>
    </row>
    <row r="274">
      <c r="A274" t="inlineStr">
        <is>
          <t>0</t>
        </is>
      </c>
      <c r="B274" t="inlineStr">
        <is>
          <t>SR 1001</t>
        </is>
      </c>
      <c r="C274">
        <v>0.5</v>
      </c>
      <c r="D274" t="inlineStr">
        <is>
          <t>N</t>
        </is>
      </c>
      <c r="E274" t="inlineStr">
        <is>
          <t>SR 2713</t>
        </is>
      </c>
      <c r="F274" t="inlineStr">
        <is>
          <t>SR 1615</t>
        </is>
      </c>
      <c r="G274" t="inlineStr">
        <is>
          <t>SR 1001</t>
        </is>
      </c>
      <c r="H274">
        <v>3.025</v>
      </c>
      <c r="L274">
        <v>104716998</v>
      </c>
      <c r="M274" t="inlineStr">
        <is>
          <t>4/22/2016</t>
        </is>
      </c>
      <c r="N274">
        <v>17</v>
      </c>
      <c r="O274">
        <v>1</v>
      </c>
      <c r="P274">
        <v>0</v>
      </c>
      <c r="Q274">
        <v>5</v>
      </c>
      <c r="R274" t="inlineStr">
        <is>
          <t>O</t>
        </is>
      </c>
    </row>
    <row r="275">
      <c r="A275" t="inlineStr">
        <is>
          <t>558</t>
        </is>
      </c>
      <c r="B275" t="inlineStr">
        <is>
          <t>SR 1001</t>
        </is>
      </c>
      <c r="C275">
        <v>0.4</v>
      </c>
      <c r="D275" t="inlineStr">
        <is>
          <t>S</t>
        </is>
      </c>
      <c r="E275" t="inlineStr">
        <is>
          <t>SR 1617</t>
        </is>
      </c>
      <c r="F275" t="inlineStr">
        <is>
          <t>SR 1665</t>
        </is>
      </c>
      <c r="G275" t="inlineStr">
        <is>
          <t>SR 1001</t>
        </is>
      </c>
      <c r="H275">
        <v>3.061</v>
      </c>
      <c r="L275">
        <v>105456064</v>
      </c>
      <c r="M275" t="inlineStr">
        <is>
          <t>4/19/2018</t>
        </is>
      </c>
      <c r="N275">
        <v>31</v>
      </c>
      <c r="O275">
        <v>1</v>
      </c>
      <c r="P275">
        <v>0</v>
      </c>
      <c r="Q275">
        <v>1</v>
      </c>
      <c r="R275" t="inlineStr">
        <is>
          <t>O</t>
        </is>
      </c>
    </row>
    <row r="276">
      <c r="A276" t="inlineStr">
        <is>
          <t>558</t>
        </is>
      </c>
      <c r="B276" t="inlineStr">
        <is>
          <t>SR 1001</t>
        </is>
      </c>
      <c r="C276">
        <v>0.2</v>
      </c>
      <c r="D276" t="inlineStr">
        <is>
          <t>N</t>
        </is>
      </c>
      <c r="E276" t="inlineStr">
        <is>
          <t>SR 1615</t>
        </is>
      </c>
      <c r="F276" t="inlineStr">
        <is>
          <t>SR 1617</t>
        </is>
      </c>
      <c r="G276" t="inlineStr">
        <is>
          <t>SR 1001</t>
        </is>
      </c>
      <c r="H276">
        <v>3.071</v>
      </c>
      <c r="L276">
        <v>105245689</v>
      </c>
      <c r="M276" t="inlineStr">
        <is>
          <t>10/7/2017</t>
        </is>
      </c>
      <c r="N276">
        <v>17</v>
      </c>
      <c r="O276">
        <v>2</v>
      </c>
      <c r="Q276">
        <v>1</v>
      </c>
      <c r="R276" t="inlineStr">
        <is>
          <t>O</t>
        </is>
      </c>
    </row>
    <row r="277">
      <c r="A277" t="inlineStr">
        <is>
          <t>558</t>
        </is>
      </c>
      <c r="B277" t="inlineStr">
        <is>
          <t>SR 1001</t>
        </is>
      </c>
      <c r="C277">
        <v>0.2</v>
      </c>
      <c r="D277" t="inlineStr">
        <is>
          <t>N</t>
        </is>
      </c>
      <c r="E277" t="inlineStr">
        <is>
          <t>SR 1615</t>
        </is>
      </c>
      <c r="F277" t="inlineStr">
        <is>
          <t>SR 1617</t>
        </is>
      </c>
      <c r="G277" t="inlineStr">
        <is>
          <t>SR 1001</t>
        </is>
      </c>
      <c r="H277">
        <v>3.071</v>
      </c>
      <c r="L277">
        <v>105257437</v>
      </c>
      <c r="M277" t="inlineStr">
        <is>
          <t>10/16/2017</t>
        </is>
      </c>
      <c r="N277">
        <v>17</v>
      </c>
      <c r="O277">
        <v>1</v>
      </c>
      <c r="P277">
        <v>0</v>
      </c>
      <c r="Q277">
        <v>5</v>
      </c>
      <c r="R277" t="inlineStr">
        <is>
          <t>O</t>
        </is>
      </c>
    </row>
    <row r="278">
      <c r="A278" t="inlineStr">
        <is>
          <t>558</t>
        </is>
      </c>
      <c r="B278" t="inlineStr">
        <is>
          <t>SR 1001</t>
        </is>
      </c>
      <c r="C278">
        <v>0.2</v>
      </c>
      <c r="D278" t="inlineStr">
        <is>
          <t>NE</t>
        </is>
      </c>
      <c r="E278" t="inlineStr">
        <is>
          <t>SR 1615</t>
        </is>
      </c>
      <c r="F278" t="inlineStr">
        <is>
          <t>SR 1619</t>
        </is>
      </c>
      <c r="G278" t="inlineStr">
        <is>
          <t>SR 1001</t>
        </is>
      </c>
      <c r="H278">
        <v>3.071</v>
      </c>
      <c r="L278">
        <v>107287148</v>
      </c>
      <c r="M278" t="inlineStr">
        <is>
          <t>3/21/2023</t>
        </is>
      </c>
      <c r="N278">
        <v>18</v>
      </c>
      <c r="O278">
        <v>1</v>
      </c>
      <c r="P278">
        <v>0</v>
      </c>
      <c r="Q278">
        <v>5</v>
      </c>
      <c r="R278" t="inlineStr">
        <is>
          <t>O</t>
        </is>
      </c>
    </row>
    <row r="279">
      <c r="A279" t="inlineStr">
        <is>
          <t>558</t>
        </is>
      </c>
      <c r="B279" t="inlineStr">
        <is>
          <t>SIKES MILL</t>
        </is>
      </c>
      <c r="C279">
        <v>0.21</v>
      </c>
      <c r="D279" t="inlineStr">
        <is>
          <t>N</t>
        </is>
      </c>
      <c r="E279" t="inlineStr">
        <is>
          <t>UNIONVILLE</t>
        </is>
      </c>
      <c r="F279" t="inlineStr">
        <is>
          <t>CLONTZ LONG</t>
        </is>
      </c>
      <c r="G279" t="inlineStr">
        <is>
          <t>SR 1001</t>
        </is>
      </c>
      <c r="H279">
        <v>3.081</v>
      </c>
      <c r="L279">
        <v>106523220</v>
      </c>
      <c r="M279" t="inlineStr">
        <is>
          <t>3/20/2021</t>
        </is>
      </c>
      <c r="N279">
        <v>19</v>
      </c>
      <c r="O279">
        <v>2</v>
      </c>
      <c r="P279">
        <v>0</v>
      </c>
      <c r="Q279">
        <v>5</v>
      </c>
      <c r="R279" t="inlineStr">
        <is>
          <t>O</t>
        </is>
      </c>
    </row>
    <row r="280">
      <c r="A280" t="inlineStr">
        <is>
          <t>558</t>
        </is>
      </c>
      <c r="B280" t="inlineStr">
        <is>
          <t>SIKES MILL</t>
        </is>
      </c>
      <c r="C280">
        <v>0.21</v>
      </c>
      <c r="D280" t="inlineStr">
        <is>
          <t>N</t>
        </is>
      </c>
      <c r="E280" t="inlineStr">
        <is>
          <t>UNIONVILLE</t>
        </is>
      </c>
      <c r="F280" t="inlineStr">
        <is>
          <t>TOM BOYD</t>
        </is>
      </c>
      <c r="G280" t="inlineStr">
        <is>
          <t>SR 1001</t>
        </is>
      </c>
      <c r="H280">
        <v>3.081</v>
      </c>
      <c r="L280">
        <v>107483858</v>
      </c>
      <c r="M280" t="inlineStr">
        <is>
          <t>10/6/2023</t>
        </is>
      </c>
      <c r="N280">
        <v>17</v>
      </c>
      <c r="O280">
        <v>1</v>
      </c>
      <c r="P280">
        <v>0</v>
      </c>
      <c r="Q280">
        <v>2</v>
      </c>
      <c r="R280" t="inlineStr">
        <is>
          <t>O</t>
        </is>
      </c>
    </row>
    <row r="281">
      <c r="A281" t="inlineStr">
        <is>
          <t>558</t>
        </is>
      </c>
      <c r="B281" t="inlineStr">
        <is>
          <t>SIKES MILL</t>
        </is>
      </c>
      <c r="C281">
        <v>0.36</v>
      </c>
      <c r="D281" t="inlineStr">
        <is>
          <t>S</t>
        </is>
      </c>
      <c r="E281" t="inlineStr">
        <is>
          <t>TOM BOYD</t>
        </is>
      </c>
      <c r="F281" t="inlineStr">
        <is>
          <t>UNIONVILLE</t>
        </is>
      </c>
      <c r="G281" t="inlineStr">
        <is>
          <t>SR 1001</t>
        </is>
      </c>
      <c r="H281">
        <v>3.101</v>
      </c>
      <c r="L281">
        <v>108539563</v>
      </c>
      <c r="M281" t="inlineStr">
        <is>
          <t>6/21/2026</t>
        </is>
      </c>
      <c r="N281">
        <v>17</v>
      </c>
      <c r="O281">
        <v>1</v>
      </c>
      <c r="P281">
        <v>0</v>
      </c>
      <c r="Q281">
        <v>2</v>
      </c>
      <c r="R281" t="inlineStr">
        <is>
          <t>B</t>
        </is>
      </c>
    </row>
    <row r="282">
      <c r="A282" t="inlineStr">
        <is>
          <t>558</t>
        </is>
      </c>
      <c r="B282" t="inlineStr">
        <is>
          <t>SR 1001</t>
        </is>
      </c>
      <c r="C282">
        <v>0.3</v>
      </c>
      <c r="D282" t="inlineStr">
        <is>
          <t>S</t>
        </is>
      </c>
      <c r="E282" t="inlineStr">
        <is>
          <t>SR 1617</t>
        </is>
      </c>
      <c r="F282" t="inlineStr">
        <is>
          <t>SR 1615</t>
        </is>
      </c>
      <c r="G282" t="inlineStr">
        <is>
          <t>SR 1001</t>
        </is>
      </c>
      <c r="H282">
        <v>3.161</v>
      </c>
      <c r="L282">
        <v>107634836</v>
      </c>
      <c r="M282" t="inlineStr">
        <is>
          <t>2/24/2024</t>
        </is>
      </c>
      <c r="N282">
        <v>29</v>
      </c>
      <c r="O282">
        <v>1</v>
      </c>
      <c r="P282">
        <v>0</v>
      </c>
      <c r="Q282">
        <v>5</v>
      </c>
      <c r="R282" t="inlineStr">
        <is>
          <t>O</t>
        </is>
      </c>
    </row>
    <row r="283">
      <c r="A283" t="inlineStr">
        <is>
          <t>558</t>
        </is>
      </c>
      <c r="B283" t="inlineStr">
        <is>
          <t>SR 1001</t>
        </is>
      </c>
      <c r="C283">
        <v>0.3</v>
      </c>
      <c r="D283" t="inlineStr">
        <is>
          <t>S</t>
        </is>
      </c>
      <c r="E283" t="inlineStr">
        <is>
          <t>SR 1619</t>
        </is>
      </c>
      <c r="F283" t="inlineStr">
        <is>
          <t>SR 1615</t>
        </is>
      </c>
      <c r="G283" t="inlineStr">
        <is>
          <t>SR 1001</t>
        </is>
      </c>
      <c r="H283">
        <v>3.161</v>
      </c>
      <c r="L283">
        <v>106019966</v>
      </c>
      <c r="M283" t="inlineStr">
        <is>
          <t>10/9/2019</t>
        </is>
      </c>
      <c r="N283">
        <v>17</v>
      </c>
      <c r="O283">
        <v>1</v>
      </c>
      <c r="P283">
        <v>0</v>
      </c>
      <c r="Q283">
        <v>5</v>
      </c>
      <c r="R283" t="inlineStr">
        <is>
          <t>O</t>
        </is>
      </c>
    </row>
    <row r="284">
      <c r="A284" t="inlineStr">
        <is>
          <t>558</t>
        </is>
      </c>
      <c r="B284" t="inlineStr">
        <is>
          <t>SR 1001</t>
        </is>
      </c>
      <c r="C284">
        <v>0.3</v>
      </c>
      <c r="D284" t="inlineStr">
        <is>
          <t>W</t>
        </is>
      </c>
      <c r="E284" t="inlineStr">
        <is>
          <t>SR 1619</t>
        </is>
      </c>
      <c r="F284" t="inlineStr">
        <is>
          <t>SR 1615</t>
        </is>
      </c>
      <c r="G284" t="inlineStr">
        <is>
          <t>SR 1001</t>
        </is>
      </c>
      <c r="H284">
        <v>3.161</v>
      </c>
      <c r="L284">
        <v>106922517</v>
      </c>
      <c r="M284" t="inlineStr">
        <is>
          <t>4/15/2022</t>
        </is>
      </c>
      <c r="N284">
        <v>17</v>
      </c>
      <c r="O284">
        <v>1</v>
      </c>
      <c r="P284">
        <v>0</v>
      </c>
      <c r="Q284">
        <v>5</v>
      </c>
      <c r="R284" t="inlineStr">
        <is>
          <t>O</t>
        </is>
      </c>
    </row>
    <row r="285">
      <c r="A285" t="inlineStr">
        <is>
          <t>558</t>
        </is>
      </c>
      <c r="B285" t="inlineStr">
        <is>
          <t>SR 1001</t>
        </is>
      </c>
      <c r="C285">
        <v>0.3</v>
      </c>
      <c r="D285" t="inlineStr">
        <is>
          <t>N</t>
        </is>
      </c>
      <c r="E285" t="inlineStr">
        <is>
          <t>SR 1615</t>
        </is>
      </c>
      <c r="F285" t="inlineStr">
        <is>
          <t>SR 1619</t>
        </is>
      </c>
      <c r="G285" t="inlineStr">
        <is>
          <t>SR 1001</t>
        </is>
      </c>
      <c r="H285">
        <v>3.171</v>
      </c>
      <c r="L285">
        <v>106019965</v>
      </c>
      <c r="M285" t="inlineStr">
        <is>
          <t>10/9/2019</t>
        </is>
      </c>
      <c r="N285">
        <v>17</v>
      </c>
      <c r="O285">
        <v>1</v>
      </c>
      <c r="P285">
        <v>0</v>
      </c>
      <c r="Q285">
        <v>5</v>
      </c>
      <c r="R285" t="inlineStr">
        <is>
          <t>O</t>
        </is>
      </c>
    </row>
    <row r="286">
      <c r="A286" t="inlineStr">
        <is>
          <t>558</t>
        </is>
      </c>
      <c r="B286" t="inlineStr">
        <is>
          <t>SIKES MILL</t>
        </is>
      </c>
      <c r="C286">
        <v>0.24</v>
      </c>
      <c r="D286" t="inlineStr">
        <is>
          <t>SW</t>
        </is>
      </c>
      <c r="E286" t="inlineStr">
        <is>
          <t>TOM BOYD</t>
        </is>
      </c>
      <c r="F286" t="inlineStr">
        <is>
          <t>UNIONVILLE</t>
        </is>
      </c>
      <c r="G286" t="inlineStr">
        <is>
          <t>SR 1001</t>
        </is>
      </c>
      <c r="H286">
        <v>3.221</v>
      </c>
      <c r="L286">
        <v>108025090</v>
      </c>
      <c r="M286" t="inlineStr">
        <is>
          <t>2/11/2025</t>
        </is>
      </c>
      <c r="N286">
        <v>19</v>
      </c>
      <c r="O286">
        <v>2</v>
      </c>
      <c r="P286">
        <v>0</v>
      </c>
      <c r="Q286">
        <v>5</v>
      </c>
      <c r="R286" t="inlineStr">
        <is>
          <t>O</t>
        </is>
      </c>
    </row>
    <row r="287">
      <c r="A287" t="inlineStr">
        <is>
          <t>558</t>
        </is>
      </c>
      <c r="B287" t="inlineStr">
        <is>
          <t>SIKES MILL</t>
        </is>
      </c>
      <c r="C287">
        <v>0.38</v>
      </c>
      <c r="D287" t="inlineStr">
        <is>
          <t>NE</t>
        </is>
      </c>
      <c r="E287" t="inlineStr">
        <is>
          <t>UNIONVILLE</t>
        </is>
      </c>
      <c r="F287" t="inlineStr">
        <is>
          <t>CLONTZ LONG</t>
        </is>
      </c>
      <c r="G287" t="inlineStr">
        <is>
          <t>SR 1001</t>
        </is>
      </c>
      <c r="H287">
        <v>3.251</v>
      </c>
      <c r="L287">
        <v>105310167</v>
      </c>
      <c r="M287" t="inlineStr">
        <is>
          <t>12/3/2017</t>
        </is>
      </c>
      <c r="N287">
        <v>17</v>
      </c>
      <c r="O287">
        <v>1</v>
      </c>
      <c r="P287">
        <v>0</v>
      </c>
      <c r="Q287">
        <v>5</v>
      </c>
      <c r="R287" t="inlineStr">
        <is>
          <t>O</t>
        </is>
      </c>
    </row>
    <row r="288">
      <c r="A288" t="inlineStr">
        <is>
          <t>558</t>
        </is>
      </c>
      <c r="B288" t="inlineStr">
        <is>
          <t>SR 1001</t>
        </is>
      </c>
      <c r="C288">
        <v>0.2</v>
      </c>
      <c r="D288" t="inlineStr">
        <is>
          <t>S</t>
        </is>
      </c>
      <c r="E288" t="inlineStr">
        <is>
          <t>SR 1619</t>
        </is>
      </c>
      <c r="F288" t="inlineStr">
        <is>
          <t>SR 1615</t>
        </is>
      </c>
      <c r="G288" t="inlineStr">
        <is>
          <t>SR 1001</t>
        </is>
      </c>
      <c r="H288">
        <v>3.261</v>
      </c>
      <c r="L288">
        <v>105276432</v>
      </c>
      <c r="M288" t="inlineStr">
        <is>
          <t>10/31/2017</t>
        </is>
      </c>
      <c r="N288">
        <v>17</v>
      </c>
      <c r="O288">
        <v>1</v>
      </c>
      <c r="P288">
        <v>0</v>
      </c>
      <c r="Q288">
        <v>5</v>
      </c>
      <c r="R288" t="inlineStr">
        <is>
          <t>O</t>
        </is>
      </c>
    </row>
    <row r="289">
      <c r="A289" t="inlineStr">
        <is>
          <t>558</t>
        </is>
      </c>
      <c r="B289" t="inlineStr">
        <is>
          <t>SR 1001</t>
        </is>
      </c>
      <c r="C289">
        <v>0.2</v>
      </c>
      <c r="D289" t="inlineStr">
        <is>
          <t>S</t>
        </is>
      </c>
      <c r="E289" t="inlineStr">
        <is>
          <t>SR 1619</t>
        </is>
      </c>
      <c r="F289" t="inlineStr">
        <is>
          <t>SR 1617</t>
        </is>
      </c>
      <c r="G289" t="inlineStr">
        <is>
          <t>SR 1001</t>
        </is>
      </c>
      <c r="H289">
        <v>3.261</v>
      </c>
      <c r="L289">
        <v>105360672</v>
      </c>
      <c r="M289" t="inlineStr">
        <is>
          <t>1/23/2018</t>
        </is>
      </c>
      <c r="N289">
        <v>17</v>
      </c>
      <c r="O289">
        <v>1</v>
      </c>
      <c r="Q289">
        <v>5</v>
      </c>
      <c r="R289" t="inlineStr">
        <is>
          <t>O</t>
        </is>
      </c>
    </row>
    <row r="290">
      <c r="A290" t="inlineStr">
        <is>
          <t>0</t>
        </is>
      </c>
      <c r="B290" t="inlineStr">
        <is>
          <t>SR 1001</t>
        </is>
      </c>
      <c r="C290">
        <v>0.2</v>
      </c>
      <c r="D290" t="inlineStr">
        <is>
          <t>S</t>
        </is>
      </c>
      <c r="E290" t="inlineStr">
        <is>
          <t>SR 1619</t>
        </is>
      </c>
      <c r="F290" t="inlineStr">
        <is>
          <t>SR 1615</t>
        </is>
      </c>
      <c r="G290" t="inlineStr">
        <is>
          <t>SR 1001</t>
        </is>
      </c>
      <c r="H290">
        <v>3.261</v>
      </c>
      <c r="L290">
        <v>107272200</v>
      </c>
      <c r="M290" t="inlineStr">
        <is>
          <t>3/14/2023</t>
        </is>
      </c>
      <c r="N290">
        <v>17</v>
      </c>
      <c r="O290">
        <v>1</v>
      </c>
      <c r="P290">
        <v>0</v>
      </c>
      <c r="Q290">
        <v>5</v>
      </c>
      <c r="R290" t="inlineStr">
        <is>
          <t>O</t>
        </is>
      </c>
    </row>
    <row r="291">
      <c r="A291" t="inlineStr">
        <is>
          <t>558</t>
        </is>
      </c>
      <c r="B291" t="inlineStr">
        <is>
          <t>SIKES MILL</t>
        </is>
      </c>
      <c r="C291">
        <v>0.19</v>
      </c>
      <c r="D291" t="inlineStr">
        <is>
          <t>S</t>
        </is>
      </c>
      <c r="E291" t="inlineStr">
        <is>
          <t>TOM BOYD</t>
        </is>
      </c>
      <c r="F291" t="inlineStr">
        <is>
          <t>UNIONVILLE</t>
        </is>
      </c>
      <c r="G291" t="inlineStr">
        <is>
          <t>SR 1001</t>
        </is>
      </c>
      <c r="H291">
        <v>3.271</v>
      </c>
      <c r="L291">
        <v>107653449</v>
      </c>
      <c r="M291" t="inlineStr">
        <is>
          <t>3/13/2024</t>
        </is>
      </c>
      <c r="N291">
        <v>29</v>
      </c>
      <c r="O291">
        <v>1</v>
      </c>
      <c r="P291">
        <v>0</v>
      </c>
      <c r="Q291">
        <v>1</v>
      </c>
      <c r="R291" t="inlineStr">
        <is>
          <t>O</t>
        </is>
      </c>
    </row>
    <row r="292">
      <c r="A292" t="inlineStr">
        <is>
          <t>558</t>
        </is>
      </c>
      <c r="B292" t="inlineStr">
        <is>
          <t>SIKES MILL</t>
        </is>
      </c>
      <c r="C292">
        <v>0.19</v>
      </c>
      <c r="D292" t="inlineStr">
        <is>
          <t>S</t>
        </is>
      </c>
      <c r="E292" t="inlineStr">
        <is>
          <t>TOM BOYD</t>
        </is>
      </c>
      <c r="F292" t="inlineStr">
        <is>
          <t>SIKES MILL</t>
        </is>
      </c>
      <c r="G292" t="inlineStr">
        <is>
          <t>SR 1001</t>
        </is>
      </c>
      <c r="H292">
        <v>3.271</v>
      </c>
      <c r="L292">
        <v>104712202</v>
      </c>
      <c r="M292" t="inlineStr">
        <is>
          <t>4/23/2016</t>
        </is>
      </c>
      <c r="N292">
        <v>19</v>
      </c>
      <c r="O292">
        <v>2</v>
      </c>
      <c r="P292">
        <v>0</v>
      </c>
      <c r="Q292">
        <v>5</v>
      </c>
      <c r="R292" t="inlineStr">
        <is>
          <t>O</t>
        </is>
      </c>
    </row>
    <row r="293">
      <c r="A293" t="inlineStr">
        <is>
          <t>0</t>
        </is>
      </c>
      <c r="B293" t="inlineStr">
        <is>
          <t>SR 1001</t>
        </is>
      </c>
      <c r="C293">
        <v>0.4</v>
      </c>
      <c r="D293" t="inlineStr">
        <is>
          <t>N</t>
        </is>
      </c>
      <c r="E293" t="inlineStr">
        <is>
          <t>SR 1615</t>
        </is>
      </c>
      <c r="F293" t="inlineStr">
        <is>
          <t>SR 1617</t>
        </is>
      </c>
      <c r="G293" t="inlineStr">
        <is>
          <t>SR 1001</t>
        </is>
      </c>
      <c r="H293">
        <v>3.271</v>
      </c>
      <c r="L293">
        <v>105781091</v>
      </c>
      <c r="M293" t="inlineStr">
        <is>
          <t>2/21/2019</t>
        </is>
      </c>
      <c r="N293">
        <v>19</v>
      </c>
      <c r="O293">
        <v>2</v>
      </c>
      <c r="P293">
        <v>0</v>
      </c>
      <c r="Q293">
        <v>1</v>
      </c>
      <c r="R293" t="inlineStr">
        <is>
          <t>O</t>
        </is>
      </c>
    </row>
    <row r="294">
      <c r="A294" t="inlineStr">
        <is>
          <t>558</t>
        </is>
      </c>
      <c r="B294" t="inlineStr">
        <is>
          <t>SR 1001</t>
        </is>
      </c>
      <c r="C294">
        <v>0.19</v>
      </c>
      <c r="D294" t="inlineStr">
        <is>
          <t>S</t>
        </is>
      </c>
      <c r="E294" t="inlineStr">
        <is>
          <t>SR 1617</t>
        </is>
      </c>
      <c r="F294" t="inlineStr">
        <is>
          <t>SR 1615</t>
        </is>
      </c>
      <c r="G294" t="inlineStr">
        <is>
          <t>SR 1001</t>
        </is>
      </c>
      <c r="H294">
        <v>3.271</v>
      </c>
      <c r="L294">
        <v>105178491</v>
      </c>
      <c r="M294" t="inlineStr">
        <is>
          <t>8/1/2017</t>
        </is>
      </c>
      <c r="N294">
        <v>18</v>
      </c>
      <c r="O294">
        <v>1</v>
      </c>
      <c r="P294">
        <v>0</v>
      </c>
      <c r="Q294">
        <v>1</v>
      </c>
      <c r="R294" t="inlineStr">
        <is>
          <t>B</t>
        </is>
      </c>
    </row>
    <row r="295">
      <c r="A295" t="inlineStr">
        <is>
          <t>558</t>
        </is>
      </c>
      <c r="B295" t="inlineStr">
        <is>
          <t>SIKES MILL</t>
        </is>
      </c>
      <c r="C295">
        <v>0.18</v>
      </c>
      <c r="D295" t="inlineStr">
        <is>
          <t>S</t>
        </is>
      </c>
      <c r="E295" t="inlineStr">
        <is>
          <t>TOM BOYD</t>
        </is>
      </c>
      <c r="F295" t="inlineStr">
        <is>
          <t>UNIONVILLE</t>
        </is>
      </c>
      <c r="G295" t="inlineStr">
        <is>
          <t>SR 1001</t>
        </is>
      </c>
      <c r="H295">
        <v>3.281</v>
      </c>
      <c r="L295">
        <v>107631164</v>
      </c>
      <c r="M295" t="inlineStr">
        <is>
          <t>2/22/2024</t>
        </is>
      </c>
      <c r="N295">
        <v>17</v>
      </c>
      <c r="O295">
        <v>1</v>
      </c>
      <c r="P295">
        <v>0</v>
      </c>
      <c r="Q295">
        <v>3</v>
      </c>
      <c r="R295" t="inlineStr">
        <is>
          <t>O</t>
        </is>
      </c>
    </row>
    <row r="296">
      <c r="A296" t="inlineStr">
        <is>
          <t>558</t>
        </is>
      </c>
      <c r="B296" t="inlineStr">
        <is>
          <t>SR 1001</t>
        </is>
      </c>
      <c r="C296">
        <v>0.1</v>
      </c>
      <c r="D296" t="inlineStr">
        <is>
          <t>S</t>
        </is>
      </c>
      <c r="E296" t="inlineStr">
        <is>
          <t>SR 1617</t>
        </is>
      </c>
      <c r="F296" t="inlineStr">
        <is>
          <t>SR 1615</t>
        </is>
      </c>
      <c r="G296" t="inlineStr">
        <is>
          <t>SR 1001</t>
        </is>
      </c>
      <c r="H296">
        <v>3.361</v>
      </c>
      <c r="L296">
        <v>105324665</v>
      </c>
      <c r="M296" t="inlineStr">
        <is>
          <t>12/13/2017</t>
        </is>
      </c>
      <c r="N296">
        <v>17</v>
      </c>
      <c r="O296">
        <v>1</v>
      </c>
      <c r="P296">
        <v>0</v>
      </c>
      <c r="Q296">
        <v>5</v>
      </c>
      <c r="R296" t="inlineStr">
        <is>
          <t>O</t>
        </is>
      </c>
    </row>
    <row r="297">
      <c r="A297" t="inlineStr">
        <is>
          <t>558</t>
        </is>
      </c>
      <c r="B297" t="inlineStr">
        <is>
          <t>SR 1001</t>
        </is>
      </c>
      <c r="C297">
        <v>0.1</v>
      </c>
      <c r="D297" t="inlineStr">
        <is>
          <t>S</t>
        </is>
      </c>
      <c r="E297" t="inlineStr">
        <is>
          <t>SR 1619</t>
        </is>
      </c>
      <c r="F297" t="inlineStr">
        <is>
          <t>SR 1615</t>
        </is>
      </c>
      <c r="G297" t="inlineStr">
        <is>
          <t>SR 1001</t>
        </is>
      </c>
      <c r="H297">
        <v>3.361</v>
      </c>
      <c r="L297">
        <v>104793661</v>
      </c>
      <c r="M297" t="inlineStr">
        <is>
          <t>7/12/2016</t>
        </is>
      </c>
      <c r="N297">
        <v>19</v>
      </c>
      <c r="O297">
        <v>1</v>
      </c>
      <c r="P297">
        <v>0</v>
      </c>
      <c r="Q297">
        <v>1</v>
      </c>
      <c r="R297" t="inlineStr">
        <is>
          <t>B</t>
        </is>
      </c>
    </row>
    <row r="298">
      <c r="A298" t="inlineStr">
        <is>
          <t>0</t>
        </is>
      </c>
      <c r="B298" t="inlineStr">
        <is>
          <t>SR 1001</t>
        </is>
      </c>
      <c r="C298">
        <v>0.5</v>
      </c>
      <c r="D298" t="inlineStr">
        <is>
          <t>E</t>
        </is>
      </c>
      <c r="E298" t="inlineStr">
        <is>
          <t>SR 1615</t>
        </is>
      </c>
      <c r="F298" t="inlineStr">
        <is>
          <t>SR 1611</t>
        </is>
      </c>
      <c r="G298" t="inlineStr">
        <is>
          <t>SR 1001</t>
        </is>
      </c>
      <c r="H298">
        <v>3.371</v>
      </c>
      <c r="L298">
        <v>107210295</v>
      </c>
      <c r="M298" t="inlineStr">
        <is>
          <t>1/9/2023</t>
        </is>
      </c>
      <c r="N298">
        <v>17</v>
      </c>
      <c r="O298">
        <v>1</v>
      </c>
      <c r="P298">
        <v>0</v>
      </c>
      <c r="Q298">
        <v>1</v>
      </c>
      <c r="R298" t="inlineStr">
        <is>
          <t>O</t>
        </is>
      </c>
    </row>
    <row r="299">
      <c r="A299" t="inlineStr">
        <is>
          <t>558</t>
        </is>
      </c>
      <c r="B299" t="inlineStr">
        <is>
          <t>SR 1001</t>
        </is>
      </c>
      <c r="C299">
        <v>0.5</v>
      </c>
      <c r="D299" t="inlineStr">
        <is>
          <t>E</t>
        </is>
      </c>
      <c r="E299" t="inlineStr">
        <is>
          <t>SR 1615</t>
        </is>
      </c>
      <c r="F299" t="inlineStr">
        <is>
          <t>SR 1617</t>
        </is>
      </c>
      <c r="G299" t="inlineStr">
        <is>
          <t>SR 1001</t>
        </is>
      </c>
      <c r="H299">
        <v>3.371</v>
      </c>
      <c r="L299">
        <v>107011153</v>
      </c>
      <c r="M299" t="inlineStr">
        <is>
          <t>7/7/2022</t>
        </is>
      </c>
      <c r="N299">
        <v>19</v>
      </c>
      <c r="O299">
        <v>1</v>
      </c>
      <c r="P299">
        <v>0</v>
      </c>
      <c r="Q299">
        <v>1</v>
      </c>
      <c r="R299" t="inlineStr">
        <is>
          <t>O</t>
        </is>
      </c>
    </row>
    <row r="300">
      <c r="A300" t="inlineStr">
        <is>
          <t>0</t>
        </is>
      </c>
      <c r="B300" t="inlineStr">
        <is>
          <t>SR 1001</t>
        </is>
      </c>
      <c r="C300">
        <v>0.7</v>
      </c>
      <c r="D300" t="inlineStr">
        <is>
          <t>S</t>
        </is>
      </c>
      <c r="E300" t="inlineStr">
        <is>
          <t>SR 1606</t>
        </is>
      </c>
      <c r="F300" t="inlineStr">
        <is>
          <t>SR 1640</t>
        </is>
      </c>
      <c r="G300" t="inlineStr">
        <is>
          <t>SR 1001</t>
        </is>
      </c>
      <c r="H300">
        <v>3.394</v>
      </c>
      <c r="L300">
        <v>106325966</v>
      </c>
      <c r="M300" t="inlineStr">
        <is>
          <t>8/19/2020</t>
        </is>
      </c>
      <c r="N300">
        <v>29</v>
      </c>
      <c r="O300">
        <v>1</v>
      </c>
      <c r="P300">
        <v>2</v>
      </c>
      <c r="Q300">
        <v>1</v>
      </c>
      <c r="R300" t="inlineStr">
        <is>
          <t>O</t>
        </is>
      </c>
    </row>
    <row r="301">
      <c r="A301" t="inlineStr">
        <is>
          <t>558</t>
        </is>
      </c>
      <c r="B301" t="inlineStr">
        <is>
          <t>SR 1001</t>
        </is>
      </c>
      <c r="C301">
        <v>0.066</v>
      </c>
      <c r="D301" t="inlineStr">
        <is>
          <t>S</t>
        </is>
      </c>
      <c r="E301" t="inlineStr">
        <is>
          <t>SR 1617</t>
        </is>
      </c>
      <c r="F301" t="inlineStr">
        <is>
          <t>SR 1615</t>
        </is>
      </c>
      <c r="G301" t="inlineStr">
        <is>
          <t>SR 1001</t>
        </is>
      </c>
      <c r="H301">
        <v>3.395</v>
      </c>
      <c r="L301">
        <v>107405320</v>
      </c>
      <c r="M301" t="inlineStr">
        <is>
          <t>7/21/2023</t>
        </is>
      </c>
      <c r="N301">
        <v>17</v>
      </c>
      <c r="O301">
        <v>1</v>
      </c>
      <c r="P301">
        <v>0</v>
      </c>
      <c r="Q301">
        <v>1</v>
      </c>
      <c r="R301" t="inlineStr">
        <is>
          <t>O</t>
        </is>
      </c>
    </row>
    <row r="302">
      <c r="A302" t="inlineStr">
        <is>
          <t>558</t>
        </is>
      </c>
      <c r="B302" t="inlineStr">
        <is>
          <t>SR 1001</t>
        </is>
      </c>
      <c r="C302">
        <v>0.2</v>
      </c>
      <c r="D302" t="inlineStr">
        <is>
          <t>N</t>
        </is>
      </c>
      <c r="E302" t="inlineStr">
        <is>
          <t>SR 1617</t>
        </is>
      </c>
      <c r="F302" t="inlineStr">
        <is>
          <t>SR 1637</t>
        </is>
      </c>
      <c r="G302" t="inlineStr">
        <is>
          <t>SR 1001</t>
        </is>
      </c>
      <c r="H302">
        <v>3.661</v>
      </c>
      <c r="L302">
        <v>105191883</v>
      </c>
      <c r="M302" t="inlineStr">
        <is>
          <t>8/14/2017</t>
        </is>
      </c>
      <c r="N302">
        <v>24</v>
      </c>
      <c r="O302">
        <v>1</v>
      </c>
      <c r="P302">
        <v>4</v>
      </c>
      <c r="Q302">
        <v>1</v>
      </c>
      <c r="R302" t="inlineStr">
        <is>
          <t>O</t>
        </is>
      </c>
    </row>
    <row r="303">
      <c r="A303" t="inlineStr">
        <is>
          <t>558</t>
        </is>
      </c>
      <c r="B303" t="inlineStr">
        <is>
          <t>SIKES MILL</t>
        </is>
      </c>
      <c r="C303">
        <v>0.23</v>
      </c>
      <c r="D303" t="inlineStr">
        <is>
          <t>NE</t>
        </is>
      </c>
      <c r="E303" t="inlineStr">
        <is>
          <t>TOM BOYD</t>
        </is>
      </c>
      <c r="F303" t="inlineStr">
        <is>
          <t>LAWYERS</t>
        </is>
      </c>
      <c r="G303" t="inlineStr">
        <is>
          <t>SR 1001</t>
        </is>
      </c>
      <c r="H303">
        <v>3.691</v>
      </c>
      <c r="L303">
        <v>106477388</v>
      </c>
      <c r="M303" t="inlineStr">
        <is>
          <t>1/26/2021</t>
        </is>
      </c>
      <c r="N303">
        <v>17</v>
      </c>
      <c r="O303">
        <v>2</v>
      </c>
      <c r="P303">
        <v>0</v>
      </c>
      <c r="Q303">
        <v>5</v>
      </c>
      <c r="R303" t="inlineStr">
        <is>
          <t>O</t>
        </is>
      </c>
    </row>
    <row r="304">
      <c r="A304" t="inlineStr">
        <is>
          <t>558</t>
        </is>
      </c>
      <c r="B304" t="inlineStr">
        <is>
          <t>SIKES MILL</t>
        </is>
      </c>
      <c r="C304">
        <v>0.28</v>
      </c>
      <c r="D304" t="inlineStr">
        <is>
          <t>N</t>
        </is>
      </c>
      <c r="E304" t="inlineStr">
        <is>
          <t>TOM BOYD</t>
        </is>
      </c>
      <c r="F304" t="inlineStr">
        <is>
          <t>LAWYERS</t>
        </is>
      </c>
      <c r="G304" t="inlineStr">
        <is>
          <t>SR 1001</t>
        </is>
      </c>
      <c r="H304">
        <v>3.741</v>
      </c>
      <c r="L304">
        <v>107216209</v>
      </c>
      <c r="M304" t="inlineStr">
        <is>
          <t>1/18/2023</t>
        </is>
      </c>
      <c r="N304">
        <v>19</v>
      </c>
      <c r="O304">
        <v>1</v>
      </c>
      <c r="P304">
        <v>0</v>
      </c>
      <c r="Q304">
        <v>1</v>
      </c>
      <c r="R304" t="inlineStr">
        <is>
          <t>O</t>
        </is>
      </c>
    </row>
    <row r="305">
      <c r="A305" t="inlineStr">
        <is>
          <t>558</t>
        </is>
      </c>
      <c r="B305" t="inlineStr">
        <is>
          <t>SIKES MILL</t>
        </is>
      </c>
      <c r="C305">
        <v>0.3</v>
      </c>
      <c r="D305" t="inlineStr">
        <is>
          <t>N</t>
        </is>
      </c>
      <c r="E305" t="inlineStr">
        <is>
          <t>TOM BOYD</t>
        </is>
      </c>
      <c r="F305" t="inlineStr">
        <is>
          <t>TOM HELMS</t>
        </is>
      </c>
      <c r="G305" t="inlineStr">
        <is>
          <t>SR 1001</t>
        </is>
      </c>
      <c r="H305">
        <v>3.761</v>
      </c>
      <c r="L305">
        <v>107879671</v>
      </c>
      <c r="M305" t="inlineStr">
        <is>
          <t>10/11/2024</t>
        </is>
      </c>
      <c r="N305">
        <v>21</v>
      </c>
      <c r="O305">
        <v>1</v>
      </c>
      <c r="P305">
        <v>0</v>
      </c>
      <c r="Q305">
        <v>1</v>
      </c>
      <c r="R305" t="inlineStr">
        <is>
          <t>O</t>
        </is>
      </c>
    </row>
    <row r="306">
      <c r="A306" t="inlineStr">
        <is>
          <t>558</t>
        </is>
      </c>
      <c r="B306" t="inlineStr">
        <is>
          <t>SR 1001</t>
        </is>
      </c>
      <c r="C306">
        <v>0.3</v>
      </c>
      <c r="D306" t="inlineStr">
        <is>
          <t>N</t>
        </is>
      </c>
      <c r="E306" t="inlineStr">
        <is>
          <t>SR 1617</t>
        </is>
      </c>
      <c r="F306" t="inlineStr">
        <is>
          <t>SR 1618</t>
        </is>
      </c>
      <c r="G306" t="inlineStr">
        <is>
          <t>SR 1001</t>
        </is>
      </c>
      <c r="H306">
        <v>3.761</v>
      </c>
      <c r="L306">
        <v>105867607</v>
      </c>
      <c r="M306" t="inlineStr">
        <is>
          <t>5/16/2019</t>
        </is>
      </c>
      <c r="N306">
        <v>21</v>
      </c>
      <c r="O306">
        <v>1</v>
      </c>
      <c r="P306">
        <v>0</v>
      </c>
      <c r="Q306">
        <v>1</v>
      </c>
      <c r="R306" t="inlineStr">
        <is>
          <t>C</t>
        </is>
      </c>
    </row>
    <row r="307">
      <c r="A307" t="inlineStr">
        <is>
          <t>558</t>
        </is>
      </c>
      <c r="B307" t="inlineStr">
        <is>
          <t>SIKES MILL</t>
        </is>
      </c>
      <c r="C307">
        <v>0.33</v>
      </c>
      <c r="D307" t="inlineStr">
        <is>
          <t>N</t>
        </is>
      </c>
      <c r="E307" t="inlineStr">
        <is>
          <t>TOM BOYD</t>
        </is>
      </c>
      <c r="F307" t="inlineStr">
        <is>
          <t>OLD CAMDEN</t>
        </is>
      </c>
      <c r="G307" t="inlineStr">
        <is>
          <t>SR 1001</t>
        </is>
      </c>
      <c r="H307">
        <v>3.791</v>
      </c>
      <c r="L307">
        <v>107187995</v>
      </c>
      <c r="M307" t="inlineStr">
        <is>
          <t>12/18/2022</t>
        </is>
      </c>
      <c r="N307">
        <v>17</v>
      </c>
      <c r="O307">
        <v>1</v>
      </c>
      <c r="P307">
        <v>0</v>
      </c>
      <c r="Q307">
        <v>5</v>
      </c>
      <c r="R307" t="inlineStr">
        <is>
          <t>O</t>
        </is>
      </c>
    </row>
    <row r="308">
      <c r="A308" t="inlineStr">
        <is>
          <t>0</t>
        </is>
      </c>
      <c r="B308" t="inlineStr">
        <is>
          <t>SIKES MILL</t>
        </is>
      </c>
      <c r="C308">
        <v>1.0</v>
      </c>
      <c r="D308" t="inlineStr">
        <is>
          <t>N</t>
        </is>
      </c>
      <c r="E308" t="inlineStr">
        <is>
          <t>UNIONVILLE</t>
        </is>
      </c>
      <c r="F308" t="inlineStr">
        <is>
          <t>CLONTZ LONG</t>
        </is>
      </c>
      <c r="G308" t="inlineStr">
        <is>
          <t>SR 1001</t>
        </is>
      </c>
      <c r="H308">
        <v>3.871</v>
      </c>
      <c r="L308">
        <v>108420507</v>
      </c>
      <c r="M308" t="inlineStr">
        <is>
          <t>3/1/2026</t>
        </is>
      </c>
      <c r="N308">
        <v>17</v>
      </c>
      <c r="O308">
        <v>1</v>
      </c>
      <c r="P308">
        <v>0</v>
      </c>
      <c r="Q308">
        <v>5</v>
      </c>
      <c r="R308" t="inlineStr">
        <is>
          <t>O</t>
        </is>
      </c>
    </row>
    <row r="309">
      <c r="A309" t="inlineStr">
        <is>
          <t>0</t>
        </is>
      </c>
      <c r="B309" t="inlineStr">
        <is>
          <t>SIKES MILL</t>
        </is>
      </c>
      <c r="C309">
        <v>1.0</v>
      </c>
      <c r="D309" t="inlineStr">
        <is>
          <t>N</t>
        </is>
      </c>
      <c r="E309" t="inlineStr">
        <is>
          <t>UNIONVILLE</t>
        </is>
      </c>
      <c r="F309" t="inlineStr">
        <is>
          <t>CLONTZ LONG</t>
        </is>
      </c>
      <c r="G309" t="inlineStr">
        <is>
          <t>SR 1001</t>
        </is>
      </c>
      <c r="H309">
        <v>3.871</v>
      </c>
      <c r="L309">
        <v>107319577</v>
      </c>
      <c r="M309" t="inlineStr">
        <is>
          <t>4/2/2023</t>
        </is>
      </c>
      <c r="N309">
        <v>17</v>
      </c>
      <c r="O309">
        <v>1</v>
      </c>
      <c r="P309">
        <v>0</v>
      </c>
      <c r="Q309">
        <v>5</v>
      </c>
      <c r="R309" t="inlineStr">
        <is>
          <t>O</t>
        </is>
      </c>
    </row>
    <row r="310">
      <c r="A310" t="inlineStr">
        <is>
          <t>558</t>
        </is>
      </c>
      <c r="B310" t="inlineStr">
        <is>
          <t>SR 1001</t>
        </is>
      </c>
      <c r="C310">
        <v>0.5</v>
      </c>
      <c r="D310" t="inlineStr">
        <is>
          <t>N</t>
        </is>
      </c>
      <c r="E310" t="inlineStr">
        <is>
          <t>SR 1617</t>
        </is>
      </c>
      <c r="F310" t="inlineStr">
        <is>
          <t>SR 1618</t>
        </is>
      </c>
      <c r="G310" t="inlineStr">
        <is>
          <t>SR 1001</t>
        </is>
      </c>
      <c r="H310">
        <v>3.961</v>
      </c>
      <c r="L310">
        <v>106435289</v>
      </c>
      <c r="M310" t="inlineStr">
        <is>
          <t>12/13/2020</t>
        </is>
      </c>
      <c r="N310">
        <v>19</v>
      </c>
      <c r="O310">
        <v>1</v>
      </c>
      <c r="P310">
        <v>0</v>
      </c>
      <c r="Q310">
        <v>5</v>
      </c>
    </row>
    <row r="311">
      <c r="A311" t="inlineStr">
        <is>
          <t>558</t>
        </is>
      </c>
      <c r="B311" t="inlineStr">
        <is>
          <t>SR 1001</t>
        </is>
      </c>
      <c r="C311">
        <v>0.12</v>
      </c>
      <c r="D311" t="inlineStr">
        <is>
          <t>S</t>
        </is>
      </c>
      <c r="E311" t="inlineStr">
        <is>
          <t>SR 1618</t>
        </is>
      </c>
      <c r="F311" t="inlineStr">
        <is>
          <t>SR 1619</t>
        </is>
      </c>
      <c r="G311" t="inlineStr">
        <is>
          <t>SR 1001</t>
        </is>
      </c>
      <c r="H311">
        <v>3.974</v>
      </c>
      <c r="L311">
        <v>108066712</v>
      </c>
      <c r="M311" t="inlineStr">
        <is>
          <t>3/31/2025</t>
        </is>
      </c>
      <c r="N311">
        <v>19</v>
      </c>
      <c r="O311">
        <v>1</v>
      </c>
      <c r="P311">
        <v>0</v>
      </c>
      <c r="Q311">
        <v>1</v>
      </c>
      <c r="R311" t="inlineStr">
        <is>
          <t>O</t>
        </is>
      </c>
    </row>
    <row r="312">
      <c r="A312" t="inlineStr">
        <is>
          <t>0</t>
        </is>
      </c>
      <c r="B312" t="inlineStr">
        <is>
          <t>SIKES MILL</t>
        </is>
      </c>
      <c r="C312">
        <v>0.13</v>
      </c>
      <c r="D312" t="inlineStr">
        <is>
          <t>S</t>
        </is>
      </c>
      <c r="E312" t="inlineStr">
        <is>
          <t>LAWYERS</t>
        </is>
      </c>
      <c r="F312" t="inlineStr">
        <is>
          <t>TOM BOYD</t>
        </is>
      </c>
      <c r="G312" t="inlineStr">
        <is>
          <t>SR 1001</t>
        </is>
      </c>
      <c r="H312">
        <v>3.98</v>
      </c>
      <c r="L312">
        <v>106083176</v>
      </c>
      <c r="M312" t="inlineStr">
        <is>
          <t>12/4/2019</t>
        </is>
      </c>
      <c r="N312">
        <v>17</v>
      </c>
      <c r="O312">
        <v>1</v>
      </c>
      <c r="P312">
        <v>0</v>
      </c>
      <c r="Q312">
        <v>5</v>
      </c>
      <c r="R312" t="inlineStr">
        <is>
          <t>O</t>
        </is>
      </c>
    </row>
    <row r="313">
      <c r="A313" t="inlineStr">
        <is>
          <t>558</t>
        </is>
      </c>
      <c r="B313" t="inlineStr">
        <is>
          <t>SIKES MILL</t>
        </is>
      </c>
      <c r="C313">
        <v>0.11</v>
      </c>
      <c r="D313" t="inlineStr">
        <is>
          <t>S</t>
        </is>
      </c>
      <c r="E313" t="inlineStr">
        <is>
          <t>TOM HELMS</t>
        </is>
      </c>
      <c r="F313" t="inlineStr">
        <is>
          <t>TOM BOYD</t>
        </is>
      </c>
      <c r="G313" t="inlineStr">
        <is>
          <t>SR 1001</t>
        </is>
      </c>
      <c r="H313">
        <v>3.984</v>
      </c>
      <c r="L313">
        <v>108072099</v>
      </c>
      <c r="M313" t="inlineStr">
        <is>
          <t>4/8/2025</t>
        </is>
      </c>
      <c r="N313">
        <v>29</v>
      </c>
      <c r="O313">
        <v>1</v>
      </c>
      <c r="P313">
        <v>0</v>
      </c>
      <c r="Q313">
        <v>1</v>
      </c>
      <c r="R313" t="inlineStr">
        <is>
          <t>O</t>
        </is>
      </c>
    </row>
    <row r="314">
      <c r="A314" t="inlineStr">
        <is>
          <t>558</t>
        </is>
      </c>
      <c r="B314" t="inlineStr">
        <is>
          <t>SR 1001</t>
        </is>
      </c>
      <c r="C314">
        <v>0.1</v>
      </c>
      <c r="D314" t="inlineStr">
        <is>
          <t>S</t>
        </is>
      </c>
      <c r="E314" t="inlineStr">
        <is>
          <t>SR 1618</t>
        </is>
      </c>
      <c r="F314" t="inlineStr">
        <is>
          <t>SR 1617</t>
        </is>
      </c>
      <c r="G314" t="inlineStr">
        <is>
          <t>SR 1001</t>
        </is>
      </c>
      <c r="H314">
        <v>3.994</v>
      </c>
      <c r="L314">
        <v>106743564</v>
      </c>
      <c r="M314" t="inlineStr">
        <is>
          <t>10/27/2021</t>
        </is>
      </c>
      <c r="N314">
        <v>17</v>
      </c>
      <c r="O314">
        <v>1</v>
      </c>
      <c r="P314">
        <v>0</v>
      </c>
      <c r="Q314">
        <v>1</v>
      </c>
      <c r="R314" t="inlineStr">
        <is>
          <t>O</t>
        </is>
      </c>
    </row>
    <row r="315">
      <c r="A315" t="inlineStr">
        <is>
          <t>558</t>
        </is>
      </c>
      <c r="B315" t="inlineStr">
        <is>
          <t>SIKES MILL</t>
        </is>
      </c>
      <c r="C315">
        <v>0.095</v>
      </c>
      <c r="D315" t="inlineStr">
        <is>
          <t>S</t>
        </is>
      </c>
      <c r="E315" t="inlineStr">
        <is>
          <t>LOVE MILL</t>
        </is>
      </c>
      <c r="F315" t="inlineStr">
        <is>
          <t>TOM BOYD</t>
        </is>
      </c>
      <c r="G315" t="inlineStr">
        <is>
          <t>SR 1001</t>
        </is>
      </c>
      <c r="H315">
        <v>4.015</v>
      </c>
      <c r="L315">
        <v>107319455</v>
      </c>
      <c r="M315" t="inlineStr">
        <is>
          <t>3/7/2023</t>
        </is>
      </c>
      <c r="N315">
        <v>17</v>
      </c>
      <c r="O315">
        <v>1</v>
      </c>
      <c r="P315">
        <v>0</v>
      </c>
      <c r="Q315">
        <v>1</v>
      </c>
      <c r="R315" t="inlineStr">
        <is>
          <t>O</t>
        </is>
      </c>
    </row>
    <row r="316">
      <c r="A316" t="inlineStr">
        <is>
          <t>558</t>
        </is>
      </c>
      <c r="B316" t="inlineStr">
        <is>
          <t>SR 1001</t>
        </is>
      </c>
      <c r="C316">
        <v>0.6</v>
      </c>
      <c r="D316" t="inlineStr">
        <is>
          <t>N</t>
        </is>
      </c>
      <c r="E316" t="inlineStr">
        <is>
          <t>SR 1617</t>
        </is>
      </c>
      <c r="F316" t="inlineStr">
        <is>
          <t>SR 1637</t>
        </is>
      </c>
      <c r="G316" t="inlineStr">
        <is>
          <t>SR 1001</t>
        </is>
      </c>
      <c r="H316">
        <v>4.061</v>
      </c>
      <c r="L316">
        <v>105317973</v>
      </c>
      <c r="M316" t="inlineStr">
        <is>
          <t>12/4/2017</t>
        </is>
      </c>
      <c r="N316">
        <v>19</v>
      </c>
      <c r="O316">
        <v>1</v>
      </c>
      <c r="P316">
        <v>0</v>
      </c>
      <c r="Q316">
        <v>1</v>
      </c>
      <c r="R316" t="inlineStr">
        <is>
          <t>O</t>
        </is>
      </c>
    </row>
    <row r="317">
      <c r="A317" t="inlineStr">
        <is>
          <t>558</t>
        </is>
      </c>
      <c r="B317" t="inlineStr">
        <is>
          <t>SIKES MILL</t>
        </is>
      </c>
      <c r="C317">
        <v>0.028</v>
      </c>
      <c r="D317" t="inlineStr">
        <is>
          <t>S</t>
        </is>
      </c>
      <c r="E317" t="inlineStr">
        <is>
          <t>TOM HELMS</t>
        </is>
      </c>
      <c r="F317" t="inlineStr">
        <is>
          <t>TOM BOYD</t>
        </is>
      </c>
      <c r="G317" t="inlineStr">
        <is>
          <t>SR 1001</t>
        </is>
      </c>
      <c r="H317">
        <v>4.066</v>
      </c>
      <c r="L317">
        <v>107181511</v>
      </c>
      <c r="M317" t="inlineStr">
        <is>
          <t>12/15/2022</t>
        </is>
      </c>
      <c r="N317">
        <v>19</v>
      </c>
      <c r="O317">
        <v>2</v>
      </c>
      <c r="P317">
        <v>10</v>
      </c>
      <c r="Q317">
        <v>1</v>
      </c>
      <c r="R317" t="inlineStr">
        <is>
          <t>O</t>
        </is>
      </c>
    </row>
    <row r="318">
      <c r="A318" t="inlineStr">
        <is>
          <t>558</t>
        </is>
      </c>
      <c r="B318" t="inlineStr">
        <is>
          <t>SIKES MILL</t>
        </is>
      </c>
      <c r="C318">
        <v>0.0</v>
      </c>
      <c r="E318" t="inlineStr">
        <is>
          <t>TOM HELMS</t>
        </is>
      </c>
      <c r="F318" t="inlineStr">
        <is>
          <t>TOM BOYD</t>
        </is>
      </c>
      <c r="G318" t="inlineStr">
        <is>
          <t>SR 1001</t>
        </is>
      </c>
      <c r="H318">
        <v>4.094</v>
      </c>
      <c r="L318">
        <v>108047061</v>
      </c>
      <c r="M318" t="inlineStr">
        <is>
          <t>3/14/2025</t>
        </is>
      </c>
      <c r="N318">
        <v>28</v>
      </c>
      <c r="O318">
        <v>1</v>
      </c>
      <c r="P318">
        <v>10</v>
      </c>
      <c r="Q318">
        <v>1</v>
      </c>
      <c r="R318" t="inlineStr">
        <is>
          <t>O</t>
        </is>
      </c>
    </row>
    <row r="319">
      <c r="A319" t="inlineStr">
        <is>
          <t>558</t>
        </is>
      </c>
      <c r="B319" t="inlineStr">
        <is>
          <t>SIKES MILL</t>
        </is>
      </c>
      <c r="C319">
        <v>0.0</v>
      </c>
      <c r="E319" t="inlineStr">
        <is>
          <t>TOM HELMS</t>
        </is>
      </c>
      <c r="F319" t="inlineStr">
        <is>
          <t>PIEDMONT SCHOOL</t>
        </is>
      </c>
      <c r="G319" t="inlineStr">
        <is>
          <t>SR 1001</t>
        </is>
      </c>
      <c r="H319">
        <v>4.094</v>
      </c>
      <c r="L319">
        <v>107101493</v>
      </c>
      <c r="M319" t="inlineStr">
        <is>
          <t>10/6/2022</t>
        </is>
      </c>
      <c r="N319">
        <v>28</v>
      </c>
      <c r="O319">
        <v>1</v>
      </c>
      <c r="P319">
        <v>10</v>
      </c>
      <c r="Q319">
        <v>1</v>
      </c>
      <c r="R319" t="inlineStr">
        <is>
          <t>O</t>
        </is>
      </c>
    </row>
    <row r="320">
      <c r="A320" t="inlineStr">
        <is>
          <t>558</t>
        </is>
      </c>
      <c r="B320" t="inlineStr">
        <is>
          <t>SR 1001</t>
        </is>
      </c>
      <c r="C320">
        <v>0.0</v>
      </c>
      <c r="E320" t="inlineStr">
        <is>
          <t>SR 1606</t>
        </is>
      </c>
      <c r="F320" t="inlineStr">
        <is>
          <t>SR 1618</t>
        </is>
      </c>
      <c r="G320" t="inlineStr">
        <is>
          <t>SR 1001</t>
        </is>
      </c>
      <c r="H320">
        <v>4.094</v>
      </c>
      <c r="L320">
        <v>107633193</v>
      </c>
      <c r="M320" t="inlineStr">
        <is>
          <t>2/21/2024</t>
        </is>
      </c>
      <c r="N320">
        <v>26</v>
      </c>
      <c r="O320">
        <v>1</v>
      </c>
      <c r="P320">
        <v>10</v>
      </c>
      <c r="Q320">
        <v>5</v>
      </c>
      <c r="R320" t="inlineStr">
        <is>
          <t>O</t>
        </is>
      </c>
    </row>
    <row r="321">
      <c r="A321" t="inlineStr">
        <is>
          <t>558</t>
        </is>
      </c>
      <c r="B321" t="inlineStr">
        <is>
          <t>SR 1001</t>
        </is>
      </c>
      <c r="C321">
        <v>0.0</v>
      </c>
      <c r="E321" t="inlineStr">
        <is>
          <t>SR 1618</t>
        </is>
      </c>
      <c r="F321" t="inlineStr">
        <is>
          <t>SR 1693</t>
        </is>
      </c>
      <c r="G321" t="inlineStr">
        <is>
          <t>SR 1001</t>
        </is>
      </c>
      <c r="H321">
        <v>4.094</v>
      </c>
      <c r="L321">
        <v>107587041</v>
      </c>
      <c r="M321" t="inlineStr">
        <is>
          <t>1/6/2024</t>
        </is>
      </c>
      <c r="N321">
        <v>26</v>
      </c>
      <c r="O321">
        <v>1</v>
      </c>
      <c r="P321">
        <v>10</v>
      </c>
      <c r="Q321">
        <v>5</v>
      </c>
      <c r="R321" t="inlineStr">
        <is>
          <t>O</t>
        </is>
      </c>
    </row>
    <row r="322">
      <c r="A322" t="inlineStr">
        <is>
          <t>558</t>
        </is>
      </c>
      <c r="B322" t="inlineStr">
        <is>
          <t>TOM HELMS</t>
        </is>
      </c>
      <c r="C322">
        <v>0.0</v>
      </c>
      <c r="E322" t="inlineStr">
        <is>
          <t>SIKES MILL</t>
        </is>
      </c>
      <c r="G322" t="inlineStr">
        <is>
          <t>SR 1001</t>
        </is>
      </c>
      <c r="H322">
        <v>4.094</v>
      </c>
      <c r="L322">
        <v>105402668</v>
      </c>
      <c r="M322" t="inlineStr">
        <is>
          <t>3/6/2018</t>
        </is>
      </c>
      <c r="N322">
        <v>30</v>
      </c>
      <c r="O322">
        <v>2</v>
      </c>
      <c r="P322">
        <v>10</v>
      </c>
      <c r="Q322">
        <v>1</v>
      </c>
      <c r="R322" t="inlineStr">
        <is>
          <t>O</t>
        </is>
      </c>
    </row>
    <row r="323">
      <c r="A323" t="inlineStr">
        <is>
          <t>558</t>
        </is>
      </c>
      <c r="B323" t="inlineStr">
        <is>
          <t>SIKES MILL</t>
        </is>
      </c>
      <c r="C323">
        <v>0.005</v>
      </c>
      <c r="D323" t="inlineStr">
        <is>
          <t>N</t>
        </is>
      </c>
      <c r="E323" t="inlineStr">
        <is>
          <t>TOM HELMS</t>
        </is>
      </c>
      <c r="F323" t="inlineStr">
        <is>
          <t>HENRY SMITH</t>
        </is>
      </c>
      <c r="G323" t="inlineStr">
        <is>
          <t>SR 1001</t>
        </is>
      </c>
      <c r="H323">
        <v>4.099</v>
      </c>
      <c r="L323">
        <v>108134024</v>
      </c>
      <c r="M323" t="inlineStr">
        <is>
          <t>6/3/2025</t>
        </is>
      </c>
      <c r="N323">
        <v>28</v>
      </c>
      <c r="O323">
        <v>1</v>
      </c>
      <c r="P323">
        <v>10</v>
      </c>
      <c r="Q323">
        <v>5</v>
      </c>
      <c r="R323" t="inlineStr">
        <is>
          <t>O</t>
        </is>
      </c>
    </row>
    <row r="324">
      <c r="A324" t="inlineStr">
        <is>
          <t>558</t>
        </is>
      </c>
      <c r="B324" t="inlineStr">
        <is>
          <t>SIKES MILL</t>
        </is>
      </c>
      <c r="C324">
        <v>0.009</v>
      </c>
      <c r="D324" t="inlineStr">
        <is>
          <t>N</t>
        </is>
      </c>
      <c r="E324" t="inlineStr">
        <is>
          <t>TOM HELMS</t>
        </is>
      </c>
      <c r="F324" t="inlineStr">
        <is>
          <t>HENRY SMITH</t>
        </is>
      </c>
      <c r="G324" t="inlineStr">
        <is>
          <t>SR 1001</t>
        </is>
      </c>
      <c r="H324">
        <v>4.103</v>
      </c>
      <c r="L324">
        <v>107554045</v>
      </c>
      <c r="M324" t="inlineStr">
        <is>
          <t>11/28/2023</t>
        </is>
      </c>
      <c r="N324">
        <v>28</v>
      </c>
      <c r="O324">
        <v>1</v>
      </c>
      <c r="P324">
        <v>10</v>
      </c>
      <c r="Q324">
        <v>5</v>
      </c>
      <c r="R324" t="inlineStr">
        <is>
          <t>O</t>
        </is>
      </c>
    </row>
    <row r="325">
      <c r="A325" t="inlineStr">
        <is>
          <t>0</t>
        </is>
      </c>
      <c r="B325" t="inlineStr">
        <is>
          <t>SIKES MILL</t>
        </is>
      </c>
      <c r="C325">
        <v>2.0</v>
      </c>
      <c r="D325" t="inlineStr">
        <is>
          <t>N</t>
        </is>
      </c>
      <c r="E325" t="inlineStr">
        <is>
          <t>CHANEY</t>
        </is>
      </c>
      <c r="F325" t="inlineStr">
        <is>
          <t>UNIONVILLE</t>
        </is>
      </c>
      <c r="G325" t="inlineStr">
        <is>
          <t>SR 1001</t>
        </is>
      </c>
      <c r="H325">
        <v>4.11</v>
      </c>
      <c r="L325">
        <v>108420506</v>
      </c>
      <c r="M325" t="inlineStr">
        <is>
          <t>2/27/2026</t>
        </is>
      </c>
      <c r="N325">
        <v>29</v>
      </c>
      <c r="O325">
        <v>2</v>
      </c>
      <c r="P325">
        <v>0</v>
      </c>
      <c r="Q325">
        <v>5</v>
      </c>
      <c r="R325" t="inlineStr">
        <is>
          <t>O</t>
        </is>
      </c>
    </row>
    <row r="326">
      <c r="A326" t="inlineStr">
        <is>
          <t>558</t>
        </is>
      </c>
      <c r="B326" t="inlineStr">
        <is>
          <t>SIKES MILL</t>
        </is>
      </c>
      <c r="C326">
        <v>0.003</v>
      </c>
      <c r="D326" t="inlineStr">
        <is>
          <t>N</t>
        </is>
      </c>
      <c r="E326" t="inlineStr">
        <is>
          <t>LAWYERS</t>
        </is>
      </c>
      <c r="F326" t="inlineStr">
        <is>
          <t>LOVE MILL</t>
        </is>
      </c>
      <c r="G326" t="inlineStr">
        <is>
          <t>SR 1001</t>
        </is>
      </c>
      <c r="H326">
        <v>4.11</v>
      </c>
      <c r="L326">
        <v>107472572</v>
      </c>
      <c r="M326" t="inlineStr">
        <is>
          <t>9/29/2023</t>
        </is>
      </c>
      <c r="N326">
        <v>28</v>
      </c>
      <c r="O326">
        <v>1</v>
      </c>
      <c r="P326">
        <v>10</v>
      </c>
      <c r="Q326">
        <v>1</v>
      </c>
      <c r="R326" t="inlineStr">
        <is>
          <t>O</t>
        </is>
      </c>
    </row>
    <row r="327">
      <c r="A327" t="inlineStr">
        <is>
          <t>558</t>
        </is>
      </c>
      <c r="B327" t="inlineStr">
        <is>
          <t>SIKES MILL</t>
        </is>
      </c>
      <c r="C327">
        <v>0.19</v>
      </c>
      <c r="D327" t="inlineStr">
        <is>
          <t>N</t>
        </is>
      </c>
      <c r="E327" t="inlineStr">
        <is>
          <t>LOVE MILL</t>
        </is>
      </c>
      <c r="F327" t="inlineStr">
        <is>
          <t>HENRY SMITH</t>
        </is>
      </c>
      <c r="G327" t="inlineStr">
        <is>
          <t>SR 1001</t>
        </is>
      </c>
      <c r="H327">
        <v>4.11</v>
      </c>
      <c r="L327">
        <v>107844522</v>
      </c>
      <c r="M327" t="inlineStr">
        <is>
          <t>9/10/2024</t>
        </is>
      </c>
      <c r="N327">
        <v>24</v>
      </c>
      <c r="O327">
        <v>1</v>
      </c>
      <c r="P327">
        <v>4</v>
      </c>
      <c r="Q327">
        <v>1</v>
      </c>
      <c r="R327" t="inlineStr">
        <is>
          <t>O</t>
        </is>
      </c>
    </row>
    <row r="328">
      <c r="A328" t="inlineStr">
        <is>
          <t>558</t>
        </is>
      </c>
      <c r="B328" t="inlineStr">
        <is>
          <t>SR 1001</t>
        </is>
      </c>
      <c r="C328">
        <v>0.0</v>
      </c>
      <c r="E328" t="inlineStr">
        <is>
          <t>SR 1637</t>
        </is>
      </c>
      <c r="F328" t="inlineStr">
        <is>
          <t>LOVE MILL</t>
        </is>
      </c>
      <c r="G328" t="inlineStr">
        <is>
          <t>SR 1001</t>
        </is>
      </c>
      <c r="H328">
        <v>4.11</v>
      </c>
      <c r="L328">
        <v>107495749</v>
      </c>
      <c r="M328" t="inlineStr">
        <is>
          <t>10/19/2023</t>
        </is>
      </c>
      <c r="N328">
        <v>28</v>
      </c>
      <c r="O328">
        <v>1</v>
      </c>
      <c r="P328">
        <v>10</v>
      </c>
      <c r="Q328">
        <v>5</v>
      </c>
      <c r="R328" t="inlineStr">
        <is>
          <t>O</t>
        </is>
      </c>
    </row>
    <row r="329">
      <c r="A329" t="inlineStr">
        <is>
          <t>558</t>
        </is>
      </c>
      <c r="B329" t="inlineStr">
        <is>
          <t>SR 1001</t>
        </is>
      </c>
      <c r="C329">
        <v>0.0</v>
      </c>
      <c r="E329" t="inlineStr">
        <is>
          <t>SR 1637</t>
        </is>
      </c>
      <c r="F329" t="inlineStr">
        <is>
          <t>SR 1001</t>
        </is>
      </c>
      <c r="G329" t="inlineStr">
        <is>
          <t>SR 1001</t>
        </is>
      </c>
      <c r="H329">
        <v>4.11</v>
      </c>
      <c r="L329">
        <v>105414221</v>
      </c>
      <c r="M329" t="inlineStr">
        <is>
          <t>3/14/2018</t>
        </is>
      </c>
      <c r="N329">
        <v>26</v>
      </c>
      <c r="O329">
        <v>1</v>
      </c>
      <c r="P329">
        <v>10</v>
      </c>
      <c r="Q329">
        <v>5</v>
      </c>
      <c r="R329" t="inlineStr">
        <is>
          <t>O</t>
        </is>
      </c>
    </row>
    <row r="330">
      <c r="A330" t="inlineStr">
        <is>
          <t>0</t>
        </is>
      </c>
      <c r="B330" t="inlineStr">
        <is>
          <t>SR 1001</t>
        </is>
      </c>
      <c r="C330">
        <v>0.0</v>
      </c>
      <c r="E330" t="inlineStr">
        <is>
          <t>SR 1637</t>
        </is>
      </c>
      <c r="F330" t="inlineStr">
        <is>
          <t>SR 1606</t>
        </is>
      </c>
      <c r="G330" t="inlineStr">
        <is>
          <t>SR 1001</t>
        </is>
      </c>
      <c r="H330">
        <v>4.11</v>
      </c>
      <c r="L330">
        <v>106532803</v>
      </c>
      <c r="M330" t="inlineStr">
        <is>
          <t>3/31/2021</t>
        </is>
      </c>
      <c r="N330">
        <v>26</v>
      </c>
      <c r="O330">
        <v>1</v>
      </c>
      <c r="P330">
        <v>10</v>
      </c>
      <c r="Q330">
        <v>1</v>
      </c>
      <c r="R330" t="inlineStr">
        <is>
          <t>O</t>
        </is>
      </c>
    </row>
    <row r="331">
      <c r="A331" t="inlineStr">
        <is>
          <t>558</t>
        </is>
      </c>
      <c r="B331" t="inlineStr">
        <is>
          <t>SR 1001</t>
        </is>
      </c>
      <c r="C331">
        <v>0.0</v>
      </c>
      <c r="E331" t="inlineStr">
        <is>
          <t>SR 1637</t>
        </is>
      </c>
      <c r="F331" t="inlineStr">
        <is>
          <t>SR 1636</t>
        </is>
      </c>
      <c r="G331" t="inlineStr">
        <is>
          <t>SR 1001</t>
        </is>
      </c>
      <c r="H331">
        <v>4.11</v>
      </c>
      <c r="L331">
        <v>105337648</v>
      </c>
      <c r="M331" t="inlineStr">
        <is>
          <t>12/19/2017</t>
        </is>
      </c>
      <c r="N331">
        <v>30</v>
      </c>
      <c r="O331">
        <v>1</v>
      </c>
      <c r="P331">
        <v>10</v>
      </c>
      <c r="Q331">
        <v>5</v>
      </c>
      <c r="R331" t="inlineStr">
        <is>
          <t>B</t>
        </is>
      </c>
    </row>
    <row r="332">
      <c r="A332" t="inlineStr">
        <is>
          <t>558</t>
        </is>
      </c>
      <c r="B332" t="inlineStr">
        <is>
          <t>SR 1001</t>
        </is>
      </c>
      <c r="C332">
        <v>0.0</v>
      </c>
      <c r="E332" t="inlineStr">
        <is>
          <t>SR 1637</t>
        </is>
      </c>
      <c r="F332" t="inlineStr">
        <is>
          <t>SR 1001</t>
        </is>
      </c>
      <c r="G332" t="inlineStr">
        <is>
          <t>SR 1001</t>
        </is>
      </c>
      <c r="H332">
        <v>4.11</v>
      </c>
      <c r="L332">
        <v>106482550</v>
      </c>
      <c r="M332" t="inlineStr">
        <is>
          <t>2/5/2021</t>
        </is>
      </c>
      <c r="N332">
        <v>32</v>
      </c>
      <c r="O332">
        <v>1</v>
      </c>
      <c r="P332">
        <v>10</v>
      </c>
      <c r="Q332">
        <v>5</v>
      </c>
      <c r="R332" t="inlineStr">
        <is>
          <t>O</t>
        </is>
      </c>
    </row>
    <row r="333">
      <c r="A333" t="inlineStr">
        <is>
          <t>558</t>
        </is>
      </c>
      <c r="B333" t="inlineStr">
        <is>
          <t>SR 1001</t>
        </is>
      </c>
      <c r="C333">
        <v>0.0</v>
      </c>
      <c r="E333" t="inlineStr">
        <is>
          <t>SR 1637</t>
        </is>
      </c>
      <c r="F333" t="inlineStr">
        <is>
          <t>SR 1678</t>
        </is>
      </c>
      <c r="G333" t="inlineStr">
        <is>
          <t>SR 1001</t>
        </is>
      </c>
      <c r="H333">
        <v>4.11</v>
      </c>
      <c r="L333">
        <v>105087246</v>
      </c>
      <c r="M333" t="inlineStr">
        <is>
          <t>4/24/2017</t>
        </is>
      </c>
      <c r="N333">
        <v>26</v>
      </c>
      <c r="O333">
        <v>2</v>
      </c>
      <c r="P333">
        <v>10</v>
      </c>
      <c r="Q333">
        <v>5</v>
      </c>
      <c r="R333" t="inlineStr">
        <is>
          <t>O</t>
        </is>
      </c>
    </row>
    <row r="334">
      <c r="A334" t="inlineStr">
        <is>
          <t>558</t>
        </is>
      </c>
      <c r="B334" t="inlineStr">
        <is>
          <t>SR 1001</t>
        </is>
      </c>
      <c r="C334">
        <v>0.0</v>
      </c>
      <c r="E334" t="inlineStr">
        <is>
          <t>SR 1637</t>
        </is>
      </c>
      <c r="F334" t="inlineStr">
        <is>
          <t>SR 1001</t>
        </is>
      </c>
      <c r="G334" t="inlineStr">
        <is>
          <t>SR 1001</t>
        </is>
      </c>
      <c r="H334">
        <v>4.11</v>
      </c>
      <c r="L334">
        <v>107563521</v>
      </c>
      <c r="M334" t="inlineStr">
        <is>
          <t>12/13/2023</t>
        </is>
      </c>
      <c r="N334">
        <v>28</v>
      </c>
      <c r="O334">
        <v>1</v>
      </c>
      <c r="P334">
        <v>10</v>
      </c>
      <c r="Q334">
        <v>5</v>
      </c>
      <c r="R334" t="inlineStr">
        <is>
          <t>O</t>
        </is>
      </c>
    </row>
    <row r="335">
      <c r="A335" t="inlineStr">
        <is>
          <t>558</t>
        </is>
      </c>
      <c r="B335" t="inlineStr">
        <is>
          <t>SR 1001</t>
        </is>
      </c>
      <c r="C335">
        <v>0.1</v>
      </c>
      <c r="D335" t="inlineStr">
        <is>
          <t>NE</t>
        </is>
      </c>
      <c r="E335" t="inlineStr">
        <is>
          <t>SR 1606</t>
        </is>
      </c>
      <c r="F335" t="inlineStr">
        <is>
          <t>PIEDMONT SCHOOL</t>
        </is>
      </c>
      <c r="G335" t="inlineStr">
        <is>
          <t>SR 1001</t>
        </is>
      </c>
      <c r="H335">
        <v>4.194</v>
      </c>
      <c r="L335">
        <v>104695165</v>
      </c>
      <c r="M335" t="inlineStr">
        <is>
          <t>4/4/2016</t>
        </is>
      </c>
      <c r="N335">
        <v>19</v>
      </c>
      <c r="O335">
        <v>1</v>
      </c>
      <c r="P335">
        <v>0</v>
      </c>
      <c r="Q335">
        <v>1</v>
      </c>
      <c r="R335" t="inlineStr">
        <is>
          <t>O</t>
        </is>
      </c>
    </row>
    <row r="336">
      <c r="A336" t="inlineStr">
        <is>
          <t>558</t>
        </is>
      </c>
      <c r="B336" t="inlineStr">
        <is>
          <t>SR 1001</t>
        </is>
      </c>
      <c r="C336">
        <v>0.2</v>
      </c>
      <c r="D336" t="inlineStr">
        <is>
          <t>NE</t>
        </is>
      </c>
      <c r="E336" t="inlineStr">
        <is>
          <t>SR 1606</t>
        </is>
      </c>
      <c r="F336" t="inlineStr">
        <is>
          <t>PIEDMONT SCHOOL</t>
        </is>
      </c>
      <c r="G336" t="inlineStr">
        <is>
          <t>SR 1001</t>
        </is>
      </c>
      <c r="H336">
        <v>4.294</v>
      </c>
      <c r="L336">
        <v>104987919</v>
      </c>
      <c r="M336" t="inlineStr">
        <is>
          <t>1/26/2017</t>
        </is>
      </c>
      <c r="N336">
        <v>29</v>
      </c>
      <c r="O336">
        <v>1</v>
      </c>
      <c r="P336">
        <v>0</v>
      </c>
      <c r="Q336">
        <v>1</v>
      </c>
      <c r="R336" t="inlineStr">
        <is>
          <t>O</t>
        </is>
      </c>
    </row>
    <row r="337">
      <c r="A337" t="inlineStr">
        <is>
          <t>0</t>
        </is>
      </c>
      <c r="B337" t="inlineStr">
        <is>
          <t>SR 1001</t>
        </is>
      </c>
      <c r="C337">
        <v>0.2</v>
      </c>
      <c r="D337" t="inlineStr">
        <is>
          <t>N</t>
        </is>
      </c>
      <c r="E337" t="inlineStr">
        <is>
          <t>SR 1637</t>
        </is>
      </c>
      <c r="F337" t="inlineStr">
        <is>
          <t>SR 1674</t>
        </is>
      </c>
      <c r="G337" t="inlineStr">
        <is>
          <t>SR 1001</t>
        </is>
      </c>
      <c r="H337">
        <v>4.31</v>
      </c>
      <c r="L337">
        <v>106017163</v>
      </c>
      <c r="M337" t="inlineStr">
        <is>
          <t>10/2/2019</t>
        </is>
      </c>
      <c r="N337">
        <v>23</v>
      </c>
      <c r="O337">
        <v>1</v>
      </c>
      <c r="P337">
        <v>0</v>
      </c>
      <c r="Q337">
        <v>1</v>
      </c>
      <c r="R337" t="inlineStr">
        <is>
          <t>O</t>
        </is>
      </c>
    </row>
    <row r="338">
      <c r="A338" t="inlineStr">
        <is>
          <t>558</t>
        </is>
      </c>
      <c r="B338" t="inlineStr">
        <is>
          <t>LOVE MILL</t>
        </is>
      </c>
      <c r="C338">
        <v>0.15</v>
      </c>
      <c r="D338" t="inlineStr">
        <is>
          <t>W</t>
        </is>
      </c>
      <c r="E338" t="inlineStr">
        <is>
          <t>PIEDMONT SCHOOL</t>
        </is>
      </c>
      <c r="F338" t="inlineStr">
        <is>
          <t>SIKES MILL</t>
        </is>
      </c>
      <c r="G338" t="inlineStr">
        <is>
          <t>SR 1001</t>
        </is>
      </c>
      <c r="H338">
        <v>4.454</v>
      </c>
      <c r="L338">
        <v>107442543</v>
      </c>
      <c r="M338" t="inlineStr">
        <is>
          <t>8/30/2023</t>
        </is>
      </c>
      <c r="N338">
        <v>21</v>
      </c>
      <c r="O338">
        <v>2</v>
      </c>
      <c r="P338">
        <v>0</v>
      </c>
      <c r="Q338">
        <v>1</v>
      </c>
      <c r="R338" t="inlineStr">
        <is>
          <t>O</t>
        </is>
      </c>
    </row>
    <row r="339">
      <c r="A339" t="inlineStr">
        <is>
          <t>558</t>
        </is>
      </c>
      <c r="B339" t="inlineStr">
        <is>
          <t>SR 1001</t>
        </is>
      </c>
      <c r="C339">
        <v>0.75</v>
      </c>
      <c r="D339" t="inlineStr">
        <is>
          <t>S</t>
        </is>
      </c>
      <c r="E339" t="inlineStr">
        <is>
          <t>SR 1638</t>
        </is>
      </c>
      <c r="F339" t="inlineStr">
        <is>
          <t>SR 1688</t>
        </is>
      </c>
      <c r="G339" t="inlineStr">
        <is>
          <t>SR 1001</t>
        </is>
      </c>
      <c r="H339">
        <v>4.476</v>
      </c>
      <c r="L339">
        <v>106194121</v>
      </c>
      <c r="M339" t="inlineStr">
        <is>
          <t>3/24/2020</t>
        </is>
      </c>
      <c r="N339">
        <v>17</v>
      </c>
      <c r="O339">
        <v>1</v>
      </c>
      <c r="P339">
        <v>0</v>
      </c>
      <c r="Q339">
        <v>5</v>
      </c>
      <c r="R339" t="inlineStr">
        <is>
          <t>O</t>
        </is>
      </c>
    </row>
    <row r="340">
      <c r="A340" t="inlineStr">
        <is>
          <t>0</t>
        </is>
      </c>
      <c r="B340" t="inlineStr">
        <is>
          <t>SR 1001</t>
        </is>
      </c>
      <c r="C340">
        <v>0.7</v>
      </c>
      <c r="D340" t="inlineStr">
        <is>
          <t>S</t>
        </is>
      </c>
      <c r="E340" t="inlineStr">
        <is>
          <t>SR 1638</t>
        </is>
      </c>
      <c r="F340" t="inlineStr">
        <is>
          <t>SR 1674</t>
        </is>
      </c>
      <c r="G340" t="inlineStr">
        <is>
          <t>SR 1001</t>
        </is>
      </c>
      <c r="H340">
        <v>4.526</v>
      </c>
      <c r="L340">
        <v>105670531</v>
      </c>
      <c r="M340" t="inlineStr">
        <is>
          <t>11/5/2018</t>
        </is>
      </c>
      <c r="N340">
        <v>20</v>
      </c>
      <c r="O340">
        <v>2</v>
      </c>
      <c r="P340">
        <v>0</v>
      </c>
      <c r="Q340">
        <v>1</v>
      </c>
      <c r="R340" t="inlineStr">
        <is>
          <t>O</t>
        </is>
      </c>
    </row>
    <row r="341">
      <c r="A341" t="inlineStr">
        <is>
          <t>558</t>
        </is>
      </c>
      <c r="B341" t="inlineStr">
        <is>
          <t>LOVE MILL</t>
        </is>
      </c>
      <c r="C341">
        <v>0.0</v>
      </c>
      <c r="E341" t="inlineStr">
        <is>
          <t>PIEDMONT SCHOOL</t>
        </is>
      </c>
      <c r="F341" t="inlineStr">
        <is>
          <t>*LCL PURSER RUSHING ROAD</t>
        </is>
      </c>
      <c r="G341" t="inlineStr">
        <is>
          <t>SR 1001</t>
        </is>
      </c>
      <c r="H341">
        <v>4.604</v>
      </c>
      <c r="L341">
        <v>106755818</v>
      </c>
      <c r="M341" t="inlineStr">
        <is>
          <t>11/8/2021</t>
        </is>
      </c>
      <c r="N341">
        <v>26</v>
      </c>
      <c r="O341">
        <v>1</v>
      </c>
      <c r="P341">
        <v>8</v>
      </c>
      <c r="Q341">
        <v>1</v>
      </c>
      <c r="R341" t="inlineStr">
        <is>
          <t>O</t>
        </is>
      </c>
    </row>
    <row r="342">
      <c r="A342" t="inlineStr">
        <is>
          <t>558</t>
        </is>
      </c>
      <c r="B342" t="inlineStr">
        <is>
          <t>LOVE MILL</t>
        </is>
      </c>
      <c r="C342">
        <v>0.0</v>
      </c>
      <c r="E342" t="inlineStr">
        <is>
          <t>PIEDMONT SCHOOL</t>
        </is>
      </c>
      <c r="F342" t="inlineStr">
        <is>
          <t>SIKES MILL</t>
        </is>
      </c>
      <c r="G342" t="inlineStr">
        <is>
          <t>SR 1001</t>
        </is>
      </c>
      <c r="H342">
        <v>4.604</v>
      </c>
      <c r="L342">
        <v>106585376</v>
      </c>
      <c r="M342" t="inlineStr">
        <is>
          <t>5/26/2021</t>
        </is>
      </c>
      <c r="N342">
        <v>24</v>
      </c>
      <c r="O342">
        <v>1</v>
      </c>
      <c r="P342">
        <v>8</v>
      </c>
      <c r="Q342">
        <v>1</v>
      </c>
      <c r="R342" t="inlineStr">
        <is>
          <t>O</t>
        </is>
      </c>
    </row>
    <row r="343">
      <c r="A343" t="inlineStr">
        <is>
          <t>558</t>
        </is>
      </c>
      <c r="B343" t="inlineStr">
        <is>
          <t>SR 1001</t>
        </is>
      </c>
      <c r="C343">
        <v>0.0</v>
      </c>
      <c r="E343" t="inlineStr">
        <is>
          <t>SR 1668</t>
        </is>
      </c>
      <c r="F343" t="inlineStr">
        <is>
          <t>DEAD END</t>
        </is>
      </c>
      <c r="G343" t="inlineStr">
        <is>
          <t>SR 1001</t>
        </is>
      </c>
      <c r="H343">
        <v>4.604</v>
      </c>
      <c r="L343">
        <v>107215772</v>
      </c>
      <c r="M343" t="inlineStr">
        <is>
          <t>1/11/2023</t>
        </is>
      </c>
      <c r="N343">
        <v>26</v>
      </c>
      <c r="O343">
        <v>1</v>
      </c>
      <c r="P343">
        <v>8</v>
      </c>
      <c r="Q343">
        <v>5</v>
      </c>
      <c r="R343" t="inlineStr">
        <is>
          <t>C</t>
        </is>
      </c>
    </row>
    <row r="344">
      <c r="A344" t="inlineStr">
        <is>
          <t>558</t>
        </is>
      </c>
      <c r="B344" t="inlineStr">
        <is>
          <t>SR 1001</t>
        </is>
      </c>
      <c r="C344">
        <v>0.035</v>
      </c>
      <c r="D344" t="inlineStr">
        <is>
          <t>N</t>
        </is>
      </c>
      <c r="E344" t="inlineStr">
        <is>
          <t>SR 1668</t>
        </is>
      </c>
      <c r="F344" t="inlineStr">
        <is>
          <t>SR 1674</t>
        </is>
      </c>
      <c r="G344" t="inlineStr">
        <is>
          <t>SR 1001</t>
        </is>
      </c>
      <c r="H344">
        <v>4.639</v>
      </c>
      <c r="L344">
        <v>107121599</v>
      </c>
      <c r="M344" t="inlineStr">
        <is>
          <t>10/22/2022</t>
        </is>
      </c>
      <c r="N344">
        <v>26</v>
      </c>
      <c r="O344">
        <v>1</v>
      </c>
      <c r="P344">
        <v>0</v>
      </c>
      <c r="Q344">
        <v>1</v>
      </c>
      <c r="R344" t="inlineStr">
        <is>
          <t>O</t>
        </is>
      </c>
    </row>
    <row r="345">
      <c r="A345" t="inlineStr">
        <is>
          <t>558</t>
        </is>
      </c>
      <c r="B345" t="inlineStr">
        <is>
          <t>LOVE MILL</t>
        </is>
      </c>
      <c r="C345">
        <v>0.095</v>
      </c>
      <c r="D345" t="inlineStr">
        <is>
          <t>NE</t>
        </is>
      </c>
      <c r="E345" t="inlineStr">
        <is>
          <t>PIEDMONT SCHOOL</t>
        </is>
      </c>
      <c r="F345" t="inlineStr">
        <is>
          <t>*LCL PURSER RUSHING RD</t>
        </is>
      </c>
      <c r="G345" t="inlineStr">
        <is>
          <t>SR 1001</t>
        </is>
      </c>
      <c r="H345">
        <v>4.699</v>
      </c>
      <c r="L345">
        <v>106705523</v>
      </c>
      <c r="M345" t="inlineStr">
        <is>
          <t>9/23/2021</t>
        </is>
      </c>
      <c r="N345">
        <v>21</v>
      </c>
      <c r="O345">
        <v>1</v>
      </c>
      <c r="P345">
        <v>0</v>
      </c>
      <c r="Q345">
        <v>1</v>
      </c>
      <c r="R345" t="inlineStr">
        <is>
          <t>O</t>
        </is>
      </c>
    </row>
    <row r="346">
      <c r="A346" t="inlineStr">
        <is>
          <t>558</t>
        </is>
      </c>
      <c r="B346" t="inlineStr">
        <is>
          <t>SR 1001</t>
        </is>
      </c>
      <c r="C346">
        <v>0.085</v>
      </c>
      <c r="D346" t="inlineStr">
        <is>
          <t>S</t>
        </is>
      </c>
      <c r="E346" t="inlineStr">
        <is>
          <t>SR 1674</t>
        </is>
      </c>
      <c r="F346" t="inlineStr">
        <is>
          <t>SR 1606</t>
        </is>
      </c>
      <c r="G346" t="inlineStr">
        <is>
          <t>SR 1001</t>
        </is>
      </c>
      <c r="H346">
        <v>4.713</v>
      </c>
      <c r="L346">
        <v>107518060</v>
      </c>
      <c r="M346" t="inlineStr">
        <is>
          <t>11/1/2023</t>
        </is>
      </c>
      <c r="N346">
        <v>29</v>
      </c>
      <c r="O346">
        <v>1</v>
      </c>
      <c r="P346">
        <v>0</v>
      </c>
      <c r="Q346">
        <v>1</v>
      </c>
      <c r="R346" t="inlineStr">
        <is>
          <t>O</t>
        </is>
      </c>
    </row>
    <row r="347">
      <c r="A347" t="inlineStr">
        <is>
          <t>558</t>
        </is>
      </c>
      <c r="B347" t="inlineStr">
        <is>
          <t>SR 1001</t>
        </is>
      </c>
      <c r="C347">
        <v>0.1</v>
      </c>
      <c r="D347" t="inlineStr">
        <is>
          <t>N</t>
        </is>
      </c>
      <c r="E347" t="inlineStr">
        <is>
          <t>SR 1674</t>
        </is>
      </c>
      <c r="F347" t="inlineStr">
        <is>
          <t>SR 1638</t>
        </is>
      </c>
      <c r="G347" t="inlineStr">
        <is>
          <t>SR 1001</t>
        </is>
      </c>
      <c r="H347">
        <v>4.898</v>
      </c>
      <c r="L347">
        <v>108010852</v>
      </c>
      <c r="M347" t="inlineStr">
        <is>
          <t>2/4/2025</t>
        </is>
      </c>
      <c r="N347">
        <v>23</v>
      </c>
      <c r="O347">
        <v>1</v>
      </c>
      <c r="P347">
        <v>0</v>
      </c>
      <c r="Q347">
        <v>1</v>
      </c>
      <c r="R347" t="inlineStr">
        <is>
          <t>O</t>
        </is>
      </c>
    </row>
    <row r="348">
      <c r="A348" t="inlineStr">
        <is>
          <t>558</t>
        </is>
      </c>
      <c r="B348" t="inlineStr">
        <is>
          <t>SR 1001</t>
        </is>
      </c>
      <c r="C348">
        <v>0.1</v>
      </c>
      <c r="D348" t="inlineStr">
        <is>
          <t>N</t>
        </is>
      </c>
      <c r="E348" t="inlineStr">
        <is>
          <t>SR 1674</t>
        </is>
      </c>
      <c r="F348" t="inlineStr">
        <is>
          <t>SR 1638</t>
        </is>
      </c>
      <c r="G348" t="inlineStr">
        <is>
          <t>SR 1001</t>
        </is>
      </c>
      <c r="H348">
        <v>4.898</v>
      </c>
      <c r="L348">
        <v>107890769</v>
      </c>
      <c r="M348" t="inlineStr">
        <is>
          <t>10/20/2024</t>
        </is>
      </c>
      <c r="N348">
        <v>17</v>
      </c>
      <c r="O348">
        <v>1</v>
      </c>
      <c r="P348">
        <v>0</v>
      </c>
      <c r="Q348">
        <v>5</v>
      </c>
      <c r="R348" t="inlineStr">
        <is>
          <t>O</t>
        </is>
      </c>
    </row>
    <row r="349">
      <c r="A349" t="inlineStr">
        <is>
          <t>558</t>
        </is>
      </c>
      <c r="B349" t="inlineStr">
        <is>
          <t>SR 1001</t>
        </is>
      </c>
      <c r="C349">
        <v>0.3</v>
      </c>
      <c r="D349" t="inlineStr">
        <is>
          <t>S</t>
        </is>
      </c>
      <c r="E349" t="inlineStr">
        <is>
          <t>SR 1638</t>
        </is>
      </c>
      <c r="F349" t="inlineStr">
        <is>
          <t>SR 1674</t>
        </is>
      </c>
      <c r="G349" t="inlineStr">
        <is>
          <t>SR 1001</t>
        </is>
      </c>
      <c r="H349">
        <v>4.926</v>
      </c>
      <c r="L349">
        <v>107423126</v>
      </c>
      <c r="M349" t="inlineStr">
        <is>
          <t>8/12/2023</t>
        </is>
      </c>
      <c r="N349">
        <v>17</v>
      </c>
      <c r="O349">
        <v>1</v>
      </c>
      <c r="P349">
        <v>0</v>
      </c>
      <c r="Q349">
        <v>5</v>
      </c>
      <c r="R349" t="inlineStr">
        <is>
          <t>O</t>
        </is>
      </c>
    </row>
    <row r="350">
      <c r="A350" t="inlineStr">
        <is>
          <t>558</t>
        </is>
      </c>
      <c r="B350" t="inlineStr">
        <is>
          <t>SR 1001</t>
        </is>
      </c>
      <c r="C350">
        <v>0.2</v>
      </c>
      <c r="D350" t="inlineStr">
        <is>
          <t>E</t>
        </is>
      </c>
      <c r="E350" t="inlineStr">
        <is>
          <t>SR 1674</t>
        </is>
      </c>
      <c r="F350" t="inlineStr">
        <is>
          <t>SR 1638</t>
        </is>
      </c>
      <c r="G350" t="inlineStr">
        <is>
          <t>SR 1001</t>
        </is>
      </c>
      <c r="H350">
        <v>4.998</v>
      </c>
      <c r="L350">
        <v>108279466</v>
      </c>
      <c r="M350" t="inlineStr">
        <is>
          <t>10/23/2025</t>
        </is>
      </c>
      <c r="N350">
        <v>17</v>
      </c>
      <c r="O350">
        <v>1</v>
      </c>
      <c r="P350">
        <v>0</v>
      </c>
      <c r="Q350">
        <v>1</v>
      </c>
      <c r="R350" t="inlineStr">
        <is>
          <t>O</t>
        </is>
      </c>
    </row>
    <row r="351">
      <c r="A351" t="inlineStr">
        <is>
          <t>558</t>
        </is>
      </c>
      <c r="B351" t="inlineStr">
        <is>
          <t>SR 1001</t>
        </is>
      </c>
      <c r="C351">
        <v>0.1</v>
      </c>
      <c r="D351" t="inlineStr">
        <is>
          <t>S</t>
        </is>
      </c>
      <c r="E351" t="inlineStr">
        <is>
          <t>SR 1638</t>
        </is>
      </c>
      <c r="F351" t="inlineStr">
        <is>
          <t>SR 1674</t>
        </is>
      </c>
      <c r="G351" t="inlineStr">
        <is>
          <t>SR 1001</t>
        </is>
      </c>
      <c r="H351">
        <v>5.126</v>
      </c>
      <c r="L351">
        <v>105260877</v>
      </c>
      <c r="M351" t="inlineStr">
        <is>
          <t>10/15/2017</t>
        </is>
      </c>
      <c r="N351">
        <v>19</v>
      </c>
      <c r="O351">
        <v>1</v>
      </c>
      <c r="P351">
        <v>0</v>
      </c>
      <c r="Q351">
        <v>5</v>
      </c>
      <c r="R351" t="inlineStr">
        <is>
          <t>O</t>
        </is>
      </c>
    </row>
    <row r="352">
      <c r="A352" t="inlineStr">
        <is>
          <t>558</t>
        </is>
      </c>
      <c r="B352" t="inlineStr">
        <is>
          <t>SR 1001</t>
        </is>
      </c>
      <c r="C352">
        <v>0.1</v>
      </c>
      <c r="D352" t="inlineStr">
        <is>
          <t>S</t>
        </is>
      </c>
      <c r="E352" t="inlineStr">
        <is>
          <t>SR 1638</t>
        </is>
      </c>
      <c r="F352" t="inlineStr">
        <is>
          <t>SR 1674</t>
        </is>
      </c>
      <c r="G352" t="inlineStr">
        <is>
          <t>SR 1001</t>
        </is>
      </c>
      <c r="H352">
        <v>5.126</v>
      </c>
      <c r="L352">
        <v>107149319</v>
      </c>
      <c r="M352" t="inlineStr">
        <is>
          <t>11/16/2022</t>
        </is>
      </c>
      <c r="N352">
        <v>17</v>
      </c>
      <c r="O352">
        <v>1</v>
      </c>
      <c r="P352">
        <v>0</v>
      </c>
      <c r="Q352">
        <v>5</v>
      </c>
      <c r="R352" t="inlineStr">
        <is>
          <t>O</t>
        </is>
      </c>
    </row>
    <row r="353">
      <c r="A353" t="inlineStr">
        <is>
          <t>558</t>
        </is>
      </c>
      <c r="B353" t="inlineStr">
        <is>
          <t>SR 1001</t>
        </is>
      </c>
      <c r="C353">
        <v>0.1</v>
      </c>
      <c r="D353" t="inlineStr">
        <is>
          <t>S</t>
        </is>
      </c>
      <c r="E353" t="inlineStr">
        <is>
          <t>SR 1638</t>
        </is>
      </c>
      <c r="F353" t="inlineStr">
        <is>
          <t>SR 1674</t>
        </is>
      </c>
      <c r="G353" t="inlineStr">
        <is>
          <t>SR 1001</t>
        </is>
      </c>
      <c r="H353">
        <v>5.126</v>
      </c>
      <c r="L353">
        <v>105748330</v>
      </c>
      <c r="M353" t="inlineStr">
        <is>
          <t>1/20/2019</t>
        </is>
      </c>
      <c r="N353">
        <v>18</v>
      </c>
      <c r="O353">
        <v>1</v>
      </c>
      <c r="P353">
        <v>0</v>
      </c>
      <c r="Q353">
        <v>5</v>
      </c>
      <c r="R353" t="inlineStr">
        <is>
          <t>O</t>
        </is>
      </c>
    </row>
    <row r="354">
      <c r="A354" t="inlineStr">
        <is>
          <t>558</t>
        </is>
      </c>
      <c r="B354" t="inlineStr">
        <is>
          <t>SR 1001</t>
        </is>
      </c>
      <c r="C354">
        <v>0.014</v>
      </c>
      <c r="D354" t="inlineStr">
        <is>
          <t>S</t>
        </is>
      </c>
      <c r="E354" t="inlineStr">
        <is>
          <t>SR 1638</t>
        </is>
      </c>
      <c r="F354" t="inlineStr">
        <is>
          <t>SR 1674</t>
        </is>
      </c>
      <c r="G354" t="inlineStr">
        <is>
          <t>SR 1001</t>
        </is>
      </c>
      <c r="H354">
        <v>5.212</v>
      </c>
      <c r="L354">
        <v>105196253</v>
      </c>
      <c r="M354" t="inlineStr">
        <is>
          <t>8/18/2017</t>
        </is>
      </c>
      <c r="N354">
        <v>31</v>
      </c>
      <c r="O354">
        <v>1</v>
      </c>
      <c r="P354">
        <v>0</v>
      </c>
      <c r="Q354">
        <v>5</v>
      </c>
      <c r="R354" t="inlineStr">
        <is>
          <t>O</t>
        </is>
      </c>
    </row>
    <row r="355">
      <c r="A355" t="inlineStr">
        <is>
          <t>558</t>
        </is>
      </c>
      <c r="B355" t="inlineStr">
        <is>
          <t>SR 1001</t>
        </is>
      </c>
      <c r="C355">
        <v>0.0</v>
      </c>
      <c r="E355" t="inlineStr">
        <is>
          <t>SR 1638</t>
        </is>
      </c>
      <c r="F355" t="inlineStr">
        <is>
          <t>SR 1674</t>
        </is>
      </c>
      <c r="G355" t="inlineStr">
        <is>
          <t>SR 1001</t>
        </is>
      </c>
      <c r="H355">
        <v>5.226</v>
      </c>
      <c r="L355">
        <v>105561390</v>
      </c>
      <c r="M355" t="inlineStr">
        <is>
          <t>8/1/2018</t>
        </is>
      </c>
      <c r="N355">
        <v>30</v>
      </c>
      <c r="O355">
        <v>1</v>
      </c>
      <c r="P355">
        <v>7</v>
      </c>
      <c r="Q355">
        <v>1</v>
      </c>
      <c r="R355" t="inlineStr">
        <is>
          <t>O</t>
        </is>
      </c>
    </row>
    <row r="356">
      <c r="A356" t="inlineStr">
        <is>
          <t>558</t>
        </is>
      </c>
      <c r="B356" t="inlineStr">
        <is>
          <t>SR 1001</t>
        </is>
      </c>
      <c r="C356">
        <v>0.1</v>
      </c>
      <c r="D356" t="inlineStr">
        <is>
          <t>N</t>
        </is>
      </c>
      <c r="E356" t="inlineStr">
        <is>
          <t>SR 1638</t>
        </is>
      </c>
      <c r="F356" t="inlineStr">
        <is>
          <t>SR 1675</t>
        </is>
      </c>
      <c r="G356" t="inlineStr">
        <is>
          <t>SR 1001</t>
        </is>
      </c>
      <c r="H356">
        <v>5.326</v>
      </c>
      <c r="L356">
        <v>108521472</v>
      </c>
      <c r="M356" t="inlineStr">
        <is>
          <t>6/6/2026</t>
        </is>
      </c>
      <c r="N356">
        <v>19</v>
      </c>
      <c r="O356">
        <v>1</v>
      </c>
      <c r="P356">
        <v>0</v>
      </c>
      <c r="Q356">
        <v>1</v>
      </c>
      <c r="R356" t="inlineStr">
        <is>
          <t>C</t>
        </is>
      </c>
    </row>
    <row r="357">
      <c r="A357" t="inlineStr">
        <is>
          <t>558</t>
        </is>
      </c>
      <c r="B357" t="inlineStr">
        <is>
          <t>SR 1001</t>
        </is>
      </c>
      <c r="C357">
        <v>0.4</v>
      </c>
      <c r="D357" t="inlineStr">
        <is>
          <t>N</t>
        </is>
      </c>
      <c r="E357" t="inlineStr">
        <is>
          <t>SR 1638</t>
        </is>
      </c>
      <c r="F357" t="inlineStr">
        <is>
          <t>SR 1675</t>
        </is>
      </c>
      <c r="G357" t="inlineStr">
        <is>
          <t>SR 1001</t>
        </is>
      </c>
      <c r="H357">
        <v>5.626</v>
      </c>
      <c r="L357">
        <v>105335407</v>
      </c>
      <c r="M357" t="inlineStr">
        <is>
          <t>12/28/2017</t>
        </is>
      </c>
      <c r="N357">
        <v>29</v>
      </c>
      <c r="O357">
        <v>1</v>
      </c>
      <c r="P357">
        <v>0</v>
      </c>
      <c r="Q357">
        <v>1</v>
      </c>
      <c r="R357" t="inlineStr">
        <is>
          <t>O</t>
        </is>
      </c>
    </row>
    <row r="358">
      <c r="A358" t="inlineStr">
        <is>
          <t>0</t>
        </is>
      </c>
      <c r="B358" t="inlineStr">
        <is>
          <t>SR 1001</t>
        </is>
      </c>
      <c r="C358">
        <v>0.32</v>
      </c>
      <c r="D358" t="inlineStr">
        <is>
          <t>S</t>
        </is>
      </c>
      <c r="E358" t="inlineStr">
        <is>
          <t>SR 1675</t>
        </is>
      </c>
      <c r="F358" t="inlineStr">
        <is>
          <t>SR 1638</t>
        </is>
      </c>
      <c r="G358" t="inlineStr">
        <is>
          <t>SR 1001</t>
        </is>
      </c>
      <c r="H358">
        <v>5.645</v>
      </c>
      <c r="L358">
        <v>105555467</v>
      </c>
      <c r="M358" t="inlineStr">
        <is>
          <t>7/22/2018</t>
        </is>
      </c>
      <c r="N358">
        <v>1</v>
      </c>
      <c r="O358">
        <v>1</v>
      </c>
      <c r="P358">
        <v>0</v>
      </c>
      <c r="Q358">
        <v>1</v>
      </c>
      <c r="R358" t="inlineStr">
        <is>
          <t>O</t>
        </is>
      </c>
    </row>
    <row r="359">
      <c r="A359" t="inlineStr">
        <is>
          <t>0</t>
        </is>
      </c>
      <c r="B359" t="inlineStr">
        <is>
          <t>LOVE MILL</t>
        </is>
      </c>
      <c r="C359">
        <v>0.14</v>
      </c>
      <c r="D359" t="inlineStr">
        <is>
          <t>S</t>
        </is>
      </c>
      <c r="E359" t="inlineStr">
        <is>
          <t>BRASSWELL RUSHING</t>
        </is>
      </c>
      <c r="F359" t="inlineStr">
        <is>
          <t>HAIGLER BAUCOM</t>
        </is>
      </c>
      <c r="G359" t="inlineStr">
        <is>
          <t>SR 1001</t>
        </is>
      </c>
      <c r="H359">
        <v>5.825</v>
      </c>
      <c r="L359">
        <v>106148368</v>
      </c>
      <c r="M359" t="inlineStr">
        <is>
          <t>2/6/2020</t>
        </is>
      </c>
      <c r="N359">
        <v>19</v>
      </c>
      <c r="O359">
        <v>2</v>
      </c>
      <c r="P359">
        <v>0</v>
      </c>
      <c r="Q359">
        <v>1</v>
      </c>
      <c r="R359" t="inlineStr">
        <is>
          <t>O</t>
        </is>
      </c>
    </row>
    <row r="360">
      <c r="A360" t="inlineStr">
        <is>
          <t>558</t>
        </is>
      </c>
      <c r="B360" t="inlineStr">
        <is>
          <t>SR 1001</t>
        </is>
      </c>
      <c r="C360">
        <v>0.1</v>
      </c>
      <c r="D360" t="inlineStr">
        <is>
          <t>S</t>
        </is>
      </c>
      <c r="E360" t="inlineStr">
        <is>
          <t>SR 1675</t>
        </is>
      </c>
      <c r="F360" t="inlineStr">
        <is>
          <t>SR 1638</t>
        </is>
      </c>
      <c r="G360" t="inlineStr">
        <is>
          <t>SR 1001</t>
        </is>
      </c>
      <c r="H360">
        <v>5.865</v>
      </c>
      <c r="L360">
        <v>105877759</v>
      </c>
      <c r="M360" t="inlineStr">
        <is>
          <t>5/23/2019</t>
        </is>
      </c>
      <c r="N360">
        <v>28</v>
      </c>
      <c r="O360">
        <v>1</v>
      </c>
      <c r="P360">
        <v>0</v>
      </c>
      <c r="Q360">
        <v>1</v>
      </c>
      <c r="R360" t="inlineStr">
        <is>
          <t>O</t>
        </is>
      </c>
    </row>
    <row r="361">
      <c r="A361" t="inlineStr">
        <is>
          <t>558</t>
        </is>
      </c>
      <c r="B361" t="inlineStr">
        <is>
          <t>SR 1001</t>
        </is>
      </c>
      <c r="C361">
        <v>0.0</v>
      </c>
      <c r="E361" t="inlineStr">
        <is>
          <t>SR 1675</t>
        </is>
      </c>
      <c r="F361" t="inlineStr">
        <is>
          <t>SR 1654</t>
        </is>
      </c>
      <c r="G361" t="inlineStr">
        <is>
          <t>SR 1001</t>
        </is>
      </c>
      <c r="H361">
        <v>5.965</v>
      </c>
      <c r="L361">
        <v>108055290</v>
      </c>
      <c r="M361" t="inlineStr">
        <is>
          <t>3/21/2025</t>
        </is>
      </c>
      <c r="N361">
        <v>17</v>
      </c>
      <c r="O361">
        <v>1</v>
      </c>
      <c r="P361">
        <v>8</v>
      </c>
      <c r="Q361">
        <v>5</v>
      </c>
      <c r="R361" t="inlineStr">
        <is>
          <t>O</t>
        </is>
      </c>
    </row>
    <row r="362">
      <c r="A362" t="inlineStr">
        <is>
          <t>0</t>
        </is>
      </c>
      <c r="B362" t="inlineStr">
        <is>
          <t>SR 1001</t>
        </is>
      </c>
      <c r="C362">
        <v>0.095</v>
      </c>
      <c r="D362" t="inlineStr">
        <is>
          <t>S</t>
        </is>
      </c>
      <c r="E362" t="inlineStr">
        <is>
          <t>SR 1654</t>
        </is>
      </c>
      <c r="F362" t="inlineStr">
        <is>
          <t>SR 1675</t>
        </is>
      </c>
      <c r="G362" t="inlineStr">
        <is>
          <t>SR 1001</t>
        </is>
      </c>
      <c r="H362">
        <v>6.136</v>
      </c>
      <c r="L362">
        <v>106893722</v>
      </c>
      <c r="M362" t="inlineStr">
        <is>
          <t>3/16/2022</t>
        </is>
      </c>
      <c r="N362">
        <v>17</v>
      </c>
      <c r="O362">
        <v>1</v>
      </c>
      <c r="P362">
        <v>0</v>
      </c>
      <c r="Q362">
        <v>1</v>
      </c>
      <c r="R362" t="inlineStr">
        <is>
          <t>O</t>
        </is>
      </c>
    </row>
    <row r="363">
      <c r="A363" t="inlineStr">
        <is>
          <t>558</t>
        </is>
      </c>
      <c r="B363" t="inlineStr">
        <is>
          <t>SR 1001</t>
        </is>
      </c>
      <c r="C363">
        <v>0.2</v>
      </c>
      <c r="D363" t="inlineStr">
        <is>
          <t>N</t>
        </is>
      </c>
      <c r="E363" t="inlineStr">
        <is>
          <t>SR 1675</t>
        </is>
      </c>
      <c r="F363" t="inlineStr">
        <is>
          <t>SR 1654</t>
        </is>
      </c>
      <c r="G363" t="inlineStr">
        <is>
          <t>SR 1001</t>
        </is>
      </c>
      <c r="H363">
        <v>6.165</v>
      </c>
      <c r="L363">
        <v>107329666</v>
      </c>
      <c r="M363" t="inlineStr">
        <is>
          <t>5/8/2023</t>
        </is>
      </c>
      <c r="N363">
        <v>21</v>
      </c>
      <c r="O363">
        <v>1</v>
      </c>
      <c r="P363">
        <v>0</v>
      </c>
      <c r="Q363">
        <v>1</v>
      </c>
      <c r="R363" t="inlineStr">
        <is>
          <t>O</t>
        </is>
      </c>
    </row>
    <row r="364">
      <c r="A364" t="inlineStr">
        <is>
          <t>558</t>
        </is>
      </c>
      <c r="B364" t="inlineStr">
        <is>
          <t>SR 1001</t>
        </is>
      </c>
      <c r="C364">
        <v>0.2</v>
      </c>
      <c r="D364" t="inlineStr">
        <is>
          <t>N</t>
        </is>
      </c>
      <c r="E364" t="inlineStr">
        <is>
          <t>SR 1675</t>
        </is>
      </c>
      <c r="F364" t="inlineStr">
        <is>
          <t>GRASSY</t>
        </is>
      </c>
      <c r="G364" t="inlineStr">
        <is>
          <t>SR 1001</t>
        </is>
      </c>
      <c r="H364">
        <v>6.165</v>
      </c>
      <c r="L364">
        <v>105545920</v>
      </c>
      <c r="M364" t="inlineStr">
        <is>
          <t>7/18/2018</t>
        </is>
      </c>
      <c r="N364">
        <v>24</v>
      </c>
      <c r="O364">
        <v>1</v>
      </c>
      <c r="P364">
        <v>5</v>
      </c>
      <c r="Q364">
        <v>1</v>
      </c>
      <c r="R364" t="inlineStr">
        <is>
          <t>O</t>
        </is>
      </c>
    </row>
    <row r="365">
      <c r="A365" t="inlineStr">
        <is>
          <t>558</t>
        </is>
      </c>
      <c r="B365" t="inlineStr">
        <is>
          <t>LOVE MILL</t>
        </is>
      </c>
      <c r="C365">
        <v>0.21</v>
      </c>
      <c r="D365" t="inlineStr">
        <is>
          <t>NE</t>
        </is>
      </c>
      <c r="E365" t="inlineStr">
        <is>
          <t>BRASSWELL RUSHING</t>
        </is>
      </c>
      <c r="F365" t="inlineStr">
        <is>
          <t>GRASSY</t>
        </is>
      </c>
      <c r="G365" t="inlineStr">
        <is>
          <t>SR 1001</t>
        </is>
      </c>
      <c r="H365">
        <v>6.175</v>
      </c>
      <c r="L365">
        <v>104863234</v>
      </c>
      <c r="M365" t="inlineStr">
        <is>
          <t>9/23/2016</t>
        </is>
      </c>
      <c r="N365">
        <v>19</v>
      </c>
      <c r="O365">
        <v>1</v>
      </c>
      <c r="P365">
        <v>0</v>
      </c>
      <c r="Q365">
        <v>6</v>
      </c>
      <c r="R365" t="inlineStr">
        <is>
          <t>C</t>
        </is>
      </c>
    </row>
    <row r="366">
      <c r="A366" t="inlineStr">
        <is>
          <t>558</t>
        </is>
      </c>
      <c r="B366" t="inlineStr">
        <is>
          <t>SR 1001</t>
        </is>
      </c>
      <c r="C366">
        <v>0.0</v>
      </c>
      <c r="E366" t="inlineStr">
        <is>
          <t>SR 1654</t>
        </is>
      </c>
      <c r="F366" t="inlineStr">
        <is>
          <t>SR 1653</t>
        </is>
      </c>
      <c r="G366" t="inlineStr">
        <is>
          <t>SR 1001</t>
        </is>
      </c>
      <c r="H366">
        <v>6.231</v>
      </c>
      <c r="L366">
        <v>107363964</v>
      </c>
      <c r="M366" t="inlineStr">
        <is>
          <t>6/12/2023</t>
        </is>
      </c>
      <c r="N366">
        <v>21</v>
      </c>
      <c r="O366">
        <v>1</v>
      </c>
      <c r="P366">
        <v>8</v>
      </c>
      <c r="Q366">
        <v>1</v>
      </c>
      <c r="R366" t="inlineStr">
        <is>
          <t>O</t>
        </is>
      </c>
    </row>
    <row r="367">
      <c r="A367" t="inlineStr">
        <is>
          <t>558</t>
        </is>
      </c>
      <c r="B367" t="inlineStr">
        <is>
          <t>SR 1001</t>
        </is>
      </c>
      <c r="C367">
        <v>0.2</v>
      </c>
      <c r="D367" t="inlineStr">
        <is>
          <t>N</t>
        </is>
      </c>
      <c r="E367" t="inlineStr">
        <is>
          <t>SR 1654</t>
        </is>
      </c>
      <c r="F367" t="inlineStr">
        <is>
          <t>SR 1653</t>
        </is>
      </c>
      <c r="G367" t="inlineStr">
        <is>
          <t>SR 1001</t>
        </is>
      </c>
      <c r="H367">
        <v>6.431</v>
      </c>
      <c r="L367">
        <v>108050644</v>
      </c>
      <c r="M367" t="inlineStr">
        <is>
          <t>3/16/2025</t>
        </is>
      </c>
      <c r="N367">
        <v>19</v>
      </c>
      <c r="O367">
        <v>1</v>
      </c>
      <c r="P367">
        <v>0</v>
      </c>
      <c r="Q367">
        <v>1</v>
      </c>
      <c r="R367" t="inlineStr">
        <is>
          <t>O</t>
        </is>
      </c>
    </row>
    <row r="368">
      <c r="A368" t="inlineStr">
        <is>
          <t>0</t>
        </is>
      </c>
      <c r="B368" t="inlineStr">
        <is>
          <t>SR 1001</t>
        </is>
      </c>
      <c r="C368">
        <v>0.23</v>
      </c>
      <c r="D368" t="inlineStr">
        <is>
          <t>N</t>
        </is>
      </c>
      <c r="E368" t="inlineStr">
        <is>
          <t>SR 1654</t>
        </is>
      </c>
      <c r="F368" t="inlineStr">
        <is>
          <t>SR 1658</t>
        </is>
      </c>
      <c r="G368" t="inlineStr">
        <is>
          <t>SR 1001</t>
        </is>
      </c>
      <c r="H368">
        <v>6.461</v>
      </c>
      <c r="L368">
        <v>105156270</v>
      </c>
      <c r="M368" t="inlineStr">
        <is>
          <t>7/1/2017</t>
        </is>
      </c>
      <c r="N368">
        <v>18</v>
      </c>
      <c r="O368">
        <v>1</v>
      </c>
      <c r="P368">
        <v>0</v>
      </c>
      <c r="Q368">
        <v>3</v>
      </c>
      <c r="R368" t="inlineStr">
        <is>
          <t>C</t>
        </is>
      </c>
    </row>
    <row r="369">
      <c r="A369" t="inlineStr">
        <is>
          <t>0</t>
        </is>
      </c>
      <c r="B369" t="inlineStr">
        <is>
          <t>SR 1001</t>
        </is>
      </c>
      <c r="C369">
        <v>0.22</v>
      </c>
      <c r="D369" t="inlineStr">
        <is>
          <t>SE</t>
        </is>
      </c>
      <c r="E369" t="inlineStr">
        <is>
          <t>SR 1653</t>
        </is>
      </c>
      <c r="F369" t="inlineStr">
        <is>
          <t>SR 1654</t>
        </is>
      </c>
      <c r="G369" t="inlineStr">
        <is>
          <t>SR 1001</t>
        </is>
      </c>
      <c r="H369">
        <v>6.47</v>
      </c>
      <c r="L369">
        <v>108275804</v>
      </c>
      <c r="M369" t="inlineStr">
        <is>
          <t>10/19/2025</t>
        </is>
      </c>
      <c r="N369">
        <v>19</v>
      </c>
      <c r="O369">
        <v>1</v>
      </c>
      <c r="P369">
        <v>0</v>
      </c>
      <c r="Q369">
        <v>1</v>
      </c>
      <c r="R369" t="inlineStr">
        <is>
          <t>O</t>
        </is>
      </c>
    </row>
    <row r="370">
      <c r="A370" t="inlineStr">
        <is>
          <t>0</t>
        </is>
      </c>
      <c r="B370" t="inlineStr">
        <is>
          <t>SR 1001</t>
        </is>
      </c>
      <c r="C370">
        <v>0.2</v>
      </c>
      <c r="D370" t="inlineStr">
        <is>
          <t>SW</t>
        </is>
      </c>
      <c r="E370" t="inlineStr">
        <is>
          <t>SR 1653</t>
        </is>
      </c>
      <c r="F370" t="inlineStr">
        <is>
          <t>SR 1654</t>
        </is>
      </c>
      <c r="G370" t="inlineStr">
        <is>
          <t>SR 1001</t>
        </is>
      </c>
      <c r="H370">
        <v>6.49</v>
      </c>
      <c r="L370">
        <v>105046828</v>
      </c>
      <c r="M370" t="inlineStr">
        <is>
          <t>3/20/2017</t>
        </is>
      </c>
      <c r="N370">
        <v>19</v>
      </c>
      <c r="O370">
        <v>1</v>
      </c>
      <c r="P370">
        <v>0</v>
      </c>
      <c r="Q370">
        <v>1</v>
      </c>
    </row>
    <row r="371">
      <c r="A371" t="inlineStr">
        <is>
          <t>558</t>
        </is>
      </c>
      <c r="B371" t="inlineStr">
        <is>
          <t>LOVE MILL</t>
        </is>
      </c>
      <c r="C371">
        <v>0.0</v>
      </c>
      <c r="E371" t="inlineStr">
        <is>
          <t>ZEBULON WILLIAMS</t>
        </is>
      </c>
      <c r="F371" t="inlineStr">
        <is>
          <t>*LCL AGR NANCE ROAD</t>
        </is>
      </c>
      <c r="G371" t="inlineStr">
        <is>
          <t>SR 1001</t>
        </is>
      </c>
      <c r="H371">
        <v>6.69</v>
      </c>
      <c r="L371">
        <v>107319519</v>
      </c>
      <c r="M371" t="inlineStr">
        <is>
          <t>3/20/2023</t>
        </is>
      </c>
      <c r="N371">
        <v>23</v>
      </c>
      <c r="O371">
        <v>1</v>
      </c>
      <c r="P371">
        <v>8</v>
      </c>
      <c r="Q371">
        <v>1</v>
      </c>
      <c r="R371" t="inlineStr">
        <is>
          <t>C</t>
        </is>
      </c>
    </row>
    <row r="372">
      <c r="A372" t="inlineStr">
        <is>
          <t>0</t>
        </is>
      </c>
      <c r="B372" t="inlineStr">
        <is>
          <t>SR 1001</t>
        </is>
      </c>
      <c r="C372">
        <v>0.0</v>
      </c>
      <c r="E372" t="inlineStr">
        <is>
          <t>SR 1653</t>
        </is>
      </c>
      <c r="F372" t="inlineStr">
        <is>
          <t>SR 1654</t>
        </is>
      </c>
      <c r="G372" t="inlineStr">
        <is>
          <t>SR 1001</t>
        </is>
      </c>
      <c r="H372">
        <v>6.69</v>
      </c>
      <c r="L372">
        <v>106620818</v>
      </c>
      <c r="M372" t="inlineStr">
        <is>
          <t>6/25/2021</t>
        </is>
      </c>
      <c r="N372">
        <v>24</v>
      </c>
      <c r="O372">
        <v>1</v>
      </c>
      <c r="P372">
        <v>8</v>
      </c>
      <c r="Q372">
        <v>1</v>
      </c>
      <c r="R372" t="inlineStr">
        <is>
          <t>B</t>
        </is>
      </c>
    </row>
    <row r="373">
      <c r="A373" t="inlineStr">
        <is>
          <t>558</t>
        </is>
      </c>
      <c r="B373" t="inlineStr">
        <is>
          <t>SR 1001</t>
        </is>
      </c>
      <c r="C373">
        <v>0.002</v>
      </c>
      <c r="D373" t="inlineStr">
        <is>
          <t>N</t>
        </is>
      </c>
      <c r="E373" t="inlineStr">
        <is>
          <t>SR 1653</t>
        </is>
      </c>
      <c r="F373" t="inlineStr">
        <is>
          <t>SR 1655</t>
        </is>
      </c>
      <c r="G373" t="inlineStr">
        <is>
          <t>SR 1001</t>
        </is>
      </c>
      <c r="H373">
        <v>6.692</v>
      </c>
      <c r="L373">
        <v>107684157</v>
      </c>
      <c r="M373" t="inlineStr">
        <is>
          <t>4/11/2024</t>
        </is>
      </c>
      <c r="N373">
        <v>21</v>
      </c>
      <c r="O373">
        <v>1</v>
      </c>
      <c r="P373">
        <v>5</v>
      </c>
      <c r="Q373">
        <v>1</v>
      </c>
      <c r="R373" t="inlineStr">
        <is>
          <t>O</t>
        </is>
      </c>
    </row>
    <row r="374">
      <c r="A374" t="inlineStr">
        <is>
          <t>558</t>
        </is>
      </c>
      <c r="B374" t="inlineStr">
        <is>
          <t>SR 1001</t>
        </is>
      </c>
      <c r="C374">
        <v>0.016</v>
      </c>
      <c r="D374" t="inlineStr">
        <is>
          <t>N</t>
        </is>
      </c>
      <c r="E374" t="inlineStr">
        <is>
          <t>SR 1653</t>
        </is>
      </c>
      <c r="F374" t="inlineStr">
        <is>
          <t>NC 218</t>
        </is>
      </c>
      <c r="G374" t="inlineStr">
        <is>
          <t>SR 1001</t>
        </is>
      </c>
      <c r="H374">
        <v>6.706</v>
      </c>
      <c r="L374">
        <v>106263795</v>
      </c>
      <c r="M374" t="inlineStr">
        <is>
          <t>6/30/2020</t>
        </is>
      </c>
      <c r="N374">
        <v>19</v>
      </c>
      <c r="O374">
        <v>1</v>
      </c>
      <c r="P374">
        <v>0</v>
      </c>
      <c r="Q374">
        <v>1</v>
      </c>
      <c r="R374" t="inlineStr">
        <is>
          <t>O</t>
        </is>
      </c>
    </row>
    <row r="375">
      <c r="A375" t="inlineStr">
        <is>
          <t>0</t>
        </is>
      </c>
      <c r="B375" t="inlineStr">
        <is>
          <t>SR 1001</t>
        </is>
      </c>
      <c r="C375">
        <v>0.5</v>
      </c>
      <c r="D375" t="inlineStr">
        <is>
          <t>N</t>
        </is>
      </c>
      <c r="E375" t="inlineStr">
        <is>
          <t>AGR NANCE</t>
        </is>
      </c>
      <c r="F375" t="inlineStr">
        <is>
          <t>ZEBULON WILLIAMS</t>
        </is>
      </c>
      <c r="G375" t="inlineStr">
        <is>
          <t>SR 1001</t>
        </is>
      </c>
      <c r="H375">
        <v>6.731</v>
      </c>
      <c r="L375">
        <v>105635077</v>
      </c>
      <c r="M375" t="inlineStr">
        <is>
          <t>10/11/2018</t>
        </is>
      </c>
      <c r="N375">
        <v>17</v>
      </c>
      <c r="O375">
        <v>1</v>
      </c>
      <c r="P375">
        <v>0</v>
      </c>
      <c r="Q375">
        <v>5</v>
      </c>
      <c r="R375" t="inlineStr">
        <is>
          <t>O</t>
        </is>
      </c>
    </row>
    <row r="376">
      <c r="A376" t="inlineStr">
        <is>
          <t>558</t>
        </is>
      </c>
      <c r="B376" t="inlineStr">
        <is>
          <t>LOVE MILL</t>
        </is>
      </c>
      <c r="C376">
        <v>0.058</v>
      </c>
      <c r="D376" t="inlineStr">
        <is>
          <t>N</t>
        </is>
      </c>
      <c r="E376" t="inlineStr">
        <is>
          <t>ZEBULON WILLIAMS</t>
        </is>
      </c>
      <c r="F376" t="inlineStr">
        <is>
          <t>HAGLER</t>
        </is>
      </c>
      <c r="G376" t="inlineStr">
        <is>
          <t>SR 1001</t>
        </is>
      </c>
      <c r="H376">
        <v>6.748</v>
      </c>
      <c r="L376">
        <v>107006747</v>
      </c>
      <c r="M376" t="inlineStr">
        <is>
          <t>7/5/2022</t>
        </is>
      </c>
      <c r="N376">
        <v>29</v>
      </c>
      <c r="O376">
        <v>1</v>
      </c>
      <c r="P376">
        <v>0</v>
      </c>
      <c r="Q376">
        <v>1</v>
      </c>
      <c r="R376" t="inlineStr">
        <is>
          <t>C</t>
        </is>
      </c>
    </row>
    <row r="377">
      <c r="A377" t="inlineStr">
        <is>
          <t>637</t>
        </is>
      </c>
      <c r="B377" t="inlineStr">
        <is>
          <t>SR 1001</t>
        </is>
      </c>
      <c r="C377">
        <v>0.9</v>
      </c>
      <c r="D377" t="inlineStr">
        <is>
          <t>N</t>
        </is>
      </c>
      <c r="E377" t="inlineStr">
        <is>
          <t>SR 1654</t>
        </is>
      </c>
      <c r="F377" t="inlineStr">
        <is>
          <t>SR 1610</t>
        </is>
      </c>
      <c r="G377" t="inlineStr">
        <is>
          <t>SR 1001</t>
        </is>
      </c>
      <c r="H377">
        <v>7.131</v>
      </c>
      <c r="L377">
        <v>105778686</v>
      </c>
      <c r="M377" t="inlineStr">
        <is>
          <t>2/11/2019</t>
        </is>
      </c>
      <c r="N377">
        <v>5</v>
      </c>
      <c r="O377">
        <v>2</v>
      </c>
      <c r="P377">
        <v>0</v>
      </c>
      <c r="Q377">
        <v>1</v>
      </c>
      <c r="R377" t="inlineStr">
        <is>
          <t>C</t>
        </is>
      </c>
    </row>
    <row r="378">
      <c r="A378" t="inlineStr">
        <is>
          <t>558</t>
        </is>
      </c>
      <c r="B378" t="inlineStr">
        <is>
          <t>SR 1001</t>
        </is>
      </c>
      <c r="C378">
        <v>0.0</v>
      </c>
      <c r="E378" t="inlineStr">
        <is>
          <t>SR 1655</t>
        </is>
      </c>
      <c r="F378" t="inlineStr">
        <is>
          <t>SR 1656</t>
        </is>
      </c>
      <c r="G378" t="inlineStr">
        <is>
          <t>SR 1001</t>
        </is>
      </c>
      <c r="H378">
        <v>7.256</v>
      </c>
      <c r="L378">
        <v>107575087</v>
      </c>
      <c r="M378" t="inlineStr">
        <is>
          <t>12/22/2023</t>
        </is>
      </c>
      <c r="N378">
        <v>24</v>
      </c>
      <c r="O378">
        <v>1</v>
      </c>
      <c r="P378">
        <v>8</v>
      </c>
      <c r="Q378">
        <v>5</v>
      </c>
      <c r="R378" t="inlineStr">
        <is>
          <t>O</t>
        </is>
      </c>
    </row>
    <row r="379">
      <c r="A379" t="inlineStr">
        <is>
          <t>0</t>
        </is>
      </c>
      <c r="B379" t="inlineStr">
        <is>
          <t>SR 1001</t>
        </is>
      </c>
      <c r="C379">
        <v>0.0</v>
      </c>
      <c r="E379" t="inlineStr">
        <is>
          <t>SR 1655</t>
        </is>
      </c>
      <c r="F379" t="inlineStr">
        <is>
          <t>SR 1656</t>
        </is>
      </c>
      <c r="G379" t="inlineStr">
        <is>
          <t>SR 1001</t>
        </is>
      </c>
      <c r="H379">
        <v>7.256</v>
      </c>
      <c r="L379">
        <v>107127894</v>
      </c>
      <c r="M379" t="inlineStr">
        <is>
          <t>10/28/2022</t>
        </is>
      </c>
      <c r="N379">
        <v>19</v>
      </c>
      <c r="O379">
        <v>1</v>
      </c>
      <c r="P379">
        <v>0</v>
      </c>
      <c r="Q379">
        <v>1</v>
      </c>
      <c r="R379" t="inlineStr">
        <is>
          <t>C</t>
        </is>
      </c>
    </row>
    <row r="380">
      <c r="A380" t="inlineStr">
        <is>
          <t>0</t>
        </is>
      </c>
      <c r="B380" t="inlineStr">
        <is>
          <t>SR 1001</t>
        </is>
      </c>
      <c r="C380">
        <v>0.0</v>
      </c>
      <c r="E380" t="inlineStr">
        <is>
          <t>SR 1655</t>
        </is>
      </c>
      <c r="F380" t="inlineStr">
        <is>
          <t>SR 1656</t>
        </is>
      </c>
      <c r="G380" t="inlineStr">
        <is>
          <t>SR 1001</t>
        </is>
      </c>
      <c r="H380">
        <v>7.256</v>
      </c>
      <c r="L380">
        <v>105344475</v>
      </c>
      <c r="M380" t="inlineStr">
        <is>
          <t>1/6/2018</t>
        </is>
      </c>
      <c r="N380">
        <v>27</v>
      </c>
      <c r="O380">
        <v>1</v>
      </c>
      <c r="P380">
        <v>8</v>
      </c>
      <c r="Q380">
        <v>1</v>
      </c>
      <c r="R380" t="inlineStr">
        <is>
          <t>C</t>
        </is>
      </c>
    </row>
    <row r="381">
      <c r="A381" t="inlineStr">
        <is>
          <t>0</t>
        </is>
      </c>
      <c r="B381" t="inlineStr">
        <is>
          <t>SR 1001</t>
        </is>
      </c>
      <c r="C381">
        <v>0.0</v>
      </c>
      <c r="E381" t="inlineStr">
        <is>
          <t>SR 1656</t>
        </is>
      </c>
      <c r="F381" t="inlineStr">
        <is>
          <t>SR 1655</t>
        </is>
      </c>
      <c r="G381" t="inlineStr">
        <is>
          <t>SR 1001</t>
        </is>
      </c>
      <c r="H381">
        <v>7.279</v>
      </c>
      <c r="L381">
        <v>106846006</v>
      </c>
      <c r="M381" t="inlineStr">
        <is>
          <t>1/27/2022</t>
        </is>
      </c>
      <c r="N381">
        <v>24</v>
      </c>
      <c r="O381">
        <v>1</v>
      </c>
      <c r="P381">
        <v>8</v>
      </c>
      <c r="Q381">
        <v>1</v>
      </c>
      <c r="R381" t="inlineStr">
        <is>
          <t>O</t>
        </is>
      </c>
    </row>
    <row r="382">
      <c r="A382" t="inlineStr">
        <is>
          <t>0</t>
        </is>
      </c>
      <c r="B382" t="inlineStr">
        <is>
          <t>SR 1001</t>
        </is>
      </c>
      <c r="C382">
        <v>0.019</v>
      </c>
      <c r="D382" t="inlineStr">
        <is>
          <t>N</t>
        </is>
      </c>
      <c r="E382" t="inlineStr">
        <is>
          <t>SR 1656</t>
        </is>
      </c>
      <c r="F382" t="inlineStr">
        <is>
          <t>NC 218</t>
        </is>
      </c>
      <c r="G382" t="inlineStr">
        <is>
          <t>SR 1001</t>
        </is>
      </c>
      <c r="H382">
        <v>7.298</v>
      </c>
      <c r="L382">
        <v>105308467</v>
      </c>
      <c r="M382" t="inlineStr">
        <is>
          <t>12/3/2017</t>
        </is>
      </c>
      <c r="N382">
        <v>17</v>
      </c>
      <c r="O382">
        <v>1</v>
      </c>
      <c r="P382">
        <v>8</v>
      </c>
      <c r="Q382">
        <v>5</v>
      </c>
      <c r="R382" t="inlineStr">
        <is>
          <t>O</t>
        </is>
      </c>
    </row>
    <row r="383">
      <c r="A383" t="inlineStr">
        <is>
          <t>0</t>
        </is>
      </c>
      <c r="B383" t="inlineStr">
        <is>
          <t>SR 1001</t>
        </is>
      </c>
      <c r="C383">
        <v>0.12</v>
      </c>
      <c r="D383" t="inlineStr">
        <is>
          <t>N</t>
        </is>
      </c>
      <c r="E383" t="inlineStr">
        <is>
          <t>SR 1656</t>
        </is>
      </c>
      <c r="F383" t="inlineStr">
        <is>
          <t>NC 218</t>
        </is>
      </c>
      <c r="G383" t="inlineStr">
        <is>
          <t>SR 1001</t>
        </is>
      </c>
      <c r="H383">
        <v>7.399</v>
      </c>
      <c r="L383">
        <v>108066713</v>
      </c>
      <c r="M383" t="inlineStr">
        <is>
          <t>3/31/2025</t>
        </is>
      </c>
      <c r="N383">
        <v>19</v>
      </c>
      <c r="O383">
        <v>1</v>
      </c>
      <c r="P383">
        <v>0</v>
      </c>
      <c r="Q383">
        <v>5</v>
      </c>
      <c r="R383" t="inlineStr">
        <is>
          <t>C</t>
        </is>
      </c>
    </row>
    <row r="384">
      <c r="A384" t="inlineStr">
        <is>
          <t>0</t>
        </is>
      </c>
      <c r="B384" t="inlineStr">
        <is>
          <t>SR 1001</t>
        </is>
      </c>
      <c r="C384">
        <v>0.4</v>
      </c>
      <c r="D384" t="inlineStr">
        <is>
          <t>S</t>
        </is>
      </c>
      <c r="E384" t="inlineStr">
        <is>
          <t>NC 218</t>
        </is>
      </c>
      <c r="F384" t="inlineStr">
        <is>
          <t>SR 1657</t>
        </is>
      </c>
      <c r="G384" t="inlineStr">
        <is>
          <t>SR 1001</t>
        </is>
      </c>
      <c r="H384">
        <v>7.737</v>
      </c>
      <c r="L384">
        <v>106117344</v>
      </c>
      <c r="M384" t="inlineStr">
        <is>
          <t>1/6/2020</t>
        </is>
      </c>
      <c r="N384">
        <v>19</v>
      </c>
      <c r="O384">
        <v>1</v>
      </c>
      <c r="P384">
        <v>0</v>
      </c>
      <c r="Q384">
        <v>5</v>
      </c>
      <c r="R384" t="inlineStr">
        <is>
          <t>O</t>
        </is>
      </c>
    </row>
    <row r="385">
      <c r="A385" t="inlineStr">
        <is>
          <t>0</t>
        </is>
      </c>
      <c r="B385" t="inlineStr">
        <is>
          <t>LOVE MILL</t>
        </is>
      </c>
      <c r="C385">
        <v>1.2</v>
      </c>
      <c r="D385" t="inlineStr">
        <is>
          <t>N</t>
        </is>
      </c>
      <c r="E385" t="inlineStr">
        <is>
          <t>ZEBULON WILLIAMS</t>
        </is>
      </c>
      <c r="F385" t="inlineStr">
        <is>
          <t>CARRIKER</t>
        </is>
      </c>
      <c r="G385" t="inlineStr">
        <is>
          <t>SR 1001</t>
        </is>
      </c>
      <c r="H385">
        <v>7.89</v>
      </c>
      <c r="L385">
        <v>107535604</v>
      </c>
      <c r="M385" t="inlineStr">
        <is>
          <t>11/21/2023</t>
        </is>
      </c>
      <c r="N385">
        <v>17</v>
      </c>
      <c r="O385">
        <v>2</v>
      </c>
      <c r="P385">
        <v>0</v>
      </c>
      <c r="Q385">
        <v>5</v>
      </c>
      <c r="R385" t="inlineStr">
        <is>
          <t>O</t>
        </is>
      </c>
    </row>
    <row r="386">
      <c r="A386" t="inlineStr">
        <is>
          <t>558</t>
        </is>
      </c>
      <c r="B386" t="inlineStr">
        <is>
          <t>LOVE MILL</t>
        </is>
      </c>
      <c r="C386">
        <v>0.0</v>
      </c>
      <c r="E386" t="inlineStr">
        <is>
          <t>NC 218</t>
        </is>
      </c>
      <c r="F386" t="inlineStr">
        <is>
          <t>HAGLER</t>
        </is>
      </c>
      <c r="G386" t="inlineStr">
        <is>
          <t>SR 1001</t>
        </is>
      </c>
      <c r="H386">
        <v>8.137</v>
      </c>
      <c r="L386">
        <v>105472692</v>
      </c>
      <c r="M386" t="inlineStr">
        <is>
          <t>5/4/2018</t>
        </is>
      </c>
      <c r="N386">
        <v>21</v>
      </c>
      <c r="O386">
        <v>1</v>
      </c>
      <c r="P386">
        <v>7</v>
      </c>
      <c r="Q386">
        <v>1</v>
      </c>
      <c r="R386" t="inlineStr">
        <is>
          <t>O</t>
        </is>
      </c>
    </row>
    <row r="387">
      <c r="A387" t="inlineStr">
        <is>
          <t>0</t>
        </is>
      </c>
      <c r="B387" t="inlineStr">
        <is>
          <t>LOVE MILL</t>
        </is>
      </c>
      <c r="C387">
        <v>0.0</v>
      </c>
      <c r="E387" t="inlineStr">
        <is>
          <t>NC 218</t>
        </is>
      </c>
      <c r="G387" t="inlineStr">
        <is>
          <t>SR 1001</t>
        </is>
      </c>
      <c r="H387">
        <v>8.137</v>
      </c>
      <c r="L387">
        <v>106117028</v>
      </c>
      <c r="M387" t="inlineStr">
        <is>
          <t>1/3/2020</t>
        </is>
      </c>
      <c r="N387">
        <v>30</v>
      </c>
      <c r="O387">
        <v>2</v>
      </c>
      <c r="P387">
        <v>7</v>
      </c>
      <c r="Q387">
        <v>1</v>
      </c>
      <c r="R387" t="inlineStr">
        <is>
          <t>C</t>
        </is>
      </c>
    </row>
    <row r="388">
      <c r="A388" t="inlineStr">
        <is>
          <t>0</t>
        </is>
      </c>
      <c r="B388" t="inlineStr">
        <is>
          <t>SR 1001</t>
        </is>
      </c>
      <c r="C388">
        <v>0.0</v>
      </c>
      <c r="E388" t="inlineStr">
        <is>
          <t>NC 218</t>
        </is>
      </c>
      <c r="F388" t="inlineStr">
        <is>
          <t>SR 1639</t>
        </is>
      </c>
      <c r="G388" t="inlineStr">
        <is>
          <t>SR 1001</t>
        </is>
      </c>
      <c r="H388">
        <v>8.137</v>
      </c>
      <c r="L388">
        <v>107423069</v>
      </c>
      <c r="M388" t="inlineStr">
        <is>
          <t>8/11/2023</t>
        </is>
      </c>
      <c r="N388">
        <v>30</v>
      </c>
      <c r="O388">
        <v>1</v>
      </c>
      <c r="P388">
        <v>0</v>
      </c>
      <c r="Q388">
        <v>1</v>
      </c>
      <c r="R388" t="inlineStr">
        <is>
          <t>O</t>
        </is>
      </c>
    </row>
    <row r="389">
      <c r="A389" t="inlineStr">
        <is>
          <t>0</t>
        </is>
      </c>
      <c r="B389" t="inlineStr">
        <is>
          <t>SR 1001</t>
        </is>
      </c>
      <c r="C389">
        <v>0.0</v>
      </c>
      <c r="E389" t="inlineStr">
        <is>
          <t>NC 218</t>
        </is>
      </c>
      <c r="F389" t="inlineStr">
        <is>
          <t>NC 200</t>
        </is>
      </c>
      <c r="G389" t="inlineStr">
        <is>
          <t>SR 1001</t>
        </is>
      </c>
      <c r="H389">
        <v>8.137</v>
      </c>
      <c r="L389">
        <v>107384204</v>
      </c>
      <c r="M389" t="inlineStr">
        <is>
          <t>6/30/2023</t>
        </is>
      </c>
      <c r="N389">
        <v>30</v>
      </c>
      <c r="O389">
        <v>1</v>
      </c>
      <c r="P389">
        <v>7</v>
      </c>
      <c r="Q389">
        <v>5</v>
      </c>
      <c r="R389" t="inlineStr">
        <is>
          <t>C</t>
        </is>
      </c>
    </row>
    <row r="390">
      <c r="A390" t="inlineStr">
        <is>
          <t>0</t>
        </is>
      </c>
      <c r="B390" t="inlineStr">
        <is>
          <t>SR 1001</t>
        </is>
      </c>
      <c r="C390">
        <v>0.0</v>
      </c>
      <c r="E390" t="inlineStr">
        <is>
          <t>NC 218</t>
        </is>
      </c>
      <c r="F390" t="inlineStr">
        <is>
          <t>SR 1639</t>
        </is>
      </c>
      <c r="G390" t="inlineStr">
        <is>
          <t>SR 1001</t>
        </is>
      </c>
      <c r="H390">
        <v>8.137</v>
      </c>
      <c r="L390">
        <v>107214357</v>
      </c>
      <c r="M390" t="inlineStr">
        <is>
          <t>1/15/2023</t>
        </is>
      </c>
      <c r="N390">
        <v>30</v>
      </c>
      <c r="O390">
        <v>1</v>
      </c>
      <c r="P390">
        <v>7</v>
      </c>
      <c r="Q390">
        <v>1</v>
      </c>
      <c r="R390" t="inlineStr">
        <is>
          <t>B</t>
        </is>
      </c>
    </row>
    <row r="391">
      <c r="A391" t="inlineStr">
        <is>
          <t>0</t>
        </is>
      </c>
      <c r="B391" t="inlineStr">
        <is>
          <t>SR 1001</t>
        </is>
      </c>
      <c r="C391">
        <v>0.0</v>
      </c>
      <c r="E391" t="inlineStr">
        <is>
          <t>NC 218</t>
        </is>
      </c>
      <c r="F391" t="inlineStr">
        <is>
          <t>SR 1655</t>
        </is>
      </c>
      <c r="G391" t="inlineStr">
        <is>
          <t>SR 1001</t>
        </is>
      </c>
      <c r="H391">
        <v>8.137</v>
      </c>
      <c r="L391">
        <v>105414167</v>
      </c>
      <c r="M391" t="inlineStr">
        <is>
          <t>2/23/2018</t>
        </is>
      </c>
      <c r="N391">
        <v>23</v>
      </c>
      <c r="O391">
        <v>1</v>
      </c>
      <c r="P391">
        <v>7</v>
      </c>
      <c r="Q391">
        <v>5</v>
      </c>
      <c r="R391" t="inlineStr">
        <is>
          <t>O</t>
        </is>
      </c>
    </row>
    <row r="392">
      <c r="A392" t="inlineStr">
        <is>
          <t>0</t>
        </is>
      </c>
      <c r="B392" t="inlineStr">
        <is>
          <t>SR 1001</t>
        </is>
      </c>
      <c r="C392">
        <v>0.0</v>
      </c>
      <c r="E392" t="inlineStr">
        <is>
          <t>NC 218</t>
        </is>
      </c>
      <c r="F392" t="inlineStr">
        <is>
          <t>SR 1547</t>
        </is>
      </c>
      <c r="G392" t="inlineStr">
        <is>
          <t>SR 1001</t>
        </is>
      </c>
      <c r="H392">
        <v>8.137</v>
      </c>
      <c r="L392">
        <v>107456725</v>
      </c>
      <c r="M392" t="inlineStr">
        <is>
          <t>9/12/2023</t>
        </is>
      </c>
      <c r="N392">
        <v>30</v>
      </c>
      <c r="O392">
        <v>1</v>
      </c>
      <c r="P392">
        <v>7</v>
      </c>
      <c r="Q392">
        <v>1</v>
      </c>
      <c r="R392" t="inlineStr">
        <is>
          <t>C</t>
        </is>
      </c>
    </row>
    <row r="393">
      <c r="A393" t="inlineStr">
        <is>
          <t>558</t>
        </is>
      </c>
      <c r="B393" t="inlineStr">
        <is>
          <t>SR 1001</t>
        </is>
      </c>
      <c r="C393">
        <v>0.3</v>
      </c>
      <c r="D393" t="inlineStr">
        <is>
          <t>N</t>
        </is>
      </c>
      <c r="E393" t="inlineStr">
        <is>
          <t>NC 218</t>
        </is>
      </c>
      <c r="F393" t="inlineStr">
        <is>
          <t>SR 1547</t>
        </is>
      </c>
      <c r="G393" t="inlineStr">
        <is>
          <t>SR 1001</t>
        </is>
      </c>
      <c r="H393">
        <v>8.437</v>
      </c>
      <c r="L393">
        <v>105838344</v>
      </c>
      <c r="M393" t="inlineStr">
        <is>
          <t>4/18/2019</t>
        </is>
      </c>
      <c r="N393">
        <v>17</v>
      </c>
      <c r="O393">
        <v>1</v>
      </c>
      <c r="P393">
        <v>0</v>
      </c>
      <c r="Q393">
        <v>5</v>
      </c>
      <c r="R393" t="inlineStr">
        <is>
          <t>O</t>
        </is>
      </c>
    </row>
    <row r="394">
      <c r="A394" t="inlineStr">
        <is>
          <t>0</t>
        </is>
      </c>
      <c r="B394" t="inlineStr">
        <is>
          <t>SR 1001</t>
        </is>
      </c>
      <c r="C394">
        <v>0.0</v>
      </c>
      <c r="E394" t="inlineStr">
        <is>
          <t>SR 1639</t>
        </is>
      </c>
      <c r="F394" t="inlineStr">
        <is>
          <t>NC 218</t>
        </is>
      </c>
      <c r="G394" t="inlineStr">
        <is>
          <t>SR 1001</t>
        </is>
      </c>
      <c r="H394">
        <v>8.536</v>
      </c>
      <c r="L394">
        <v>108145851</v>
      </c>
      <c r="M394" t="inlineStr">
        <is>
          <t>6/14/2025</t>
        </is>
      </c>
      <c r="N394">
        <v>17</v>
      </c>
      <c r="O394">
        <v>1</v>
      </c>
      <c r="P394">
        <v>0</v>
      </c>
      <c r="Q394">
        <v>5</v>
      </c>
      <c r="R394" t="inlineStr">
        <is>
          <t>O</t>
        </is>
      </c>
    </row>
    <row r="395">
      <c r="A395" t="inlineStr">
        <is>
          <t>0</t>
        </is>
      </c>
      <c r="B395" t="inlineStr">
        <is>
          <t>SR 1001</t>
        </is>
      </c>
      <c r="C395">
        <v>0.0</v>
      </c>
      <c r="E395" t="inlineStr">
        <is>
          <t>SR 1639</t>
        </is>
      </c>
      <c r="F395" t="inlineStr">
        <is>
          <t>NC 218</t>
        </is>
      </c>
      <c r="G395" t="inlineStr">
        <is>
          <t>SR 1001</t>
        </is>
      </c>
      <c r="H395">
        <v>8.536</v>
      </c>
      <c r="L395">
        <v>107852234</v>
      </c>
      <c r="M395" t="inlineStr">
        <is>
          <t>9/14/2024</t>
        </is>
      </c>
      <c r="N395">
        <v>14</v>
      </c>
      <c r="O395">
        <v>1</v>
      </c>
      <c r="P395">
        <v>0</v>
      </c>
      <c r="Q395">
        <v>5</v>
      </c>
      <c r="R395" t="inlineStr">
        <is>
          <t>A</t>
        </is>
      </c>
    </row>
    <row r="396">
      <c r="A396" t="inlineStr">
        <is>
          <t>637</t>
        </is>
      </c>
      <c r="B396" t="inlineStr">
        <is>
          <t>SR 1001</t>
        </is>
      </c>
      <c r="C396">
        <v>0.1</v>
      </c>
      <c r="D396" t="inlineStr">
        <is>
          <t>S</t>
        </is>
      </c>
      <c r="E396" t="inlineStr">
        <is>
          <t>SR 1663</t>
        </is>
      </c>
      <c r="F396" t="inlineStr">
        <is>
          <t>SR 1639</t>
        </is>
      </c>
      <c r="G396" t="inlineStr">
        <is>
          <t>SR 1001</t>
        </is>
      </c>
      <c r="H396">
        <v>8.549</v>
      </c>
      <c r="L396">
        <v>106934042</v>
      </c>
      <c r="M396" t="inlineStr">
        <is>
          <t>4/25/2022</t>
        </is>
      </c>
      <c r="N396">
        <v>5</v>
      </c>
      <c r="O396">
        <v>1</v>
      </c>
      <c r="P396">
        <v>0</v>
      </c>
      <c r="Q396">
        <v>1</v>
      </c>
      <c r="R396" t="inlineStr">
        <is>
          <t>C</t>
        </is>
      </c>
    </row>
    <row r="397">
      <c r="A397" t="inlineStr">
        <is>
          <t>650</t>
        </is>
      </c>
      <c r="B397" t="inlineStr">
        <is>
          <t>LOVE MILL</t>
        </is>
      </c>
      <c r="C397">
        <v>0.026</v>
      </c>
      <c r="D397" t="inlineStr">
        <is>
          <t>S</t>
        </is>
      </c>
      <c r="E397" t="inlineStr">
        <is>
          <t>GREEN</t>
        </is>
      </c>
      <c r="F397" t="inlineStr">
        <is>
          <t>SANTA CLAUS</t>
        </is>
      </c>
      <c r="G397" t="inlineStr">
        <is>
          <t>SR 1001</t>
        </is>
      </c>
      <c r="H397">
        <v>8.623</v>
      </c>
      <c r="L397">
        <v>106457925</v>
      </c>
      <c r="M397" t="inlineStr">
        <is>
          <t>1/7/2021</t>
        </is>
      </c>
      <c r="N397">
        <v>5</v>
      </c>
      <c r="O397">
        <v>1</v>
      </c>
      <c r="P397">
        <v>0</v>
      </c>
      <c r="Q397">
        <v>1</v>
      </c>
      <c r="R397" t="inlineStr">
        <is>
          <t>C</t>
        </is>
      </c>
    </row>
    <row r="398">
      <c r="A398" t="inlineStr">
        <is>
          <t>650</t>
        </is>
      </c>
      <c r="B398" t="inlineStr">
        <is>
          <t>SR 1001</t>
        </is>
      </c>
      <c r="C398">
        <v>0.5</v>
      </c>
      <c r="D398" t="inlineStr">
        <is>
          <t>N</t>
        </is>
      </c>
      <c r="E398" t="inlineStr">
        <is>
          <t>NC 218</t>
        </is>
      </c>
      <c r="F398" t="inlineStr">
        <is>
          <t>SR 1639</t>
        </is>
      </c>
      <c r="G398" t="inlineStr">
        <is>
          <t>SR 1001</t>
        </is>
      </c>
      <c r="H398">
        <v>8.637</v>
      </c>
      <c r="L398">
        <v>104740509</v>
      </c>
      <c r="M398" t="inlineStr">
        <is>
          <t>5/9/2016</t>
        </is>
      </c>
      <c r="N398">
        <v>1</v>
      </c>
      <c r="O398">
        <v>1</v>
      </c>
      <c r="P398">
        <v>0</v>
      </c>
      <c r="Q398">
        <v>1</v>
      </c>
      <c r="R398" t="inlineStr">
        <is>
          <t>O</t>
        </is>
      </c>
    </row>
    <row r="399">
      <c r="A399" t="inlineStr">
        <is>
          <t>0</t>
        </is>
      </c>
      <c r="B399" t="inlineStr">
        <is>
          <t>SR 1001</t>
        </is>
      </c>
      <c r="C399">
        <v>0.009</v>
      </c>
      <c r="D399" t="inlineStr">
        <is>
          <t>E</t>
        </is>
      </c>
      <c r="E399" t="inlineStr">
        <is>
          <t>SR 1663</t>
        </is>
      </c>
      <c r="F399" t="inlineStr">
        <is>
          <t>NC 218</t>
        </is>
      </c>
      <c r="G399" t="inlineStr">
        <is>
          <t>SR 1001</t>
        </is>
      </c>
      <c r="H399">
        <v>8.658</v>
      </c>
      <c r="L399">
        <v>107330783</v>
      </c>
      <c r="M399" t="inlineStr">
        <is>
          <t>5/6/2023</t>
        </is>
      </c>
      <c r="N399">
        <v>17</v>
      </c>
      <c r="O399">
        <v>1</v>
      </c>
      <c r="P399">
        <v>0</v>
      </c>
      <c r="Q399">
        <v>5</v>
      </c>
      <c r="R399" t="inlineStr">
        <is>
          <t>O</t>
        </is>
      </c>
    </row>
    <row r="400">
      <c r="A400" t="inlineStr">
        <is>
          <t>650</t>
        </is>
      </c>
      <c r="B400" t="inlineStr">
        <is>
          <t>SR 1001</t>
        </is>
      </c>
      <c r="C400">
        <v>0.1</v>
      </c>
      <c r="D400" t="inlineStr">
        <is>
          <t>N</t>
        </is>
      </c>
      <c r="E400" t="inlineStr">
        <is>
          <t>SR 1663</t>
        </is>
      </c>
      <c r="F400" t="inlineStr">
        <is>
          <t>SR 1664</t>
        </is>
      </c>
      <c r="G400" t="inlineStr">
        <is>
          <t>SR 1001</t>
        </is>
      </c>
      <c r="H400">
        <v>8.749</v>
      </c>
      <c r="L400">
        <v>105964117</v>
      </c>
      <c r="M400" t="inlineStr">
        <is>
          <t>8/13/2019</t>
        </is>
      </c>
      <c r="N400">
        <v>19</v>
      </c>
      <c r="O400">
        <v>2</v>
      </c>
      <c r="P400">
        <v>0</v>
      </c>
      <c r="Q400">
        <v>1</v>
      </c>
      <c r="R400" t="inlineStr">
        <is>
          <t>O</t>
        </is>
      </c>
    </row>
    <row r="401">
      <c r="A401" t="inlineStr">
        <is>
          <t>0</t>
        </is>
      </c>
      <c r="B401" t="inlineStr">
        <is>
          <t>SR 1001</t>
        </is>
      </c>
      <c r="C401">
        <v>0.8</v>
      </c>
      <c r="D401" t="inlineStr">
        <is>
          <t>S</t>
        </is>
      </c>
      <c r="E401" t="inlineStr">
        <is>
          <t>SR 1664</t>
        </is>
      </c>
      <c r="F401" t="inlineStr">
        <is>
          <t>SR 1663</t>
        </is>
      </c>
      <c r="G401" t="inlineStr">
        <is>
          <t>SR 1001</t>
        </is>
      </c>
      <c r="H401">
        <v>8.845</v>
      </c>
      <c r="L401">
        <v>106283239</v>
      </c>
      <c r="M401" t="inlineStr">
        <is>
          <t>7/21/2020</t>
        </is>
      </c>
      <c r="N401">
        <v>29</v>
      </c>
      <c r="O401">
        <v>1</v>
      </c>
      <c r="P401">
        <v>0</v>
      </c>
      <c r="Q401">
        <v>1</v>
      </c>
      <c r="R401" t="inlineStr">
        <is>
          <t>O</t>
        </is>
      </c>
    </row>
    <row r="402">
      <c r="A402" t="inlineStr">
        <is>
          <t>0</t>
        </is>
      </c>
      <c r="B402" t="inlineStr">
        <is>
          <t>SR 1001</t>
        </is>
      </c>
      <c r="C402">
        <v>0.75</v>
      </c>
      <c r="D402" t="inlineStr">
        <is>
          <t>N</t>
        </is>
      </c>
      <c r="E402" t="inlineStr">
        <is>
          <t>NC 218</t>
        </is>
      </c>
      <c r="F402" t="inlineStr">
        <is>
          <t>SANTA CLAUS</t>
        </is>
      </c>
      <c r="G402" t="inlineStr">
        <is>
          <t>SR 1001</t>
        </is>
      </c>
      <c r="H402">
        <v>8.887</v>
      </c>
      <c r="L402">
        <v>105604627</v>
      </c>
      <c r="M402" t="inlineStr">
        <is>
          <t>9/16/2018</t>
        </is>
      </c>
      <c r="N402">
        <v>18</v>
      </c>
      <c r="O402">
        <v>2</v>
      </c>
      <c r="P402">
        <v>0</v>
      </c>
      <c r="Q402">
        <v>5</v>
      </c>
      <c r="R402" t="inlineStr">
        <is>
          <t>O</t>
        </is>
      </c>
    </row>
    <row r="403">
      <c r="A403" t="inlineStr">
        <is>
          <t>0</t>
        </is>
      </c>
      <c r="B403" t="inlineStr">
        <is>
          <t>SR 1001</t>
        </is>
      </c>
      <c r="C403">
        <v>0.25</v>
      </c>
      <c r="D403" t="inlineStr">
        <is>
          <t>N</t>
        </is>
      </c>
      <c r="E403" t="inlineStr">
        <is>
          <t>SR 1663</t>
        </is>
      </c>
      <c r="F403" t="inlineStr">
        <is>
          <t>SR 1664</t>
        </is>
      </c>
      <c r="G403" t="inlineStr">
        <is>
          <t>SR 1001</t>
        </is>
      </c>
      <c r="H403">
        <v>8.899</v>
      </c>
      <c r="L403">
        <v>107069209</v>
      </c>
      <c r="M403" t="inlineStr">
        <is>
          <t>9/1/2022</t>
        </is>
      </c>
      <c r="N403">
        <v>17</v>
      </c>
      <c r="O403">
        <v>1</v>
      </c>
      <c r="P403">
        <v>0</v>
      </c>
      <c r="Q403">
        <v>5</v>
      </c>
      <c r="R403" t="inlineStr">
        <is>
          <t>O</t>
        </is>
      </c>
    </row>
    <row r="404">
      <c r="A404" t="inlineStr">
        <is>
          <t>650</t>
        </is>
      </c>
      <c r="B404" t="inlineStr">
        <is>
          <t>SR 1001</t>
        </is>
      </c>
      <c r="C404">
        <v>1.0</v>
      </c>
      <c r="D404" t="inlineStr">
        <is>
          <t>N</t>
        </is>
      </c>
      <c r="E404" t="inlineStr">
        <is>
          <t>NC 218</t>
        </is>
      </c>
      <c r="F404" t="inlineStr">
        <is>
          <t>SR 1664</t>
        </is>
      </c>
      <c r="G404" t="inlineStr">
        <is>
          <t>SR 1001</t>
        </is>
      </c>
      <c r="H404">
        <v>9.137</v>
      </c>
      <c r="L404">
        <v>106286245</v>
      </c>
      <c r="M404" t="inlineStr">
        <is>
          <t>7/21/2020</t>
        </is>
      </c>
      <c r="N404">
        <v>17</v>
      </c>
      <c r="O404">
        <v>1</v>
      </c>
      <c r="P404">
        <v>0</v>
      </c>
      <c r="Q404">
        <v>1</v>
      </c>
      <c r="R404" t="inlineStr">
        <is>
          <t>O</t>
        </is>
      </c>
    </row>
    <row r="405">
      <c r="A405" t="inlineStr">
        <is>
          <t>0</t>
        </is>
      </c>
      <c r="B405" t="inlineStr">
        <is>
          <t>SR 1001</t>
        </is>
      </c>
      <c r="C405">
        <v>1.0</v>
      </c>
      <c r="D405" t="inlineStr">
        <is>
          <t>NE</t>
        </is>
      </c>
      <c r="E405" t="inlineStr">
        <is>
          <t>NC 218</t>
        </is>
      </c>
      <c r="F405" t="inlineStr">
        <is>
          <t>SR 1639</t>
        </is>
      </c>
      <c r="G405" t="inlineStr">
        <is>
          <t>SR 1001</t>
        </is>
      </c>
      <c r="H405">
        <v>9.137</v>
      </c>
      <c r="L405">
        <v>108021945</v>
      </c>
      <c r="M405" t="inlineStr">
        <is>
          <t>2/2/2025</t>
        </is>
      </c>
      <c r="N405">
        <v>19</v>
      </c>
      <c r="O405">
        <v>1</v>
      </c>
      <c r="P405">
        <v>0</v>
      </c>
      <c r="Q405">
        <v>1</v>
      </c>
      <c r="R405" t="inlineStr">
        <is>
          <t>C</t>
        </is>
      </c>
    </row>
    <row r="406">
      <c r="A406" t="inlineStr">
        <is>
          <t>0</t>
        </is>
      </c>
      <c r="B406" t="inlineStr">
        <is>
          <t>SR 1001</t>
        </is>
      </c>
      <c r="C406">
        <v>0.7</v>
      </c>
      <c r="D406" t="inlineStr">
        <is>
          <t>N</t>
        </is>
      </c>
      <c r="E406" t="inlineStr">
        <is>
          <t>SR 1663</t>
        </is>
      </c>
      <c r="F406" t="inlineStr">
        <is>
          <t>SR 1664</t>
        </is>
      </c>
      <c r="G406" t="inlineStr">
        <is>
          <t>SR 1001</t>
        </is>
      </c>
      <c r="H406">
        <v>9.349</v>
      </c>
      <c r="L406">
        <v>107665486</v>
      </c>
      <c r="M406" t="inlineStr">
        <is>
          <t>3/23/2024</t>
        </is>
      </c>
      <c r="N406">
        <v>17</v>
      </c>
      <c r="O406">
        <v>1</v>
      </c>
      <c r="P406">
        <v>0</v>
      </c>
      <c r="Q406">
        <v>5</v>
      </c>
      <c r="R406" t="inlineStr">
        <is>
          <t>O</t>
        </is>
      </c>
    </row>
    <row r="407">
      <c r="A407" t="inlineStr">
        <is>
          <t>0</t>
        </is>
      </c>
      <c r="B407" t="inlineStr">
        <is>
          <t>SR 1001</t>
        </is>
      </c>
      <c r="C407">
        <v>0.2</v>
      </c>
      <c r="D407" t="inlineStr">
        <is>
          <t>S</t>
        </is>
      </c>
      <c r="E407" t="inlineStr">
        <is>
          <t>SR 1664</t>
        </is>
      </c>
      <c r="F407" t="inlineStr">
        <is>
          <t>SR 1663</t>
        </is>
      </c>
      <c r="G407" t="inlineStr">
        <is>
          <t>SR 1001</t>
        </is>
      </c>
      <c r="H407">
        <v>9.445</v>
      </c>
      <c r="L407">
        <v>108045760</v>
      </c>
      <c r="M407" t="inlineStr">
        <is>
          <t>3/12/2025</t>
        </is>
      </c>
      <c r="N407">
        <v>17</v>
      </c>
      <c r="O407">
        <v>1</v>
      </c>
      <c r="P407">
        <v>0</v>
      </c>
      <c r="Q407">
        <v>1</v>
      </c>
      <c r="R407" t="inlineStr">
        <is>
          <t>O</t>
        </is>
      </c>
    </row>
    <row r="408">
      <c r="A408" t="inlineStr">
        <is>
          <t>0</t>
        </is>
      </c>
      <c r="B408" t="inlineStr">
        <is>
          <t>SR 1001</t>
        </is>
      </c>
      <c r="C408">
        <v>0.11</v>
      </c>
      <c r="D408" t="inlineStr">
        <is>
          <t>S</t>
        </is>
      </c>
      <c r="E408" t="inlineStr">
        <is>
          <t>SR 1664</t>
        </is>
      </c>
      <c r="F408" t="inlineStr">
        <is>
          <t>SR 1663</t>
        </is>
      </c>
      <c r="G408" t="inlineStr">
        <is>
          <t>SR 1001</t>
        </is>
      </c>
      <c r="H408">
        <v>9.535</v>
      </c>
      <c r="L408">
        <v>108001947</v>
      </c>
      <c r="M408" t="inlineStr">
        <is>
          <t>1/24/2025</t>
        </is>
      </c>
      <c r="N408">
        <v>17</v>
      </c>
      <c r="O408">
        <v>1</v>
      </c>
      <c r="P408">
        <v>0</v>
      </c>
      <c r="Q408">
        <v>5</v>
      </c>
      <c r="R408" t="inlineStr">
        <is>
          <t>O</t>
        </is>
      </c>
    </row>
    <row r="409">
      <c r="A409" t="inlineStr">
        <is>
          <t>0</t>
        </is>
      </c>
      <c r="B409" t="inlineStr">
        <is>
          <t>SR 1001</t>
        </is>
      </c>
      <c r="C409">
        <v>0.3</v>
      </c>
      <c r="D409" t="inlineStr">
        <is>
          <t>N</t>
        </is>
      </c>
      <c r="E409" t="inlineStr">
        <is>
          <t>SR 1664</t>
        </is>
      </c>
      <c r="F409" t="inlineStr">
        <is>
          <t>CL-STANLY</t>
        </is>
      </c>
      <c r="G409" t="inlineStr">
        <is>
          <t>SR 1001</t>
        </is>
      </c>
      <c r="H409">
        <v>9.945</v>
      </c>
      <c r="L409">
        <v>106138896</v>
      </c>
      <c r="M409" t="inlineStr">
        <is>
          <t>1/27/2020</t>
        </is>
      </c>
      <c r="N409">
        <v>19</v>
      </c>
      <c r="O409">
        <v>1</v>
      </c>
      <c r="P409">
        <v>0</v>
      </c>
      <c r="Q409">
        <v>1</v>
      </c>
      <c r="R409" t="inlineStr">
        <is>
          <t>C</t>
        </is>
      </c>
    </row>
    <row r="410">
      <c r="A410" t="inlineStr">
        <is>
          <t>0</t>
        </is>
      </c>
      <c r="B410" t="inlineStr">
        <is>
          <t>SR 1001</t>
        </is>
      </c>
      <c r="C410">
        <v>0.4</v>
      </c>
      <c r="D410" t="inlineStr">
        <is>
          <t>N</t>
        </is>
      </c>
      <c r="E410" t="inlineStr">
        <is>
          <t>SR 1664</t>
        </is>
      </c>
      <c r="F410" t="inlineStr">
        <is>
          <t>SR 1152</t>
        </is>
      </c>
      <c r="G410" t="inlineStr">
        <is>
          <t>SR 1001</t>
        </is>
      </c>
      <c r="H410">
        <v>10.045</v>
      </c>
      <c r="L410">
        <v>106674471</v>
      </c>
      <c r="M410" t="inlineStr">
        <is>
          <t>7/21/2021</t>
        </is>
      </c>
      <c r="N410">
        <v>19</v>
      </c>
      <c r="O410">
        <v>1</v>
      </c>
      <c r="P410">
        <v>0</v>
      </c>
      <c r="Q410">
        <v>1</v>
      </c>
      <c r="R410" t="inlineStr">
        <is>
          <t>B</t>
        </is>
      </c>
    </row>
    <row r="411">
      <c r="A411" t="inlineStr">
        <is>
          <t>0</t>
        </is>
      </c>
      <c r="B411" t="inlineStr">
        <is>
          <t>LOVE MILL</t>
        </is>
      </c>
      <c r="C411">
        <v>0.66</v>
      </c>
      <c r="D411" t="inlineStr">
        <is>
          <t>N</t>
        </is>
      </c>
      <c r="E411" t="inlineStr">
        <is>
          <t>SANTA CLAUS</t>
        </is>
      </c>
      <c r="F411" t="inlineStr">
        <is>
          <t>TITE</t>
        </is>
      </c>
      <c r="G411" t="inlineStr">
        <is>
          <t>SR 1001</t>
        </is>
      </c>
      <c r="H411">
        <v>10.305</v>
      </c>
      <c r="L411">
        <v>108507895</v>
      </c>
      <c r="M411" t="inlineStr">
        <is>
          <t>5/25/2026</t>
        </is>
      </c>
      <c r="N411">
        <v>19</v>
      </c>
      <c r="O411">
        <v>2</v>
      </c>
      <c r="P411">
        <v>0</v>
      </c>
      <c r="Q411">
        <v>1</v>
      </c>
      <c r="R411" t="inlineStr">
        <is>
          <t>C</t>
        </is>
      </c>
    </row>
    <row r="412">
      <c r="A412" t="inlineStr">
        <is>
          <t>0</t>
        </is>
      </c>
      <c r="B412" t="inlineStr">
        <is>
          <t>SR 1001</t>
        </is>
      </c>
      <c r="C412">
        <v>0.1</v>
      </c>
      <c r="D412" t="inlineStr">
        <is>
          <t>S</t>
        </is>
      </c>
      <c r="E412" t="inlineStr">
        <is>
          <t>CL-STANLY</t>
        </is>
      </c>
      <c r="F412" t="inlineStr">
        <is>
          <t>SR 1664</t>
        </is>
      </c>
      <c r="G412" t="inlineStr">
        <is>
          <t>SR 1001</t>
        </is>
      </c>
      <c r="H412">
        <v>10.376</v>
      </c>
      <c r="L412">
        <v>104947533</v>
      </c>
      <c r="M412" t="inlineStr">
        <is>
          <t>12/14/2016</t>
        </is>
      </c>
      <c r="N412">
        <v>19</v>
      </c>
      <c r="O412">
        <v>2</v>
      </c>
      <c r="P412">
        <v>0</v>
      </c>
      <c r="Q412">
        <v>5</v>
      </c>
      <c r="R412" t="inlineStr">
        <is>
          <t>B</t>
        </is>
      </c>
    </row>
    <row r="413">
      <c r="A413" t="inlineStr">
        <is>
          <t>245</t>
        </is>
      </c>
      <c r="B413" t="inlineStr">
        <is>
          <t>SR 1001</t>
        </is>
      </c>
      <c r="C413">
        <v>0.2</v>
      </c>
      <c r="D413" t="inlineStr">
        <is>
          <t>S</t>
        </is>
      </c>
      <c r="E413" t="inlineStr">
        <is>
          <t>SR 1004</t>
        </is>
      </c>
      <c r="F413" t="inlineStr">
        <is>
          <t>SR 2492</t>
        </is>
      </c>
      <c r="G413" t="inlineStr">
        <is>
          <t>SR 1001</t>
        </is>
      </c>
      <c r="H413">
        <v>999.999</v>
      </c>
      <c r="L413">
        <v>104794097</v>
      </c>
      <c r="M413" t="inlineStr">
        <is>
          <t>7/15/2016</t>
        </is>
      </c>
      <c r="N413">
        <v>1</v>
      </c>
      <c r="O413">
        <v>1</v>
      </c>
      <c r="P413">
        <v>0</v>
      </c>
      <c r="Q413">
        <v>1</v>
      </c>
      <c r="R413" t="inlineStr">
        <is>
          <t>O</t>
        </is>
      </c>
    </row>
    <row r="414">
      <c r="A414" t="inlineStr">
        <is>
          <t>558</t>
        </is>
      </c>
      <c r="B414" t="inlineStr">
        <is>
          <t>SR 1001</t>
        </is>
      </c>
      <c r="C414">
        <v>1.5</v>
      </c>
      <c r="D414" t="inlineStr">
        <is>
          <t>N</t>
        </is>
      </c>
      <c r="E414" t="inlineStr">
        <is>
          <t>SR 1367</t>
        </is>
      </c>
      <c r="F414" t="inlineStr">
        <is>
          <t>SR 1606</t>
        </is>
      </c>
      <c r="G414" t="inlineStr">
        <is>
          <t>SR 1001</t>
        </is>
      </c>
      <c r="H414">
        <v>999.999</v>
      </c>
      <c r="L414">
        <v>104852366</v>
      </c>
      <c r="M414" t="inlineStr">
        <is>
          <t>9/14/2016</t>
        </is>
      </c>
      <c r="N414">
        <v>29</v>
      </c>
      <c r="O414">
        <v>1</v>
      </c>
      <c r="P414">
        <v>0</v>
      </c>
      <c r="Q414">
        <v>5</v>
      </c>
      <c r="R414" t="inlineStr">
        <is>
          <t>O</t>
        </is>
      </c>
    </row>
    <row r="415">
      <c r="A415" t="inlineStr">
        <is>
          <t>0</t>
        </is>
      </c>
      <c r="B415" t="inlineStr">
        <is>
          <t>SR 1001</t>
        </is>
      </c>
      <c r="C415">
        <v>0.2</v>
      </c>
      <c r="D415" t="inlineStr">
        <is>
          <t>S</t>
        </is>
      </c>
      <c r="E415" t="inlineStr">
        <is>
          <t>SR 1508</t>
        </is>
      </c>
      <c r="F415" t="inlineStr">
        <is>
          <t>SR 1503</t>
        </is>
      </c>
      <c r="G415" t="inlineStr">
        <is>
          <t>SR 1001</t>
        </is>
      </c>
      <c r="H415">
        <v>999.999</v>
      </c>
      <c r="L415">
        <v>105717397</v>
      </c>
      <c r="M415" t="inlineStr">
        <is>
          <t>12/17/2018</t>
        </is>
      </c>
      <c r="N415">
        <v>21</v>
      </c>
      <c r="O415">
        <v>1</v>
      </c>
      <c r="P415">
        <v>0</v>
      </c>
      <c r="Q415">
        <v>1</v>
      </c>
      <c r="R415" t="inlineStr">
        <is>
          <t>O</t>
        </is>
      </c>
    </row>
    <row r="416">
      <c r="A416" t="inlineStr">
        <is>
          <t>0</t>
        </is>
      </c>
      <c r="B416" t="inlineStr">
        <is>
          <t>SR 1001</t>
        </is>
      </c>
      <c r="C416">
        <v>1.0</v>
      </c>
      <c r="D416" t="inlineStr">
        <is>
          <t>E</t>
        </is>
      </c>
      <c r="E416" t="inlineStr">
        <is>
          <t>SR 1524</t>
        </is>
      </c>
      <c r="F416" t="inlineStr">
        <is>
          <t>SR 1007</t>
        </is>
      </c>
      <c r="G416" t="inlineStr">
        <is>
          <t>SR 1001</t>
        </is>
      </c>
      <c r="H416">
        <v>999.999</v>
      </c>
      <c r="L416">
        <v>107177955</v>
      </c>
      <c r="M416" t="inlineStr">
        <is>
          <t>12/10/2022</t>
        </is>
      </c>
      <c r="N416">
        <v>21</v>
      </c>
      <c r="O416">
        <v>1</v>
      </c>
      <c r="P416">
        <v>0</v>
      </c>
      <c r="Q416">
        <v>1</v>
      </c>
      <c r="R416" t="inlineStr">
        <is>
          <t>O</t>
        </is>
      </c>
    </row>
    <row r="417">
      <c r="A417" t="inlineStr">
        <is>
          <t>558</t>
        </is>
      </c>
      <c r="B417" t="inlineStr">
        <is>
          <t>SR 1001</t>
        </is>
      </c>
      <c r="C417">
        <v>0.0</v>
      </c>
      <c r="E417" t="inlineStr">
        <is>
          <t>SR 1547</t>
        </is>
      </c>
      <c r="F417" t="inlineStr">
        <is>
          <t>SR 1655</t>
        </is>
      </c>
      <c r="G417" t="inlineStr">
        <is>
          <t>SR 1001</t>
        </is>
      </c>
      <c r="H417">
        <v>999.999</v>
      </c>
      <c r="L417">
        <v>105273256</v>
      </c>
      <c r="M417" t="inlineStr">
        <is>
          <t>10/27/2017</t>
        </is>
      </c>
      <c r="N417">
        <v>24</v>
      </c>
      <c r="O417">
        <v>1</v>
      </c>
      <c r="P417">
        <v>7</v>
      </c>
      <c r="Q417">
        <v>1</v>
      </c>
      <c r="R417" t="inlineStr">
        <is>
          <t>C</t>
        </is>
      </c>
    </row>
    <row r="418">
      <c r="A418" t="inlineStr">
        <is>
          <t>0</t>
        </is>
      </c>
      <c r="B418" t="inlineStr">
        <is>
          <t>SR 1001</t>
        </is>
      </c>
      <c r="C418">
        <v>0.2</v>
      </c>
      <c r="D418" t="inlineStr">
        <is>
          <t>N</t>
        </is>
      </c>
      <c r="E418" t="inlineStr">
        <is>
          <t>SR 1547</t>
        </is>
      </c>
      <c r="F418" t="inlineStr">
        <is>
          <t>SR 1607</t>
        </is>
      </c>
      <c r="G418" t="inlineStr">
        <is>
          <t>SR 1001</t>
        </is>
      </c>
      <c r="H418">
        <v>999.999</v>
      </c>
      <c r="L418">
        <v>108343169</v>
      </c>
      <c r="M418" t="inlineStr">
        <is>
          <t>12/11/2025</t>
        </is>
      </c>
      <c r="N418">
        <v>29</v>
      </c>
      <c r="O418">
        <v>1</v>
      </c>
      <c r="P418">
        <v>0</v>
      </c>
      <c r="Q418">
        <v>5</v>
      </c>
      <c r="R418" t="inlineStr">
        <is>
          <t>O</t>
        </is>
      </c>
    </row>
    <row r="419">
      <c r="A419" t="inlineStr">
        <is>
          <t>0</t>
        </is>
      </c>
      <c r="B419" t="inlineStr">
        <is>
          <t>SR 1001</t>
        </is>
      </c>
      <c r="C419">
        <v>0.0</v>
      </c>
      <c r="E419" t="inlineStr">
        <is>
          <t>SR 1604</t>
        </is>
      </c>
      <c r="F419" t="inlineStr">
        <is>
          <t>SR 1547</t>
        </is>
      </c>
      <c r="G419" t="inlineStr">
        <is>
          <t>SR 1001</t>
        </is>
      </c>
      <c r="H419">
        <v>999.999</v>
      </c>
      <c r="L419">
        <v>104914991</v>
      </c>
      <c r="M419" t="inlineStr">
        <is>
          <t>11/13/2016</t>
        </is>
      </c>
      <c r="N419">
        <v>17</v>
      </c>
      <c r="O419">
        <v>1</v>
      </c>
      <c r="P419">
        <v>0</v>
      </c>
      <c r="Q419">
        <v>1</v>
      </c>
      <c r="R419" t="inlineStr">
        <is>
          <t>O</t>
        </is>
      </c>
    </row>
    <row r="420">
      <c r="A420" t="inlineStr">
        <is>
          <t>0</t>
        </is>
      </c>
      <c r="B420" t="inlineStr">
        <is>
          <t>SR 1001</t>
        </is>
      </c>
      <c r="C420">
        <v>0.0</v>
      </c>
      <c r="E420" t="inlineStr">
        <is>
          <t>SR 1607</t>
        </is>
      </c>
      <c r="F420" t="inlineStr">
        <is>
          <t>SR 1604</t>
        </is>
      </c>
      <c r="G420" t="inlineStr">
        <is>
          <t>SR 1001</t>
        </is>
      </c>
      <c r="H420">
        <v>999.999</v>
      </c>
      <c r="L420">
        <v>108506936</v>
      </c>
      <c r="M420" t="inlineStr">
        <is>
          <t>5/19/2026</t>
        </is>
      </c>
      <c r="N420">
        <v>24</v>
      </c>
      <c r="O420">
        <v>1</v>
      </c>
      <c r="P420">
        <v>8</v>
      </c>
      <c r="Q420">
        <v>1</v>
      </c>
      <c r="R420" t="inlineStr">
        <is>
          <t>O</t>
        </is>
      </c>
    </row>
    <row r="421">
      <c r="A421" t="inlineStr">
        <is>
          <t>558</t>
        </is>
      </c>
      <c r="B421" t="inlineStr">
        <is>
          <t>SR 1001</t>
        </is>
      </c>
      <c r="C421">
        <v>0.1</v>
      </c>
      <c r="D421" t="inlineStr">
        <is>
          <t>S</t>
        </is>
      </c>
      <c r="E421" t="inlineStr">
        <is>
          <t>SR 1610</t>
        </is>
      </c>
      <c r="F421" t="inlineStr">
        <is>
          <t>SR 1601</t>
        </is>
      </c>
      <c r="G421" t="inlineStr">
        <is>
          <t>SR 1001</t>
        </is>
      </c>
      <c r="H421">
        <v>999.999</v>
      </c>
      <c r="L421">
        <v>104726807</v>
      </c>
      <c r="M421" t="inlineStr">
        <is>
          <t>5/8/2016</t>
        </is>
      </c>
      <c r="N421">
        <v>23</v>
      </c>
      <c r="O421">
        <v>1</v>
      </c>
      <c r="P421">
        <v>5</v>
      </c>
      <c r="Q421">
        <v>5</v>
      </c>
      <c r="R421" t="inlineStr">
        <is>
          <t>A</t>
        </is>
      </c>
    </row>
    <row r="422">
      <c r="A422" t="inlineStr">
        <is>
          <t>0</t>
        </is>
      </c>
      <c r="B422" t="inlineStr">
        <is>
          <t>SR 1001</t>
        </is>
      </c>
      <c r="C422">
        <v>0.1</v>
      </c>
      <c r="D422" t="inlineStr">
        <is>
          <t>S</t>
        </is>
      </c>
      <c r="E422" t="inlineStr">
        <is>
          <t>SR 1610</t>
        </is>
      </c>
      <c r="F422" t="inlineStr">
        <is>
          <t>SR 1655</t>
        </is>
      </c>
      <c r="G422" t="inlineStr">
        <is>
          <t>SR 1001</t>
        </is>
      </c>
      <c r="H422">
        <v>999.999</v>
      </c>
      <c r="L422">
        <v>106078976</v>
      </c>
      <c r="M422" t="inlineStr">
        <is>
          <t>11/30/2019</t>
        </is>
      </c>
      <c r="N422">
        <v>17</v>
      </c>
      <c r="O422">
        <v>1</v>
      </c>
      <c r="P422">
        <v>0</v>
      </c>
      <c r="Q422">
        <v>5</v>
      </c>
      <c r="R422" t="inlineStr">
        <is>
          <t>O</t>
        </is>
      </c>
    </row>
    <row r="423">
      <c r="A423" t="inlineStr">
        <is>
          <t>558</t>
        </is>
      </c>
      <c r="B423" t="inlineStr">
        <is>
          <t>SR 1001</t>
        </is>
      </c>
      <c r="C423">
        <v>0.2</v>
      </c>
      <c r="D423" t="inlineStr">
        <is>
          <t>S</t>
        </is>
      </c>
      <c r="E423" t="inlineStr">
        <is>
          <t>SR 1610</t>
        </is>
      </c>
      <c r="F423" t="inlineStr">
        <is>
          <t>SR 1654</t>
        </is>
      </c>
      <c r="G423" t="inlineStr">
        <is>
          <t>SR 1001</t>
        </is>
      </c>
      <c r="H423">
        <v>999.999</v>
      </c>
      <c r="L423">
        <v>105363575</v>
      </c>
      <c r="M423" t="inlineStr">
        <is>
          <t>1/24/2018</t>
        </is>
      </c>
      <c r="N423">
        <v>29</v>
      </c>
      <c r="O423">
        <v>1</v>
      </c>
      <c r="P423">
        <v>0</v>
      </c>
      <c r="Q423">
        <v>5</v>
      </c>
      <c r="R423" t="inlineStr">
        <is>
          <t>O</t>
        </is>
      </c>
    </row>
    <row r="424">
      <c r="A424" t="inlineStr">
        <is>
          <t>0</t>
        </is>
      </c>
      <c r="B424" t="inlineStr">
        <is>
          <t>SR 1001</t>
        </is>
      </c>
      <c r="C424">
        <v>0.057</v>
      </c>
      <c r="D424" t="inlineStr">
        <is>
          <t>S</t>
        </is>
      </c>
      <c r="E424" t="inlineStr">
        <is>
          <t>SR 1611</t>
        </is>
      </c>
      <c r="F424" t="inlineStr">
        <is>
          <t>SR 1615</t>
        </is>
      </c>
      <c r="G424" t="inlineStr">
        <is>
          <t>SR 1001</t>
        </is>
      </c>
      <c r="H424">
        <v>999.999</v>
      </c>
      <c r="L424">
        <v>106496450</v>
      </c>
      <c r="M424" t="inlineStr">
        <is>
          <t>2/22/2021</t>
        </is>
      </c>
      <c r="N424">
        <v>17</v>
      </c>
      <c r="O424">
        <v>1</v>
      </c>
      <c r="P424">
        <v>0</v>
      </c>
      <c r="Q424">
        <v>1</v>
      </c>
      <c r="R424" t="inlineStr">
        <is>
          <t>O</t>
        </is>
      </c>
    </row>
    <row r="425">
      <c r="A425" t="inlineStr">
        <is>
          <t>558</t>
        </is>
      </c>
      <c r="B425" t="inlineStr">
        <is>
          <t>SR 1001</t>
        </is>
      </c>
      <c r="C425">
        <v>0.1</v>
      </c>
      <c r="D425" t="inlineStr">
        <is>
          <t>N</t>
        </is>
      </c>
      <c r="E425" t="inlineStr">
        <is>
          <t>SR 1628</t>
        </is>
      </c>
      <c r="F425" t="inlineStr">
        <is>
          <t>SR 1631</t>
        </is>
      </c>
      <c r="G425" t="inlineStr">
        <is>
          <t>SR 1001</t>
        </is>
      </c>
      <c r="H425">
        <v>999.999</v>
      </c>
      <c r="L425">
        <v>105062524</v>
      </c>
      <c r="M425" t="inlineStr">
        <is>
          <t>4/3/2017</t>
        </is>
      </c>
      <c r="N425">
        <v>30</v>
      </c>
      <c r="O425">
        <v>2</v>
      </c>
      <c r="P425">
        <v>0</v>
      </c>
      <c r="Q425">
        <v>1</v>
      </c>
      <c r="R425" t="inlineStr">
        <is>
          <t>C</t>
        </is>
      </c>
    </row>
    <row r="426">
      <c r="A426" t="inlineStr">
        <is>
          <t>558</t>
        </is>
      </c>
      <c r="B426" t="inlineStr">
        <is>
          <t>SR 1001</t>
        </is>
      </c>
      <c r="C426">
        <v>0.2</v>
      </c>
      <c r="D426" t="inlineStr">
        <is>
          <t>N</t>
        </is>
      </c>
      <c r="E426" t="inlineStr">
        <is>
          <t>SR 1678</t>
        </is>
      </c>
      <c r="F426" t="inlineStr">
        <is>
          <t>SR 1676</t>
        </is>
      </c>
      <c r="G426" t="inlineStr">
        <is>
          <t>SR 1001</t>
        </is>
      </c>
      <c r="H426">
        <v>999.999</v>
      </c>
      <c r="L426">
        <v>105623790</v>
      </c>
      <c r="M426" t="inlineStr">
        <is>
          <t>9/27/2018</t>
        </is>
      </c>
      <c r="N426">
        <v>26</v>
      </c>
      <c r="O426">
        <v>1</v>
      </c>
      <c r="P426">
        <v>0</v>
      </c>
      <c r="Q426">
        <v>1</v>
      </c>
      <c r="R426" t="inlineStr">
        <is>
          <t>O</t>
        </is>
      </c>
    </row>
    <row r="427">
      <c r="A427" t="inlineStr">
        <is>
          <t>558</t>
        </is>
      </c>
      <c r="B427" t="inlineStr">
        <is>
          <t>SR 1001</t>
        </is>
      </c>
      <c r="C427">
        <v>0.3</v>
      </c>
      <c r="D427" t="inlineStr">
        <is>
          <t>N</t>
        </is>
      </c>
      <c r="E427" t="inlineStr">
        <is>
          <t>SR 1678</t>
        </is>
      </c>
      <c r="F427" t="inlineStr">
        <is>
          <t>SR 1615</t>
        </is>
      </c>
      <c r="G427" t="inlineStr">
        <is>
          <t>SR 1001</t>
        </is>
      </c>
      <c r="H427">
        <v>999.999</v>
      </c>
      <c r="L427">
        <v>104835188</v>
      </c>
      <c r="M427" t="inlineStr">
        <is>
          <t>8/31/2016</t>
        </is>
      </c>
      <c r="N427">
        <v>29</v>
      </c>
      <c r="O427">
        <v>1</v>
      </c>
      <c r="P427">
        <v>0</v>
      </c>
      <c r="Q427">
        <v>1</v>
      </c>
      <c r="R427" t="inlineStr">
        <is>
          <t>O</t>
        </is>
      </c>
    </row>
    <row r="428">
      <c r="A428" t="inlineStr">
        <is>
          <t>558</t>
        </is>
      </c>
      <c r="B428" t="inlineStr">
        <is>
          <t>SR 1001</t>
        </is>
      </c>
      <c r="C428">
        <v>0.3</v>
      </c>
      <c r="D428" t="inlineStr">
        <is>
          <t>S</t>
        </is>
      </c>
      <c r="E428" t="inlineStr">
        <is>
          <t>SR 1678</t>
        </is>
      </c>
      <c r="F428" t="inlineStr">
        <is>
          <t>SR 1618</t>
        </is>
      </c>
      <c r="G428" t="inlineStr">
        <is>
          <t>SR 1001</t>
        </is>
      </c>
      <c r="H428">
        <v>999.999</v>
      </c>
      <c r="L428">
        <v>106458989</v>
      </c>
      <c r="M428" t="inlineStr">
        <is>
          <t>12/23/2020</t>
        </is>
      </c>
      <c r="N428">
        <v>19</v>
      </c>
      <c r="O428">
        <v>1</v>
      </c>
      <c r="P428">
        <v>0</v>
      </c>
      <c r="Q428">
        <v>1</v>
      </c>
      <c r="R428" t="inlineStr">
        <is>
          <t>O</t>
        </is>
      </c>
    </row>
    <row r="429">
      <c r="A429" t="inlineStr">
        <is>
          <t>558</t>
        </is>
      </c>
      <c r="B429" t="inlineStr">
        <is>
          <t>SR 1001</t>
        </is>
      </c>
      <c r="C429">
        <v>0.2</v>
      </c>
      <c r="D429" t="inlineStr">
        <is>
          <t>N</t>
        </is>
      </c>
      <c r="E429" t="inlineStr">
        <is>
          <t>SR 1688</t>
        </is>
      </c>
      <c r="F429" t="inlineStr">
        <is>
          <t>SR 1674</t>
        </is>
      </c>
      <c r="G429" t="inlineStr">
        <is>
          <t>SR 1001</t>
        </is>
      </c>
      <c r="H429">
        <v>999.999</v>
      </c>
      <c r="L429">
        <v>105820903</v>
      </c>
      <c r="M429" t="inlineStr">
        <is>
          <t>4/2/2019</t>
        </is>
      </c>
      <c r="N429">
        <v>19</v>
      </c>
      <c r="O429">
        <v>4</v>
      </c>
      <c r="P429">
        <v>0</v>
      </c>
      <c r="Q429">
        <v>1</v>
      </c>
      <c r="R429" t="inlineStr">
        <is>
          <t>O</t>
        </is>
      </c>
    </row>
    <row r="430">
      <c r="A430" t="inlineStr">
        <is>
          <t>0</t>
        </is>
      </c>
      <c r="B430" t="inlineStr">
        <is>
          <t>SR 1001</t>
        </is>
      </c>
      <c r="C430">
        <v>0.15</v>
      </c>
      <c r="D430" t="inlineStr">
        <is>
          <t>W</t>
        </is>
      </c>
      <c r="E430" t="inlineStr">
        <is>
          <t>SR 1753</t>
        </is>
      </c>
      <c r="F430" t="inlineStr">
        <is>
          <t>SR 1754</t>
        </is>
      </c>
      <c r="G430" t="inlineStr">
        <is>
          <t>SR 1001</t>
        </is>
      </c>
      <c r="H430">
        <v>999.999</v>
      </c>
      <c r="L430">
        <v>105518601</v>
      </c>
      <c r="M430" t="inlineStr">
        <is>
          <t>6/16/2018</t>
        </is>
      </c>
      <c r="N430">
        <v>19</v>
      </c>
      <c r="O430">
        <v>1</v>
      </c>
      <c r="P430">
        <v>0</v>
      </c>
      <c r="Q430">
        <v>1</v>
      </c>
      <c r="R430" t="inlineStr">
        <is>
          <t>O</t>
        </is>
      </c>
    </row>
    <row r="431">
      <c r="A431" t="inlineStr">
        <is>
          <t>0</t>
        </is>
      </c>
      <c r="B431" t="inlineStr">
        <is>
          <t>SR 1001</t>
        </is>
      </c>
      <c r="C431">
        <v>0.1</v>
      </c>
      <c r="D431" t="inlineStr">
        <is>
          <t>E</t>
        </is>
      </c>
      <c r="E431" t="inlineStr">
        <is>
          <t>ZEPHYR</t>
        </is>
      </c>
      <c r="F431" t="inlineStr">
        <is>
          <t>SR 1794</t>
        </is>
      </c>
      <c r="G431" t="inlineStr">
        <is>
          <t>SR 1001</t>
        </is>
      </c>
      <c r="H431">
        <v>999.999</v>
      </c>
      <c r="L431">
        <v>106364269</v>
      </c>
      <c r="M431" t="inlineStr">
        <is>
          <t>10/8/2020</t>
        </is>
      </c>
      <c r="N431">
        <v>29</v>
      </c>
      <c r="O431">
        <v>1</v>
      </c>
      <c r="P431">
        <v>0</v>
      </c>
      <c r="Q431">
        <v>1</v>
      </c>
      <c r="R431" t="inlineStr">
        <is>
          <t>O</t>
        </is>
      </c>
    </row>
    <row r="432">
      <c r="A432" t="inlineStr">
        <is>
          <t>0</t>
        </is>
      </c>
      <c r="B432" t="inlineStr">
        <is>
          <t>SR 1006</t>
        </is>
      </c>
      <c r="C432">
        <v>0.0</v>
      </c>
      <c r="E432" t="inlineStr">
        <is>
          <t>SR 1606</t>
        </is>
      </c>
      <c r="F432" t="inlineStr">
        <is>
          <t>SR 2188</t>
        </is>
      </c>
      <c r="G432" t="inlineStr">
        <is>
          <t>SR 1006</t>
        </is>
      </c>
      <c r="H432">
        <v>999.999</v>
      </c>
      <c r="L432">
        <v>107569594</v>
      </c>
      <c r="M432" t="inlineStr">
        <is>
          <t>12/18/2023</t>
        </is>
      </c>
      <c r="N432">
        <v>24</v>
      </c>
      <c r="O432">
        <v>1</v>
      </c>
      <c r="P432">
        <v>8</v>
      </c>
      <c r="Q432">
        <v>1</v>
      </c>
      <c r="R432" t="inlineStr">
        <is>
          <t>B</t>
        </is>
      </c>
    </row>
    <row r="433">
      <c r="A433" t="inlineStr">
        <is>
          <t>0</t>
        </is>
      </c>
      <c r="B433" t="inlineStr">
        <is>
          <t>SR 1547</t>
        </is>
      </c>
      <c r="C433">
        <v>0.0</v>
      </c>
      <c r="E433" t="inlineStr">
        <is>
          <t>SR 1606</t>
        </is>
      </c>
      <c r="F433" t="inlineStr">
        <is>
          <t>US 601</t>
        </is>
      </c>
      <c r="G433" t="inlineStr">
        <is>
          <t>SR 1547</t>
        </is>
      </c>
      <c r="H433">
        <v>2.101</v>
      </c>
      <c r="L433">
        <v>107547852</v>
      </c>
      <c r="M433" t="inlineStr">
        <is>
          <t>11/28/2023</t>
        </is>
      </c>
      <c r="N433">
        <v>30</v>
      </c>
      <c r="O433">
        <v>1</v>
      </c>
      <c r="P433">
        <v>7</v>
      </c>
      <c r="Q433">
        <v>1</v>
      </c>
      <c r="R433" t="inlineStr">
        <is>
          <t>B</t>
        </is>
      </c>
    </row>
    <row r="434">
      <c r="A434" t="inlineStr">
        <is>
          <t>0</t>
        </is>
      </c>
      <c r="B434" t="inlineStr">
        <is>
          <t>SR 1547</t>
        </is>
      </c>
      <c r="C434">
        <v>0.0</v>
      </c>
      <c r="E434" t="inlineStr">
        <is>
          <t>SR 1606</t>
        </is>
      </c>
      <c r="F434" t="inlineStr">
        <is>
          <t>SR 1607</t>
        </is>
      </c>
      <c r="G434" t="inlineStr">
        <is>
          <t>SR 1547</t>
        </is>
      </c>
      <c r="H434">
        <v>2.101</v>
      </c>
      <c r="L434">
        <v>106800779</v>
      </c>
      <c r="M434" t="inlineStr">
        <is>
          <t>12/11/2021</t>
        </is>
      </c>
      <c r="N434">
        <v>30</v>
      </c>
      <c r="O434">
        <v>1</v>
      </c>
      <c r="P434">
        <v>7</v>
      </c>
      <c r="Q434">
        <v>1</v>
      </c>
      <c r="R434" t="inlineStr">
        <is>
          <t>C</t>
        </is>
      </c>
    </row>
    <row r="435">
      <c r="A435" t="inlineStr">
        <is>
          <t>637</t>
        </is>
      </c>
      <c r="B435" t="inlineStr">
        <is>
          <t>SR 1547</t>
        </is>
      </c>
      <c r="C435">
        <v>0.0</v>
      </c>
      <c r="E435" t="inlineStr">
        <is>
          <t>SR 1606</t>
        </is>
      </c>
      <c r="F435" t="inlineStr">
        <is>
          <t>SR 1607</t>
        </is>
      </c>
      <c r="G435" t="inlineStr">
        <is>
          <t>SR 1547</t>
        </is>
      </c>
      <c r="H435">
        <v>2.101</v>
      </c>
      <c r="L435">
        <v>105954257</v>
      </c>
      <c r="M435" t="inlineStr">
        <is>
          <t>8/8/2019</t>
        </is>
      </c>
      <c r="N435">
        <v>30</v>
      </c>
      <c r="O435">
        <v>1</v>
      </c>
      <c r="P435">
        <v>7</v>
      </c>
      <c r="Q435">
        <v>1</v>
      </c>
      <c r="R435" t="inlineStr">
        <is>
          <t>B</t>
        </is>
      </c>
    </row>
    <row r="436">
      <c r="A436" t="inlineStr">
        <is>
          <t>637</t>
        </is>
      </c>
      <c r="B436" t="inlineStr">
        <is>
          <t>SR 1604</t>
        </is>
      </c>
      <c r="C436">
        <v>0.0</v>
      </c>
      <c r="E436" t="inlineStr">
        <is>
          <t>SR 1606</t>
        </is>
      </c>
      <c r="F436" t="inlineStr">
        <is>
          <t>CL-STANLY</t>
        </is>
      </c>
      <c r="G436" t="inlineStr">
        <is>
          <t>SR 1604</t>
        </is>
      </c>
      <c r="H436">
        <v>0.0</v>
      </c>
      <c r="L436">
        <v>107178464</v>
      </c>
      <c r="M436" t="inlineStr">
        <is>
          <t>11/30/2022</t>
        </is>
      </c>
      <c r="N436">
        <v>24</v>
      </c>
      <c r="O436">
        <v>2</v>
      </c>
      <c r="P436">
        <v>8</v>
      </c>
      <c r="Q436">
        <v>5</v>
      </c>
      <c r="R436" t="inlineStr">
        <is>
          <t>C</t>
        </is>
      </c>
    </row>
    <row r="437">
      <c r="A437" t="inlineStr">
        <is>
          <t>558</t>
        </is>
      </c>
      <c r="B437" t="inlineStr">
        <is>
          <t>SR 1604</t>
        </is>
      </c>
      <c r="C437">
        <v>0.0</v>
      </c>
      <c r="E437" t="inlineStr">
        <is>
          <t>SR 1606</t>
        </is>
      </c>
      <c r="F437" t="inlineStr">
        <is>
          <t>SR 1666</t>
        </is>
      </c>
      <c r="G437" t="inlineStr">
        <is>
          <t>SR 1604</t>
        </is>
      </c>
      <c r="H437">
        <v>0.0</v>
      </c>
      <c r="L437">
        <v>105337660</v>
      </c>
      <c r="M437" t="inlineStr">
        <is>
          <t>12/20/2017</t>
        </is>
      </c>
      <c r="N437">
        <v>3</v>
      </c>
      <c r="O437">
        <v>2</v>
      </c>
      <c r="P437">
        <v>8</v>
      </c>
      <c r="Q437">
        <v>5</v>
      </c>
      <c r="R437" t="inlineStr">
        <is>
          <t>O</t>
        </is>
      </c>
    </row>
    <row r="438">
      <c r="A438" t="inlineStr">
        <is>
          <t>637</t>
        </is>
      </c>
      <c r="B438" t="inlineStr">
        <is>
          <t>SR 1606</t>
        </is>
      </c>
      <c r="C438">
        <v>1.5</v>
      </c>
      <c r="D438" t="inlineStr">
        <is>
          <t>N</t>
        </is>
      </c>
      <c r="E438" t="inlineStr">
        <is>
          <t>SR 1547</t>
        </is>
      </c>
      <c r="F438" t="inlineStr">
        <is>
          <t>SR 1607</t>
        </is>
      </c>
      <c r="G438" t="inlineStr">
        <is>
          <t>SR 1606</t>
        </is>
      </c>
      <c r="H438">
        <v>0.087</v>
      </c>
      <c r="L438">
        <v>105318190</v>
      </c>
      <c r="M438" t="inlineStr">
        <is>
          <t>12/9/2017</t>
        </is>
      </c>
      <c r="N438">
        <v>18</v>
      </c>
      <c r="O438">
        <v>2</v>
      </c>
      <c r="P438">
        <v>0</v>
      </c>
      <c r="Q438">
        <v>1</v>
      </c>
      <c r="R438" t="inlineStr">
        <is>
          <t>O</t>
        </is>
      </c>
    </row>
    <row r="439">
      <c r="A439" t="inlineStr">
        <is>
          <t>0</t>
        </is>
      </c>
      <c r="B439" t="inlineStr">
        <is>
          <t>SR 1606</t>
        </is>
      </c>
      <c r="C439">
        <v>0.1</v>
      </c>
      <c r="D439" t="inlineStr">
        <is>
          <t>N</t>
        </is>
      </c>
      <c r="E439" t="inlineStr">
        <is>
          <t>SR 1604</t>
        </is>
      </c>
      <c r="F439" t="inlineStr">
        <is>
          <t>CL-STANLY</t>
        </is>
      </c>
      <c r="G439" t="inlineStr">
        <is>
          <t>SR 1606</t>
        </is>
      </c>
      <c r="H439">
        <v>0.105</v>
      </c>
      <c r="L439">
        <v>107999824</v>
      </c>
      <c r="M439" t="inlineStr">
        <is>
          <t>1/21/2025</t>
        </is>
      </c>
      <c r="N439">
        <v>19</v>
      </c>
      <c r="O439">
        <v>5</v>
      </c>
      <c r="P439">
        <v>0</v>
      </c>
      <c r="Q439">
        <v>5</v>
      </c>
      <c r="R439" t="inlineStr">
        <is>
          <t>O</t>
        </is>
      </c>
    </row>
    <row r="440">
      <c r="A440" t="inlineStr">
        <is>
          <t>637</t>
        </is>
      </c>
      <c r="B440" t="inlineStr">
        <is>
          <t>SR 1606</t>
        </is>
      </c>
      <c r="C440">
        <v>0.1</v>
      </c>
      <c r="D440" t="inlineStr">
        <is>
          <t>S</t>
        </is>
      </c>
      <c r="E440" t="inlineStr">
        <is>
          <t>SR 1604</t>
        </is>
      </c>
      <c r="F440" t="inlineStr">
        <is>
          <t>CL-STANLY</t>
        </is>
      </c>
      <c r="G440" t="inlineStr">
        <is>
          <t>SR 1606</t>
        </is>
      </c>
      <c r="H440">
        <v>0.305</v>
      </c>
      <c r="L440">
        <v>106248459</v>
      </c>
      <c r="M440" t="inlineStr">
        <is>
          <t>6/11/2020</t>
        </is>
      </c>
      <c r="N440">
        <v>17</v>
      </c>
      <c r="O440">
        <v>1</v>
      </c>
      <c r="P440">
        <v>0</v>
      </c>
      <c r="Q440">
        <v>5</v>
      </c>
      <c r="R440" t="inlineStr">
        <is>
          <t>O</t>
        </is>
      </c>
    </row>
    <row r="441">
      <c r="A441" t="inlineStr">
        <is>
          <t>637</t>
        </is>
      </c>
      <c r="B441" t="inlineStr">
        <is>
          <t>SR 1606</t>
        </is>
      </c>
      <c r="C441">
        <v>0.76</v>
      </c>
      <c r="D441" t="inlineStr">
        <is>
          <t>N</t>
        </is>
      </c>
      <c r="E441" t="inlineStr">
        <is>
          <t>SR 1607</t>
        </is>
      </c>
      <c r="F441" t="inlineStr">
        <is>
          <t>SR 1604</t>
        </is>
      </c>
      <c r="G441" t="inlineStr">
        <is>
          <t>SR 1606</t>
        </is>
      </c>
      <c r="H441">
        <v>0.324</v>
      </c>
      <c r="L441">
        <v>107977960</v>
      </c>
      <c r="M441" t="inlineStr">
        <is>
          <t>1/1/2025</t>
        </is>
      </c>
      <c r="N441">
        <v>17</v>
      </c>
      <c r="O441">
        <v>1</v>
      </c>
      <c r="P441">
        <v>0</v>
      </c>
      <c r="Q441">
        <v>5</v>
      </c>
      <c r="R441" t="inlineStr">
        <is>
          <t>O</t>
        </is>
      </c>
    </row>
    <row r="442">
      <c r="A442" t="inlineStr">
        <is>
          <t>0</t>
        </is>
      </c>
      <c r="B442" t="inlineStr">
        <is>
          <t>SR 1606</t>
        </is>
      </c>
      <c r="C442">
        <v>0.3</v>
      </c>
      <c r="D442" t="inlineStr">
        <is>
          <t>N</t>
        </is>
      </c>
      <c r="E442" t="inlineStr">
        <is>
          <t>SR 1607</t>
        </is>
      </c>
      <c r="F442" t="inlineStr">
        <is>
          <t>SR 1604</t>
        </is>
      </c>
      <c r="G442" t="inlineStr">
        <is>
          <t>SR 1606</t>
        </is>
      </c>
      <c r="H442">
        <v>0.784</v>
      </c>
      <c r="L442">
        <v>108416489</v>
      </c>
      <c r="M442" t="inlineStr">
        <is>
          <t>2/27/2026</t>
        </is>
      </c>
      <c r="N442">
        <v>19</v>
      </c>
      <c r="O442">
        <v>1</v>
      </c>
      <c r="P442">
        <v>0</v>
      </c>
      <c r="Q442">
        <v>5</v>
      </c>
      <c r="R442" t="inlineStr">
        <is>
          <t>O</t>
        </is>
      </c>
    </row>
    <row r="443">
      <c r="A443" t="inlineStr">
        <is>
          <t>0</t>
        </is>
      </c>
      <c r="B443" t="inlineStr">
        <is>
          <t>SR 1606</t>
        </is>
      </c>
      <c r="C443">
        <v>5.0</v>
      </c>
      <c r="D443" t="inlineStr">
        <is>
          <t>N</t>
        </is>
      </c>
      <c r="E443" t="inlineStr">
        <is>
          <t>SR 1678</t>
        </is>
      </c>
      <c r="F443" t="inlineStr">
        <is>
          <t>SR 1613</t>
        </is>
      </c>
      <c r="G443" t="inlineStr">
        <is>
          <t>SR 1606</t>
        </is>
      </c>
      <c r="H443">
        <v>0.796</v>
      </c>
      <c r="L443">
        <v>105613443</v>
      </c>
      <c r="M443" t="inlineStr">
        <is>
          <t>9/24/2018</t>
        </is>
      </c>
      <c r="N443">
        <v>22</v>
      </c>
      <c r="O443">
        <v>1</v>
      </c>
      <c r="P443">
        <v>5</v>
      </c>
      <c r="Q443">
        <v>5</v>
      </c>
      <c r="R443" t="inlineStr">
        <is>
          <t>C</t>
        </is>
      </c>
    </row>
    <row r="444">
      <c r="A444" t="inlineStr">
        <is>
          <t>637</t>
        </is>
      </c>
      <c r="B444" t="inlineStr">
        <is>
          <t>SR 1606</t>
        </is>
      </c>
      <c r="C444">
        <v>0.095</v>
      </c>
      <c r="D444" t="inlineStr">
        <is>
          <t>N</t>
        </is>
      </c>
      <c r="E444" t="inlineStr">
        <is>
          <t>SR 1607</t>
        </is>
      </c>
      <c r="F444" t="inlineStr">
        <is>
          <t>SR 1604</t>
        </is>
      </c>
      <c r="G444" t="inlineStr">
        <is>
          <t>SR 1606</t>
        </is>
      </c>
      <c r="H444">
        <v>0.989</v>
      </c>
      <c r="L444">
        <v>107325118</v>
      </c>
      <c r="M444" t="inlineStr">
        <is>
          <t>5/4/2023</t>
        </is>
      </c>
      <c r="N444">
        <v>17</v>
      </c>
      <c r="O444">
        <v>1</v>
      </c>
      <c r="P444">
        <v>0</v>
      </c>
      <c r="Q444">
        <v>5</v>
      </c>
      <c r="R444" t="inlineStr">
        <is>
          <t>O</t>
        </is>
      </c>
    </row>
    <row r="445">
      <c r="A445" t="inlineStr">
        <is>
          <t>0</t>
        </is>
      </c>
      <c r="B445" t="inlineStr">
        <is>
          <t>SR 1606</t>
        </is>
      </c>
      <c r="C445">
        <v>0.0</v>
      </c>
      <c r="E445" t="inlineStr">
        <is>
          <t>SR 1607</t>
        </is>
      </c>
      <c r="F445" t="inlineStr">
        <is>
          <t>SR 1547</t>
        </is>
      </c>
      <c r="G445" t="inlineStr">
        <is>
          <t>SR 1606</t>
        </is>
      </c>
      <c r="H445">
        <v>1.084</v>
      </c>
      <c r="L445">
        <v>107591326</v>
      </c>
      <c r="M445" t="inlineStr">
        <is>
          <t>1/10/2024</t>
        </is>
      </c>
      <c r="N445">
        <v>24</v>
      </c>
      <c r="O445">
        <v>1</v>
      </c>
      <c r="P445">
        <v>7</v>
      </c>
      <c r="Q445">
        <v>1</v>
      </c>
      <c r="R445" t="inlineStr">
        <is>
          <t>C</t>
        </is>
      </c>
    </row>
    <row r="446">
      <c r="A446" t="inlineStr">
        <is>
          <t>0</t>
        </is>
      </c>
      <c r="B446" t="inlineStr">
        <is>
          <t>SR 1606</t>
        </is>
      </c>
      <c r="C446">
        <v>0.0</v>
      </c>
      <c r="E446" t="inlineStr">
        <is>
          <t>SR 1607</t>
        </is>
      </c>
      <c r="F446" t="inlineStr">
        <is>
          <t>CL-STANLY</t>
        </is>
      </c>
      <c r="G446" t="inlineStr">
        <is>
          <t>SR 1606</t>
        </is>
      </c>
      <c r="H446">
        <v>1.084</v>
      </c>
      <c r="L446">
        <v>105199689</v>
      </c>
      <c r="M446" t="inlineStr">
        <is>
          <t>8/21/2017</t>
        </is>
      </c>
      <c r="N446">
        <v>26</v>
      </c>
      <c r="O446">
        <v>1</v>
      </c>
      <c r="P446">
        <v>7</v>
      </c>
      <c r="Q446">
        <v>1</v>
      </c>
      <c r="R446" t="inlineStr">
        <is>
          <t>O</t>
        </is>
      </c>
    </row>
    <row r="447">
      <c r="A447" t="inlineStr">
        <is>
          <t>0</t>
        </is>
      </c>
      <c r="B447" t="inlineStr">
        <is>
          <t>SR 1606</t>
        </is>
      </c>
      <c r="C447">
        <v>0.1</v>
      </c>
      <c r="D447" t="inlineStr">
        <is>
          <t>S</t>
        </is>
      </c>
      <c r="E447" t="inlineStr">
        <is>
          <t>SR 1607</t>
        </is>
      </c>
      <c r="F447" t="inlineStr">
        <is>
          <t>SR 1605</t>
        </is>
      </c>
      <c r="G447" t="inlineStr">
        <is>
          <t>SR 1606</t>
        </is>
      </c>
      <c r="H447">
        <v>1.184</v>
      </c>
      <c r="L447">
        <v>107119047</v>
      </c>
      <c r="M447" t="inlineStr">
        <is>
          <t>10/22/2022</t>
        </is>
      </c>
      <c r="N447">
        <v>17</v>
      </c>
      <c r="O447">
        <v>1</v>
      </c>
      <c r="P447">
        <v>0</v>
      </c>
      <c r="Q447">
        <v>5</v>
      </c>
      <c r="R447" t="inlineStr">
        <is>
          <t>O</t>
        </is>
      </c>
    </row>
    <row r="448">
      <c r="A448" t="inlineStr">
        <is>
          <t>637</t>
        </is>
      </c>
      <c r="B448" t="inlineStr">
        <is>
          <t>SR 1606</t>
        </is>
      </c>
      <c r="C448">
        <v>0.1</v>
      </c>
      <c r="D448" t="inlineStr">
        <is>
          <t>S</t>
        </is>
      </c>
      <c r="E448" t="inlineStr">
        <is>
          <t>SR 1607</t>
        </is>
      </c>
      <c r="F448" t="inlineStr">
        <is>
          <t>SR 1547</t>
        </is>
      </c>
      <c r="G448" t="inlineStr">
        <is>
          <t>SR 1606</t>
        </is>
      </c>
      <c r="H448">
        <v>1.184</v>
      </c>
      <c r="L448">
        <v>106121140</v>
      </c>
      <c r="M448" t="inlineStr">
        <is>
          <t>1/10/2020</t>
        </is>
      </c>
      <c r="N448">
        <v>19</v>
      </c>
      <c r="O448">
        <v>1</v>
      </c>
      <c r="P448">
        <v>0</v>
      </c>
      <c r="Q448">
        <v>1</v>
      </c>
    </row>
    <row r="449">
      <c r="A449" t="inlineStr">
        <is>
          <t>637</t>
        </is>
      </c>
      <c r="B449" t="inlineStr">
        <is>
          <t>SR 1606</t>
        </is>
      </c>
      <c r="C449">
        <v>0.2</v>
      </c>
      <c r="D449" t="inlineStr">
        <is>
          <t>N</t>
        </is>
      </c>
      <c r="E449" t="inlineStr">
        <is>
          <t>SR 1547</t>
        </is>
      </c>
      <c r="F449" t="inlineStr">
        <is>
          <t>SR 1607</t>
        </is>
      </c>
      <c r="G449" t="inlineStr">
        <is>
          <t>SR 1606</t>
        </is>
      </c>
      <c r="H449">
        <v>1.387</v>
      </c>
      <c r="L449">
        <v>107731025</v>
      </c>
      <c r="M449" t="inlineStr">
        <is>
          <t>5/25/2024</t>
        </is>
      </c>
      <c r="N449">
        <v>29</v>
      </c>
      <c r="O449">
        <v>1</v>
      </c>
      <c r="P449">
        <v>0</v>
      </c>
      <c r="Q449">
        <v>5</v>
      </c>
      <c r="R449" t="inlineStr">
        <is>
          <t>O</t>
        </is>
      </c>
    </row>
    <row r="450">
      <c r="A450" t="inlineStr">
        <is>
          <t>637</t>
        </is>
      </c>
      <c r="B450" t="inlineStr">
        <is>
          <t>SR 1606</t>
        </is>
      </c>
      <c r="C450">
        <v>0.18</v>
      </c>
      <c r="D450" t="inlineStr">
        <is>
          <t>N</t>
        </is>
      </c>
      <c r="E450" t="inlineStr">
        <is>
          <t>SR 1547</t>
        </is>
      </c>
      <c r="F450" t="inlineStr">
        <is>
          <t>SR 1607</t>
        </is>
      </c>
      <c r="G450" t="inlineStr">
        <is>
          <t>SR 1606</t>
        </is>
      </c>
      <c r="H450">
        <v>1.407</v>
      </c>
      <c r="L450">
        <v>108377689</v>
      </c>
      <c r="M450" t="inlineStr">
        <is>
          <t>1/9/2026</t>
        </is>
      </c>
      <c r="N450">
        <v>19</v>
      </c>
      <c r="O450">
        <v>1</v>
      </c>
      <c r="P450">
        <v>5</v>
      </c>
      <c r="Q450">
        <v>5</v>
      </c>
      <c r="R450" t="inlineStr">
        <is>
          <t>K</t>
        </is>
      </c>
    </row>
    <row r="451">
      <c r="A451" t="inlineStr">
        <is>
          <t>0</t>
        </is>
      </c>
      <c r="B451" t="inlineStr">
        <is>
          <t>SR 1606</t>
        </is>
      </c>
      <c r="C451">
        <v>0.1</v>
      </c>
      <c r="D451" t="inlineStr">
        <is>
          <t>N</t>
        </is>
      </c>
      <c r="E451" t="inlineStr">
        <is>
          <t>SR 1547</t>
        </is>
      </c>
      <c r="F451" t="inlineStr">
        <is>
          <t>SR 1607</t>
        </is>
      </c>
      <c r="G451" t="inlineStr">
        <is>
          <t>SR 1606</t>
        </is>
      </c>
      <c r="H451">
        <v>1.487</v>
      </c>
      <c r="L451">
        <v>108244970</v>
      </c>
      <c r="M451" t="inlineStr">
        <is>
          <t>9/26/2025</t>
        </is>
      </c>
      <c r="N451">
        <v>21</v>
      </c>
      <c r="O451">
        <v>2</v>
      </c>
      <c r="P451">
        <v>5</v>
      </c>
      <c r="Q451">
        <v>1</v>
      </c>
      <c r="R451" t="inlineStr">
        <is>
          <t>O</t>
        </is>
      </c>
    </row>
    <row r="452">
      <c r="A452" t="inlineStr">
        <is>
          <t>637</t>
        </is>
      </c>
      <c r="B452" t="inlineStr">
        <is>
          <t>SR 1606</t>
        </is>
      </c>
      <c r="C452">
        <v>0.1</v>
      </c>
      <c r="D452" t="inlineStr">
        <is>
          <t>N</t>
        </is>
      </c>
      <c r="E452" t="inlineStr">
        <is>
          <t>SR 1547</t>
        </is>
      </c>
      <c r="F452" t="inlineStr">
        <is>
          <t>NC 218</t>
        </is>
      </c>
      <c r="G452" t="inlineStr">
        <is>
          <t>SR 1606</t>
        </is>
      </c>
      <c r="H452">
        <v>1.487</v>
      </c>
      <c r="L452">
        <v>108318481</v>
      </c>
      <c r="M452" t="inlineStr">
        <is>
          <t>11/5/2025</t>
        </is>
      </c>
      <c r="N452">
        <v>18</v>
      </c>
      <c r="O452">
        <v>1</v>
      </c>
      <c r="P452">
        <v>0</v>
      </c>
      <c r="Q452">
        <v>1</v>
      </c>
      <c r="R452" t="inlineStr">
        <is>
          <t>O</t>
        </is>
      </c>
    </row>
    <row r="453">
      <c r="A453" t="inlineStr">
        <is>
          <t>0</t>
        </is>
      </c>
      <c r="B453" t="inlineStr">
        <is>
          <t>SR 1606</t>
        </is>
      </c>
      <c r="C453">
        <v>1.3</v>
      </c>
      <c r="D453" t="inlineStr">
        <is>
          <t>S</t>
        </is>
      </c>
      <c r="E453" t="inlineStr">
        <is>
          <t>SR 1604</t>
        </is>
      </c>
      <c r="F453" t="inlineStr">
        <is>
          <t>SR 1605</t>
        </is>
      </c>
      <c r="G453" t="inlineStr">
        <is>
          <t>SR 1606</t>
        </is>
      </c>
      <c r="H453">
        <v>1.505</v>
      </c>
      <c r="L453">
        <v>106134680</v>
      </c>
      <c r="M453" t="inlineStr">
        <is>
          <t>1/22/2020</t>
        </is>
      </c>
      <c r="N453">
        <v>29</v>
      </c>
      <c r="O453">
        <v>1</v>
      </c>
      <c r="P453">
        <v>0</v>
      </c>
      <c r="Q453">
        <v>1</v>
      </c>
      <c r="R453" t="inlineStr">
        <is>
          <t>O</t>
        </is>
      </c>
    </row>
    <row r="454">
      <c r="A454" t="inlineStr">
        <is>
          <t>0</t>
        </is>
      </c>
      <c r="B454" t="inlineStr">
        <is>
          <t>SR 1606</t>
        </is>
      </c>
      <c r="C454">
        <v>0.0</v>
      </c>
      <c r="E454" t="inlineStr">
        <is>
          <t>SR 1547</t>
        </is>
      </c>
      <c r="F454" t="inlineStr">
        <is>
          <t>NC 218</t>
        </is>
      </c>
      <c r="G454" t="inlineStr">
        <is>
          <t>SR 1606</t>
        </is>
      </c>
      <c r="H454">
        <v>1.587</v>
      </c>
      <c r="L454">
        <v>107707929</v>
      </c>
      <c r="M454" t="inlineStr">
        <is>
          <t>5/3/2024</t>
        </is>
      </c>
      <c r="N454">
        <v>30</v>
      </c>
      <c r="O454">
        <v>1</v>
      </c>
      <c r="P454">
        <v>7</v>
      </c>
      <c r="Q454">
        <v>1</v>
      </c>
      <c r="R454" t="inlineStr">
        <is>
          <t>C</t>
        </is>
      </c>
    </row>
    <row r="455">
      <c r="A455" t="inlineStr">
        <is>
          <t>637</t>
        </is>
      </c>
      <c r="B455" t="inlineStr">
        <is>
          <t>SR 1606</t>
        </is>
      </c>
      <c r="C455">
        <v>0.0</v>
      </c>
      <c r="E455" t="inlineStr">
        <is>
          <t>SR 1547</t>
        </is>
      </c>
      <c r="F455" t="inlineStr">
        <is>
          <t>SR 1607</t>
        </is>
      </c>
      <c r="G455" t="inlineStr">
        <is>
          <t>SR 1606</t>
        </is>
      </c>
      <c r="H455">
        <v>1.587</v>
      </c>
      <c r="L455">
        <v>107892491</v>
      </c>
      <c r="M455" t="inlineStr">
        <is>
          <t>10/19/2024</t>
        </is>
      </c>
      <c r="N455">
        <v>30</v>
      </c>
      <c r="O455">
        <v>1</v>
      </c>
      <c r="P455">
        <v>7</v>
      </c>
      <c r="Q455">
        <v>1</v>
      </c>
      <c r="R455" t="inlineStr">
        <is>
          <t>O</t>
        </is>
      </c>
    </row>
    <row r="456">
      <c r="A456" t="inlineStr">
        <is>
          <t>637</t>
        </is>
      </c>
      <c r="B456" t="inlineStr">
        <is>
          <t>SR 1606</t>
        </is>
      </c>
      <c r="C456">
        <v>0.0</v>
      </c>
      <c r="E456" t="inlineStr">
        <is>
          <t>SR 1547</t>
        </is>
      </c>
      <c r="F456" t="inlineStr">
        <is>
          <t>SR 1607</t>
        </is>
      </c>
      <c r="G456" t="inlineStr">
        <is>
          <t>SR 1606</t>
        </is>
      </c>
      <c r="H456">
        <v>1.587</v>
      </c>
      <c r="L456">
        <v>107737177</v>
      </c>
      <c r="M456" t="inlineStr">
        <is>
          <t>5/29/2024</t>
        </is>
      </c>
      <c r="N456">
        <v>30</v>
      </c>
      <c r="O456">
        <v>1</v>
      </c>
      <c r="P456">
        <v>7</v>
      </c>
      <c r="Q456">
        <v>5</v>
      </c>
      <c r="R456" t="inlineStr">
        <is>
          <t>O</t>
        </is>
      </c>
    </row>
    <row r="457">
      <c r="A457" t="inlineStr">
        <is>
          <t>0</t>
        </is>
      </c>
      <c r="B457" t="inlineStr">
        <is>
          <t>SR 1606</t>
        </is>
      </c>
      <c r="C457">
        <v>0.0</v>
      </c>
      <c r="E457" t="inlineStr">
        <is>
          <t>SR 1547</t>
        </is>
      </c>
      <c r="F457" t="inlineStr">
        <is>
          <t>SR 1607</t>
        </is>
      </c>
      <c r="G457" t="inlineStr">
        <is>
          <t>SR 1606</t>
        </is>
      </c>
      <c r="H457">
        <v>1.587</v>
      </c>
      <c r="L457">
        <v>107659363</v>
      </c>
      <c r="M457" t="inlineStr">
        <is>
          <t>3/18/2024</t>
        </is>
      </c>
      <c r="N457">
        <v>30</v>
      </c>
      <c r="O457">
        <v>1</v>
      </c>
      <c r="P457">
        <v>7</v>
      </c>
      <c r="Q457">
        <v>1</v>
      </c>
      <c r="R457" t="inlineStr">
        <is>
          <t>O</t>
        </is>
      </c>
    </row>
    <row r="458">
      <c r="A458" t="inlineStr">
        <is>
          <t>637</t>
        </is>
      </c>
      <c r="B458" t="inlineStr">
        <is>
          <t>SR 1606</t>
        </is>
      </c>
      <c r="C458">
        <v>0.0</v>
      </c>
      <c r="E458" t="inlineStr">
        <is>
          <t>SR 1547</t>
        </is>
      </c>
      <c r="F458" t="inlineStr">
        <is>
          <t>SR 1607</t>
        </is>
      </c>
      <c r="G458" t="inlineStr">
        <is>
          <t>SR 1606</t>
        </is>
      </c>
      <c r="H458">
        <v>1.587</v>
      </c>
      <c r="L458">
        <v>107313774</v>
      </c>
      <c r="M458" t="inlineStr">
        <is>
          <t>4/11/2023</t>
        </is>
      </c>
      <c r="N458">
        <v>30</v>
      </c>
      <c r="O458">
        <v>1</v>
      </c>
      <c r="P458">
        <v>7</v>
      </c>
      <c r="Q458">
        <v>1</v>
      </c>
      <c r="R458" t="inlineStr">
        <is>
          <t>O</t>
        </is>
      </c>
    </row>
    <row r="459">
      <c r="A459" t="inlineStr">
        <is>
          <t>0</t>
        </is>
      </c>
      <c r="B459" t="inlineStr">
        <is>
          <t>SR 1606</t>
        </is>
      </c>
      <c r="C459">
        <v>0.0</v>
      </c>
      <c r="E459" t="inlineStr">
        <is>
          <t>SR 1547</t>
        </is>
      </c>
      <c r="F459" t="inlineStr">
        <is>
          <t>SR 1607</t>
        </is>
      </c>
      <c r="G459" t="inlineStr">
        <is>
          <t>SR 1606</t>
        </is>
      </c>
      <c r="H459">
        <v>1.587</v>
      </c>
      <c r="L459">
        <v>107089024</v>
      </c>
      <c r="M459" t="inlineStr">
        <is>
          <t>9/22/2022</t>
        </is>
      </c>
      <c r="N459">
        <v>30</v>
      </c>
      <c r="O459">
        <v>1</v>
      </c>
      <c r="P459">
        <v>7</v>
      </c>
      <c r="Q459">
        <v>1</v>
      </c>
      <c r="R459" t="inlineStr">
        <is>
          <t>B</t>
        </is>
      </c>
    </row>
    <row r="460">
      <c r="A460" t="inlineStr">
        <is>
          <t>637</t>
        </is>
      </c>
      <c r="B460" t="inlineStr">
        <is>
          <t>SR 1606</t>
        </is>
      </c>
      <c r="C460">
        <v>0.0</v>
      </c>
      <c r="E460" t="inlineStr">
        <is>
          <t>SR 1547</t>
        </is>
      </c>
      <c r="F460" t="inlineStr">
        <is>
          <t>NC 218</t>
        </is>
      </c>
      <c r="G460" t="inlineStr">
        <is>
          <t>SR 1606</t>
        </is>
      </c>
      <c r="H460">
        <v>1.587</v>
      </c>
      <c r="L460">
        <v>106990488</v>
      </c>
      <c r="M460" t="inlineStr">
        <is>
          <t>6/16/2022</t>
        </is>
      </c>
      <c r="N460">
        <v>30</v>
      </c>
      <c r="O460">
        <v>1</v>
      </c>
      <c r="P460">
        <v>7</v>
      </c>
      <c r="Q460">
        <v>1</v>
      </c>
      <c r="R460" t="inlineStr">
        <is>
          <t>O</t>
        </is>
      </c>
    </row>
    <row r="461">
      <c r="A461" t="inlineStr">
        <is>
          <t>637</t>
        </is>
      </c>
      <c r="B461" t="inlineStr">
        <is>
          <t>SR 1606</t>
        </is>
      </c>
      <c r="C461">
        <v>0.0</v>
      </c>
      <c r="E461" t="inlineStr">
        <is>
          <t>SR 1547</t>
        </is>
      </c>
      <c r="F461" t="inlineStr">
        <is>
          <t>SR 1607</t>
        </is>
      </c>
      <c r="G461" t="inlineStr">
        <is>
          <t>SR 1606</t>
        </is>
      </c>
      <c r="H461">
        <v>1.587</v>
      </c>
      <c r="L461">
        <v>107059898</v>
      </c>
      <c r="M461" t="inlineStr">
        <is>
          <t>8/29/2022</t>
        </is>
      </c>
      <c r="N461">
        <v>30</v>
      </c>
      <c r="O461">
        <v>1</v>
      </c>
      <c r="P461">
        <v>7</v>
      </c>
      <c r="Q461">
        <v>3</v>
      </c>
      <c r="R461" t="inlineStr">
        <is>
          <t>O</t>
        </is>
      </c>
    </row>
    <row r="462">
      <c r="A462" t="inlineStr">
        <is>
          <t>0</t>
        </is>
      </c>
      <c r="B462" t="inlineStr">
        <is>
          <t>SR 1606</t>
        </is>
      </c>
      <c r="C462">
        <v>0.0</v>
      </c>
      <c r="E462" t="inlineStr">
        <is>
          <t>SR 1547</t>
        </is>
      </c>
      <c r="F462" t="inlineStr">
        <is>
          <t>SR 1607</t>
        </is>
      </c>
      <c r="G462" t="inlineStr">
        <is>
          <t>SR 1606</t>
        </is>
      </c>
      <c r="H462">
        <v>1.587</v>
      </c>
      <c r="L462">
        <v>106277793</v>
      </c>
      <c r="M462" t="inlineStr">
        <is>
          <t>7/14/2020</t>
        </is>
      </c>
      <c r="N462">
        <v>30</v>
      </c>
      <c r="O462">
        <v>1</v>
      </c>
      <c r="P462">
        <v>7</v>
      </c>
      <c r="Q462">
        <v>1</v>
      </c>
      <c r="R462" t="inlineStr">
        <is>
          <t>C</t>
        </is>
      </c>
    </row>
    <row r="463">
      <c r="A463" t="inlineStr">
        <is>
          <t>0</t>
        </is>
      </c>
      <c r="B463" t="inlineStr">
        <is>
          <t>SR 1606</t>
        </is>
      </c>
      <c r="C463">
        <v>0.0</v>
      </c>
      <c r="E463" t="inlineStr">
        <is>
          <t>SR 1547</t>
        </is>
      </c>
      <c r="F463" t="inlineStr">
        <is>
          <t>NC 218</t>
        </is>
      </c>
      <c r="G463" t="inlineStr">
        <is>
          <t>SR 1606</t>
        </is>
      </c>
      <c r="H463">
        <v>1.587</v>
      </c>
      <c r="L463">
        <v>105873568</v>
      </c>
      <c r="M463" t="inlineStr">
        <is>
          <t>5/18/2019</t>
        </is>
      </c>
      <c r="N463">
        <v>30</v>
      </c>
      <c r="O463">
        <v>1</v>
      </c>
      <c r="P463">
        <v>7</v>
      </c>
      <c r="Q463">
        <v>1</v>
      </c>
      <c r="R463" t="inlineStr">
        <is>
          <t>O</t>
        </is>
      </c>
    </row>
    <row r="464">
      <c r="A464" t="inlineStr">
        <is>
          <t>637</t>
        </is>
      </c>
      <c r="B464" t="inlineStr">
        <is>
          <t>SR 1606</t>
        </is>
      </c>
      <c r="C464">
        <v>0.0</v>
      </c>
      <c r="E464" t="inlineStr">
        <is>
          <t>SR 1547</t>
        </is>
      </c>
      <c r="F464" t="inlineStr">
        <is>
          <t>NC 218</t>
        </is>
      </c>
      <c r="G464" t="inlineStr">
        <is>
          <t>SR 1606</t>
        </is>
      </c>
      <c r="H464">
        <v>1.587</v>
      </c>
      <c r="L464">
        <v>105289308</v>
      </c>
      <c r="M464" t="inlineStr">
        <is>
          <t>11/11/2017</t>
        </is>
      </c>
      <c r="N464">
        <v>30</v>
      </c>
      <c r="O464">
        <v>1</v>
      </c>
      <c r="P464">
        <v>7</v>
      </c>
      <c r="Q464">
        <v>1</v>
      </c>
      <c r="R464" t="inlineStr">
        <is>
          <t>B</t>
        </is>
      </c>
    </row>
    <row r="465">
      <c r="A465" t="inlineStr">
        <is>
          <t>0</t>
        </is>
      </c>
      <c r="B465" t="inlineStr">
        <is>
          <t>SR 1606</t>
        </is>
      </c>
      <c r="C465">
        <v>0.0</v>
      </c>
      <c r="E465" t="inlineStr">
        <is>
          <t>SR 1547</t>
        </is>
      </c>
      <c r="F465" t="inlineStr">
        <is>
          <t>SR 1607</t>
        </is>
      </c>
      <c r="G465" t="inlineStr">
        <is>
          <t>SR 1606</t>
        </is>
      </c>
      <c r="H465">
        <v>1.587</v>
      </c>
      <c r="L465">
        <v>107960659</v>
      </c>
      <c r="M465" t="inlineStr">
        <is>
          <t>12/15/2024</t>
        </is>
      </c>
      <c r="N465">
        <v>30</v>
      </c>
      <c r="O465">
        <v>1</v>
      </c>
      <c r="P465">
        <v>7</v>
      </c>
      <c r="Q465">
        <v>5</v>
      </c>
      <c r="R465" t="inlineStr">
        <is>
          <t>C</t>
        </is>
      </c>
    </row>
    <row r="466">
      <c r="A466" t="inlineStr">
        <is>
          <t>637</t>
        </is>
      </c>
      <c r="B466" t="inlineStr">
        <is>
          <t>SR 1606</t>
        </is>
      </c>
      <c r="C466">
        <v>0.0</v>
      </c>
      <c r="E466" t="inlineStr">
        <is>
          <t>SR 1547</t>
        </is>
      </c>
      <c r="F466" t="inlineStr">
        <is>
          <t>NC 218</t>
        </is>
      </c>
      <c r="G466" t="inlineStr">
        <is>
          <t>SR 1606</t>
        </is>
      </c>
      <c r="H466">
        <v>1.587</v>
      </c>
      <c r="L466">
        <v>107701512</v>
      </c>
      <c r="M466" t="inlineStr">
        <is>
          <t>4/27/2024</t>
        </is>
      </c>
      <c r="N466">
        <v>30</v>
      </c>
      <c r="O466">
        <v>1</v>
      </c>
      <c r="P466">
        <v>8</v>
      </c>
      <c r="Q466">
        <v>1</v>
      </c>
      <c r="R466" t="inlineStr">
        <is>
          <t>O</t>
        </is>
      </c>
    </row>
    <row r="467">
      <c r="A467" t="inlineStr">
        <is>
          <t>637</t>
        </is>
      </c>
      <c r="B467" t="inlineStr">
        <is>
          <t>SR 1606</t>
        </is>
      </c>
      <c r="C467">
        <v>0.1</v>
      </c>
      <c r="D467" t="inlineStr">
        <is>
          <t>S</t>
        </is>
      </c>
      <c r="E467" t="inlineStr">
        <is>
          <t>SR 1547</t>
        </is>
      </c>
      <c r="F467" t="inlineStr">
        <is>
          <t>NC 218</t>
        </is>
      </c>
      <c r="G467" t="inlineStr">
        <is>
          <t>SR 1606</t>
        </is>
      </c>
      <c r="H467">
        <v>1.687</v>
      </c>
      <c r="L467">
        <v>106095719</v>
      </c>
      <c r="M467" t="inlineStr">
        <is>
          <t>12/9/2019</t>
        </is>
      </c>
      <c r="N467">
        <v>17</v>
      </c>
      <c r="O467">
        <v>1</v>
      </c>
      <c r="P467">
        <v>0</v>
      </c>
      <c r="Q467">
        <v>3</v>
      </c>
      <c r="R467" t="inlineStr">
        <is>
          <t>O</t>
        </is>
      </c>
    </row>
    <row r="468">
      <c r="A468" t="inlineStr">
        <is>
          <t>637</t>
        </is>
      </c>
      <c r="B468" t="inlineStr">
        <is>
          <t>SR 1606</t>
        </is>
      </c>
      <c r="C468">
        <v>0.2</v>
      </c>
      <c r="D468" t="inlineStr">
        <is>
          <t>S</t>
        </is>
      </c>
      <c r="E468" t="inlineStr">
        <is>
          <t>SR 1547</t>
        </is>
      </c>
      <c r="F468" t="inlineStr">
        <is>
          <t>NC 218</t>
        </is>
      </c>
      <c r="G468" t="inlineStr">
        <is>
          <t>SR 1606</t>
        </is>
      </c>
      <c r="H468">
        <v>1.787</v>
      </c>
      <c r="L468">
        <v>105043332</v>
      </c>
      <c r="M468" t="inlineStr">
        <is>
          <t>3/16/2017</t>
        </is>
      </c>
      <c r="N468">
        <v>29</v>
      </c>
      <c r="O468">
        <v>1</v>
      </c>
      <c r="P468">
        <v>0</v>
      </c>
      <c r="Q468">
        <v>1</v>
      </c>
      <c r="R468" t="inlineStr">
        <is>
          <t>O</t>
        </is>
      </c>
    </row>
    <row r="469">
      <c r="A469" t="inlineStr">
        <is>
          <t>0</t>
        </is>
      </c>
      <c r="B469" t="inlineStr">
        <is>
          <t>SR 1606</t>
        </is>
      </c>
      <c r="C469">
        <v>0.2</v>
      </c>
      <c r="D469" t="inlineStr">
        <is>
          <t>S</t>
        </is>
      </c>
      <c r="E469" t="inlineStr">
        <is>
          <t>SR 1547</t>
        </is>
      </c>
      <c r="F469" t="inlineStr">
        <is>
          <t>SR 1607</t>
        </is>
      </c>
      <c r="G469" t="inlineStr">
        <is>
          <t>SR 1606</t>
        </is>
      </c>
      <c r="H469">
        <v>1.787</v>
      </c>
      <c r="L469">
        <v>104980363</v>
      </c>
      <c r="M469" t="inlineStr">
        <is>
          <t>1/18/2017</t>
        </is>
      </c>
      <c r="N469">
        <v>29</v>
      </c>
      <c r="O469">
        <v>1</v>
      </c>
      <c r="P469">
        <v>0</v>
      </c>
      <c r="Q469">
        <v>1</v>
      </c>
      <c r="R469" t="inlineStr">
        <is>
          <t>A</t>
        </is>
      </c>
    </row>
    <row r="470">
      <c r="A470" t="inlineStr">
        <is>
          <t>650</t>
        </is>
      </c>
      <c r="B470" t="inlineStr">
        <is>
          <t>SR 1606</t>
        </is>
      </c>
      <c r="C470">
        <v>1.0</v>
      </c>
      <c r="D470" t="inlineStr">
        <is>
          <t>N</t>
        </is>
      </c>
      <c r="E470" t="inlineStr">
        <is>
          <t>NC 218</t>
        </is>
      </c>
      <c r="F470" t="inlineStr">
        <is>
          <t>SR 1547</t>
        </is>
      </c>
      <c r="G470" t="inlineStr">
        <is>
          <t>SR 1606</t>
        </is>
      </c>
      <c r="H470">
        <v>1.941</v>
      </c>
      <c r="L470">
        <v>106491238</v>
      </c>
      <c r="M470" t="inlineStr">
        <is>
          <t>2/16/2021</t>
        </is>
      </c>
      <c r="N470">
        <v>17</v>
      </c>
      <c r="O470">
        <v>2</v>
      </c>
      <c r="P470">
        <v>0</v>
      </c>
      <c r="Q470">
        <v>1</v>
      </c>
      <c r="R470" t="inlineStr">
        <is>
          <t>O</t>
        </is>
      </c>
    </row>
    <row r="471">
      <c r="A471" t="inlineStr">
        <is>
          <t>637</t>
        </is>
      </c>
      <c r="B471" t="inlineStr">
        <is>
          <t>SR 1606</t>
        </is>
      </c>
      <c r="C471">
        <v>0.8</v>
      </c>
      <c r="D471" t="inlineStr">
        <is>
          <t>N</t>
        </is>
      </c>
      <c r="E471" t="inlineStr">
        <is>
          <t>NC 218</t>
        </is>
      </c>
      <c r="F471" t="inlineStr">
        <is>
          <t>SR 1547</t>
        </is>
      </c>
      <c r="G471" t="inlineStr">
        <is>
          <t>SR 1606</t>
        </is>
      </c>
      <c r="H471">
        <v>2.141</v>
      </c>
      <c r="L471">
        <v>107927512</v>
      </c>
      <c r="M471" t="inlineStr">
        <is>
          <t>11/18/2024</t>
        </is>
      </c>
      <c r="N471">
        <v>17</v>
      </c>
      <c r="O471">
        <v>1</v>
      </c>
      <c r="P471">
        <v>0</v>
      </c>
      <c r="Q471">
        <v>5</v>
      </c>
      <c r="R471" t="inlineStr">
        <is>
          <t>O</t>
        </is>
      </c>
    </row>
    <row r="472">
      <c r="A472" t="inlineStr">
        <is>
          <t>0</t>
        </is>
      </c>
      <c r="B472" t="inlineStr">
        <is>
          <t>SR 1606</t>
        </is>
      </c>
      <c r="C472">
        <v>0.8</v>
      </c>
      <c r="D472" t="inlineStr">
        <is>
          <t>N</t>
        </is>
      </c>
      <c r="E472" t="inlineStr">
        <is>
          <t>NC 218</t>
        </is>
      </c>
      <c r="F472" t="inlineStr">
        <is>
          <t>SR 1547</t>
        </is>
      </c>
      <c r="G472" t="inlineStr">
        <is>
          <t>SR 1606</t>
        </is>
      </c>
      <c r="H472">
        <v>2.141</v>
      </c>
      <c r="L472">
        <v>105380811</v>
      </c>
      <c r="M472" t="inlineStr">
        <is>
          <t>2/1/2018</t>
        </is>
      </c>
      <c r="N472">
        <v>28</v>
      </c>
      <c r="O472">
        <v>1</v>
      </c>
      <c r="P472">
        <v>0</v>
      </c>
      <c r="Q472">
        <v>5</v>
      </c>
      <c r="R472" t="inlineStr">
        <is>
          <t>O</t>
        </is>
      </c>
    </row>
    <row r="473">
      <c r="A473" t="inlineStr">
        <is>
          <t>0</t>
        </is>
      </c>
      <c r="B473" t="inlineStr">
        <is>
          <t>SR 1606</t>
        </is>
      </c>
      <c r="C473">
        <v>0.6</v>
      </c>
      <c r="D473" t="inlineStr">
        <is>
          <t>S</t>
        </is>
      </c>
      <c r="E473" t="inlineStr">
        <is>
          <t>SR 1547</t>
        </is>
      </c>
      <c r="F473" t="inlineStr">
        <is>
          <t>NC 218</t>
        </is>
      </c>
      <c r="G473" t="inlineStr">
        <is>
          <t>SR 1606</t>
        </is>
      </c>
      <c r="H473">
        <v>2.187</v>
      </c>
      <c r="L473">
        <v>107283618</v>
      </c>
      <c r="M473" t="inlineStr">
        <is>
          <t>3/25/2023</t>
        </is>
      </c>
      <c r="N473">
        <v>19</v>
      </c>
      <c r="O473">
        <v>2</v>
      </c>
      <c r="P473">
        <v>0</v>
      </c>
      <c r="Q473">
        <v>1</v>
      </c>
      <c r="R473" t="inlineStr">
        <is>
          <t>O</t>
        </is>
      </c>
    </row>
    <row r="474">
      <c r="A474" t="inlineStr">
        <is>
          <t>637</t>
        </is>
      </c>
      <c r="B474" t="inlineStr">
        <is>
          <t>SR 1606</t>
        </is>
      </c>
      <c r="C474">
        <v>1.0</v>
      </c>
      <c r="D474" t="inlineStr">
        <is>
          <t>S</t>
        </is>
      </c>
      <c r="E474" t="inlineStr">
        <is>
          <t>SR 1547</t>
        </is>
      </c>
      <c r="F474" t="inlineStr">
        <is>
          <t>NC 218</t>
        </is>
      </c>
      <c r="G474" t="inlineStr">
        <is>
          <t>SR 1606</t>
        </is>
      </c>
      <c r="H474">
        <v>2.587</v>
      </c>
      <c r="L474">
        <v>105685863</v>
      </c>
      <c r="M474" t="inlineStr">
        <is>
          <t>11/21/2018</t>
        </is>
      </c>
      <c r="N474">
        <v>17</v>
      </c>
      <c r="O474">
        <v>1</v>
      </c>
      <c r="P474">
        <v>0</v>
      </c>
      <c r="Q474">
        <v>1</v>
      </c>
      <c r="R474" t="inlineStr">
        <is>
          <t>O</t>
        </is>
      </c>
    </row>
    <row r="475">
      <c r="A475" t="inlineStr">
        <is>
          <t>0</t>
        </is>
      </c>
      <c r="B475" t="inlineStr">
        <is>
          <t>SR 1606</t>
        </is>
      </c>
      <c r="C475">
        <v>0.1</v>
      </c>
      <c r="D475" t="inlineStr">
        <is>
          <t>N</t>
        </is>
      </c>
      <c r="E475" t="inlineStr">
        <is>
          <t>NC 218</t>
        </is>
      </c>
      <c r="F475" t="inlineStr">
        <is>
          <t>SR 1547</t>
        </is>
      </c>
      <c r="G475" t="inlineStr">
        <is>
          <t>SR 1606</t>
        </is>
      </c>
      <c r="H475">
        <v>2.841</v>
      </c>
      <c r="L475">
        <v>105201844</v>
      </c>
      <c r="M475" t="inlineStr">
        <is>
          <t>8/22/2017</t>
        </is>
      </c>
      <c r="N475">
        <v>29</v>
      </c>
      <c r="O475">
        <v>1</v>
      </c>
      <c r="P475">
        <v>0</v>
      </c>
      <c r="Q475">
        <v>1</v>
      </c>
      <c r="R475" t="inlineStr">
        <is>
          <t>O</t>
        </is>
      </c>
    </row>
    <row r="476">
      <c r="A476" t="inlineStr">
        <is>
          <t>637</t>
        </is>
      </c>
      <c r="B476" t="inlineStr">
        <is>
          <t>SR 1606</t>
        </is>
      </c>
      <c r="C476">
        <v>0.004</v>
      </c>
      <c r="D476" t="inlineStr">
        <is>
          <t>N</t>
        </is>
      </c>
      <c r="E476" t="inlineStr">
        <is>
          <t>NC 218</t>
        </is>
      </c>
      <c r="F476" t="inlineStr">
        <is>
          <t>SR 1547</t>
        </is>
      </c>
      <c r="G476" t="inlineStr">
        <is>
          <t>SR 1606</t>
        </is>
      </c>
      <c r="H476">
        <v>2.937</v>
      </c>
      <c r="L476">
        <v>104726358</v>
      </c>
      <c r="M476" t="inlineStr">
        <is>
          <t>5/7/2016</t>
        </is>
      </c>
      <c r="N476">
        <v>19</v>
      </c>
      <c r="O476">
        <v>1</v>
      </c>
      <c r="P476">
        <v>0</v>
      </c>
      <c r="Q476">
        <v>5</v>
      </c>
      <c r="R476" t="inlineStr">
        <is>
          <t>C</t>
        </is>
      </c>
    </row>
    <row r="477">
      <c r="A477" t="inlineStr">
        <is>
          <t>637</t>
        </is>
      </c>
      <c r="B477" t="inlineStr">
        <is>
          <t>SR 1606</t>
        </is>
      </c>
      <c r="C477">
        <v>0.0</v>
      </c>
      <c r="E477" t="inlineStr">
        <is>
          <t>NC 218</t>
        </is>
      </c>
      <c r="F477" t="inlineStr">
        <is>
          <t>*LCL OLD FISH RD</t>
        </is>
      </c>
      <c r="G477" t="inlineStr">
        <is>
          <t>SR 1606</t>
        </is>
      </c>
      <c r="H477">
        <v>2.941</v>
      </c>
      <c r="L477">
        <v>108248400</v>
      </c>
      <c r="M477" t="inlineStr">
        <is>
          <t>9/24/2025</t>
        </is>
      </c>
      <c r="N477">
        <v>28</v>
      </c>
      <c r="O477">
        <v>1</v>
      </c>
      <c r="P477">
        <v>10</v>
      </c>
      <c r="Q477">
        <v>1</v>
      </c>
      <c r="R477" t="inlineStr">
        <is>
          <t>O</t>
        </is>
      </c>
    </row>
    <row r="478">
      <c r="A478" t="inlineStr">
        <is>
          <t>0</t>
        </is>
      </c>
      <c r="B478" t="inlineStr">
        <is>
          <t>SR 1606</t>
        </is>
      </c>
      <c r="C478">
        <v>0.0</v>
      </c>
      <c r="E478" t="inlineStr">
        <is>
          <t>NC 218</t>
        </is>
      </c>
      <c r="F478" t="inlineStr">
        <is>
          <t>SR 1610</t>
        </is>
      </c>
      <c r="G478" t="inlineStr">
        <is>
          <t>SR 1606</t>
        </is>
      </c>
      <c r="H478">
        <v>2.941</v>
      </c>
      <c r="L478">
        <v>106157650</v>
      </c>
      <c r="M478" t="inlineStr">
        <is>
          <t>2/13/2020</t>
        </is>
      </c>
      <c r="N478">
        <v>21</v>
      </c>
      <c r="O478">
        <v>1</v>
      </c>
      <c r="P478">
        <v>8</v>
      </c>
      <c r="Q478">
        <v>5</v>
      </c>
      <c r="R478" t="inlineStr">
        <is>
          <t>C</t>
        </is>
      </c>
    </row>
    <row r="479">
      <c r="A479" t="inlineStr">
        <is>
          <t>637</t>
        </is>
      </c>
      <c r="B479" t="inlineStr">
        <is>
          <t>SR 1606</t>
        </is>
      </c>
      <c r="C479">
        <v>0.0</v>
      </c>
      <c r="E479" t="inlineStr">
        <is>
          <t>NC 218</t>
        </is>
      </c>
      <c r="F479" t="inlineStr">
        <is>
          <t>SR 1609</t>
        </is>
      </c>
      <c r="G479" t="inlineStr">
        <is>
          <t>SR 1606</t>
        </is>
      </c>
      <c r="H479">
        <v>2.941</v>
      </c>
      <c r="L479">
        <v>105168368</v>
      </c>
      <c r="M479" t="inlineStr">
        <is>
          <t>7/21/2017</t>
        </is>
      </c>
      <c r="N479">
        <v>30</v>
      </c>
      <c r="O479">
        <v>1</v>
      </c>
      <c r="P479">
        <v>7</v>
      </c>
      <c r="Q479">
        <v>1</v>
      </c>
      <c r="R479" t="inlineStr">
        <is>
          <t>O</t>
        </is>
      </c>
    </row>
    <row r="480">
      <c r="A480" t="inlineStr">
        <is>
          <t>637</t>
        </is>
      </c>
      <c r="B480" t="inlineStr">
        <is>
          <t>SR 1606</t>
        </is>
      </c>
      <c r="C480">
        <v>0.006</v>
      </c>
      <c r="D480" t="inlineStr">
        <is>
          <t>S</t>
        </is>
      </c>
      <c r="E480" t="inlineStr">
        <is>
          <t>NC 218</t>
        </is>
      </c>
      <c r="F480" t="inlineStr">
        <is>
          <t>SR 1610</t>
        </is>
      </c>
      <c r="G480" t="inlineStr">
        <is>
          <t>SR 1606</t>
        </is>
      </c>
      <c r="H480">
        <v>2.947</v>
      </c>
      <c r="L480">
        <v>107743765</v>
      </c>
      <c r="M480" t="inlineStr">
        <is>
          <t>6/5/2024</t>
        </is>
      </c>
      <c r="N480">
        <v>29</v>
      </c>
      <c r="O480">
        <v>2</v>
      </c>
      <c r="P480">
        <v>7</v>
      </c>
      <c r="Q480">
        <v>1</v>
      </c>
      <c r="R480" t="inlineStr">
        <is>
          <t>O</t>
        </is>
      </c>
    </row>
    <row r="481">
      <c r="A481" t="inlineStr">
        <is>
          <t>637</t>
        </is>
      </c>
      <c r="B481" t="inlineStr">
        <is>
          <t>SR 1606</t>
        </is>
      </c>
      <c r="C481">
        <v>0.0</v>
      </c>
      <c r="E481" t="inlineStr">
        <is>
          <t>SR 1610</t>
        </is>
      </c>
      <c r="F481" t="inlineStr">
        <is>
          <t>NC 218</t>
        </is>
      </c>
      <c r="G481" t="inlineStr">
        <is>
          <t>SR 1606</t>
        </is>
      </c>
      <c r="H481">
        <v>3.158</v>
      </c>
      <c r="L481">
        <v>108370708</v>
      </c>
      <c r="M481" t="inlineStr">
        <is>
          <t>1/13/2026</t>
        </is>
      </c>
      <c r="N481">
        <v>25</v>
      </c>
      <c r="O481">
        <v>1</v>
      </c>
      <c r="P481">
        <v>0</v>
      </c>
      <c r="Q481">
        <v>1</v>
      </c>
      <c r="R481" t="inlineStr">
        <is>
          <t>O</t>
        </is>
      </c>
    </row>
    <row r="482">
      <c r="A482" t="inlineStr">
        <is>
          <t>0</t>
        </is>
      </c>
      <c r="B482" t="inlineStr">
        <is>
          <t>SR 1606</t>
        </is>
      </c>
      <c r="C482">
        <v>0.04</v>
      </c>
      <c r="D482" t="inlineStr">
        <is>
          <t>N</t>
        </is>
      </c>
      <c r="E482" t="inlineStr">
        <is>
          <t>SR 1654</t>
        </is>
      </c>
      <c r="F482" t="inlineStr">
        <is>
          <t>SR 1610</t>
        </is>
      </c>
      <c r="G482" t="inlineStr">
        <is>
          <t>SR 1606</t>
        </is>
      </c>
      <c r="H482">
        <v>3.539</v>
      </c>
      <c r="L482">
        <v>107733744</v>
      </c>
      <c r="M482" t="inlineStr">
        <is>
          <t>5/27/2024</t>
        </is>
      </c>
      <c r="N482">
        <v>19</v>
      </c>
      <c r="O482">
        <v>1</v>
      </c>
      <c r="P482">
        <v>0</v>
      </c>
      <c r="Q482">
        <v>1</v>
      </c>
      <c r="R482" t="inlineStr">
        <is>
          <t>O</t>
        </is>
      </c>
    </row>
    <row r="483">
      <c r="A483" t="inlineStr">
        <is>
          <t>558</t>
        </is>
      </c>
      <c r="B483" t="inlineStr">
        <is>
          <t>SR 1606</t>
        </is>
      </c>
      <c r="C483">
        <v>0.1</v>
      </c>
      <c r="D483" t="inlineStr">
        <is>
          <t>S</t>
        </is>
      </c>
      <c r="E483" t="inlineStr">
        <is>
          <t>SR 1654</t>
        </is>
      </c>
      <c r="F483" t="inlineStr">
        <is>
          <t>SR 1675</t>
        </is>
      </c>
      <c r="G483" t="inlineStr">
        <is>
          <t>SR 1606</t>
        </is>
      </c>
      <c r="H483">
        <v>3.679</v>
      </c>
      <c r="L483">
        <v>105220541</v>
      </c>
      <c r="M483" t="inlineStr">
        <is>
          <t>9/11/2017</t>
        </is>
      </c>
      <c r="N483">
        <v>19</v>
      </c>
      <c r="O483">
        <v>2</v>
      </c>
      <c r="P483">
        <v>0</v>
      </c>
      <c r="Q483">
        <v>5</v>
      </c>
      <c r="R483" t="inlineStr">
        <is>
          <t>O</t>
        </is>
      </c>
    </row>
    <row r="484">
      <c r="A484" t="inlineStr">
        <is>
          <t>0</t>
        </is>
      </c>
      <c r="B484" t="inlineStr">
        <is>
          <t>SR 1606</t>
        </is>
      </c>
      <c r="C484">
        <v>0.0</v>
      </c>
      <c r="E484" t="inlineStr">
        <is>
          <t>SR 1675</t>
        </is>
      </c>
      <c r="F484" t="inlineStr">
        <is>
          <t>SR 1611</t>
        </is>
      </c>
      <c r="G484" t="inlineStr">
        <is>
          <t>SR 1606</t>
        </is>
      </c>
      <c r="H484">
        <v>3.821</v>
      </c>
      <c r="L484">
        <v>106117532</v>
      </c>
      <c r="M484" t="inlineStr">
        <is>
          <t>1/5/2020</t>
        </is>
      </c>
      <c r="N484">
        <v>24</v>
      </c>
      <c r="O484">
        <v>1</v>
      </c>
      <c r="P484">
        <v>8</v>
      </c>
      <c r="Q484">
        <v>1</v>
      </c>
      <c r="R484" t="inlineStr">
        <is>
          <t>C</t>
        </is>
      </c>
    </row>
    <row r="485">
      <c r="A485" t="inlineStr">
        <is>
          <t>558</t>
        </is>
      </c>
      <c r="B485" t="inlineStr">
        <is>
          <t>SR 1606</t>
        </is>
      </c>
      <c r="C485">
        <v>0.002</v>
      </c>
      <c r="D485" t="inlineStr">
        <is>
          <t>S</t>
        </is>
      </c>
      <c r="E485" t="inlineStr">
        <is>
          <t>SR 1611</t>
        </is>
      </c>
      <c r="F485" t="inlineStr">
        <is>
          <t>SR 1615</t>
        </is>
      </c>
      <c r="G485" t="inlineStr">
        <is>
          <t>SR 1606</t>
        </is>
      </c>
      <c r="H485">
        <v>4.011</v>
      </c>
      <c r="L485">
        <v>104963318</v>
      </c>
      <c r="M485" t="inlineStr">
        <is>
          <t>12/27/2016</t>
        </is>
      </c>
      <c r="N485">
        <v>21</v>
      </c>
      <c r="O485">
        <v>1</v>
      </c>
      <c r="P485">
        <v>8</v>
      </c>
      <c r="Q485">
        <v>1</v>
      </c>
      <c r="R485" t="inlineStr">
        <is>
          <t>A</t>
        </is>
      </c>
    </row>
    <row r="486">
      <c r="A486" t="inlineStr">
        <is>
          <t>558</t>
        </is>
      </c>
      <c r="B486" t="inlineStr">
        <is>
          <t>SR 1606</t>
        </is>
      </c>
      <c r="C486">
        <v>0.2</v>
      </c>
      <c r="D486" t="inlineStr">
        <is>
          <t>SW</t>
        </is>
      </c>
      <c r="E486" t="inlineStr">
        <is>
          <t>SR 1611</t>
        </is>
      </c>
      <c r="F486" t="inlineStr">
        <is>
          <t>SR 1615</t>
        </is>
      </c>
      <c r="G486" t="inlineStr">
        <is>
          <t>SR 1606</t>
        </is>
      </c>
      <c r="H486">
        <v>4.209</v>
      </c>
      <c r="L486">
        <v>106998073</v>
      </c>
      <c r="M486" t="inlineStr">
        <is>
          <t>6/25/2022</t>
        </is>
      </c>
      <c r="N486">
        <v>19</v>
      </c>
      <c r="O486">
        <v>1</v>
      </c>
      <c r="P486">
        <v>0</v>
      </c>
      <c r="Q486">
        <v>1</v>
      </c>
      <c r="R486" t="inlineStr">
        <is>
          <t>B</t>
        </is>
      </c>
    </row>
    <row r="487">
      <c r="A487" t="inlineStr">
        <is>
          <t>558</t>
        </is>
      </c>
      <c r="B487" t="inlineStr">
        <is>
          <t>SR 1606</t>
        </is>
      </c>
      <c r="C487">
        <v>0.21</v>
      </c>
      <c r="D487" t="inlineStr">
        <is>
          <t>S</t>
        </is>
      </c>
      <c r="E487" t="inlineStr">
        <is>
          <t>SR 1611</t>
        </is>
      </c>
      <c r="F487" t="inlineStr">
        <is>
          <t>SR 1615</t>
        </is>
      </c>
      <c r="G487" t="inlineStr">
        <is>
          <t>SR 1606</t>
        </is>
      </c>
      <c r="H487">
        <v>4.219</v>
      </c>
      <c r="L487">
        <v>107562167</v>
      </c>
      <c r="M487" t="inlineStr">
        <is>
          <t>12/13/2023</t>
        </is>
      </c>
      <c r="N487">
        <v>29</v>
      </c>
      <c r="O487">
        <v>1</v>
      </c>
      <c r="P487">
        <v>0</v>
      </c>
      <c r="Q487">
        <v>5</v>
      </c>
      <c r="R487" t="inlineStr">
        <is>
          <t>O</t>
        </is>
      </c>
    </row>
    <row r="488">
      <c r="A488" t="inlineStr">
        <is>
          <t>558</t>
        </is>
      </c>
      <c r="B488" t="inlineStr">
        <is>
          <t>SR 1606</t>
        </is>
      </c>
      <c r="C488">
        <v>0.25</v>
      </c>
      <c r="D488" t="inlineStr">
        <is>
          <t>S</t>
        </is>
      </c>
      <c r="E488" t="inlineStr">
        <is>
          <t>SR 1611</t>
        </is>
      </c>
      <c r="F488" t="inlineStr">
        <is>
          <t>SR 1615</t>
        </is>
      </c>
      <c r="G488" t="inlineStr">
        <is>
          <t>SR 1606</t>
        </is>
      </c>
      <c r="H488">
        <v>4.259</v>
      </c>
      <c r="L488">
        <v>108527675</v>
      </c>
      <c r="M488" t="inlineStr">
        <is>
          <t>6/11/2026</t>
        </is>
      </c>
      <c r="N488">
        <v>21</v>
      </c>
      <c r="O488">
        <v>1</v>
      </c>
      <c r="P488">
        <v>0</v>
      </c>
      <c r="Q488">
        <v>1</v>
      </c>
      <c r="R488" t="inlineStr">
        <is>
          <t>C</t>
        </is>
      </c>
    </row>
    <row r="489">
      <c r="A489" t="inlineStr">
        <is>
          <t>0</t>
        </is>
      </c>
      <c r="B489" t="inlineStr">
        <is>
          <t>SR 1606</t>
        </is>
      </c>
      <c r="C489">
        <v>2.7</v>
      </c>
      <c r="D489" t="inlineStr">
        <is>
          <t>S</t>
        </is>
      </c>
      <c r="E489" t="inlineStr">
        <is>
          <t>SR 1547</t>
        </is>
      </c>
      <c r="F489" t="inlineStr">
        <is>
          <t>NC 218</t>
        </is>
      </c>
      <c r="G489" t="inlineStr">
        <is>
          <t>SR 1606</t>
        </is>
      </c>
      <c r="H489">
        <v>4.287</v>
      </c>
      <c r="L489">
        <v>106169959</v>
      </c>
      <c r="M489" t="inlineStr">
        <is>
          <t>2/25/2020</t>
        </is>
      </c>
      <c r="N489">
        <v>17</v>
      </c>
      <c r="O489">
        <v>1</v>
      </c>
      <c r="P489">
        <v>0</v>
      </c>
      <c r="Q489">
        <v>5</v>
      </c>
      <c r="R489" t="inlineStr">
        <is>
          <t>O</t>
        </is>
      </c>
    </row>
    <row r="490">
      <c r="A490" t="inlineStr">
        <is>
          <t>558</t>
        </is>
      </c>
      <c r="B490" t="inlineStr">
        <is>
          <t>SR 1606</t>
        </is>
      </c>
      <c r="C490">
        <v>0.009</v>
      </c>
      <c r="D490" t="inlineStr">
        <is>
          <t>N</t>
        </is>
      </c>
      <c r="E490" t="inlineStr">
        <is>
          <t>SR 1615</t>
        </is>
      </c>
      <c r="F490" t="inlineStr">
        <is>
          <t>SR 1611</t>
        </is>
      </c>
      <c r="G490" t="inlineStr">
        <is>
          <t>SR 1606</t>
        </is>
      </c>
      <c r="H490">
        <v>4.582</v>
      </c>
      <c r="L490">
        <v>105132992</v>
      </c>
      <c r="M490" t="inlineStr">
        <is>
          <t>6/11/2017</t>
        </is>
      </c>
      <c r="N490">
        <v>17</v>
      </c>
      <c r="O490">
        <v>1</v>
      </c>
      <c r="P490">
        <v>0</v>
      </c>
      <c r="Q490">
        <v>5</v>
      </c>
      <c r="R490" t="inlineStr">
        <is>
          <t>O</t>
        </is>
      </c>
    </row>
    <row r="491">
      <c r="A491" t="inlineStr">
        <is>
          <t>558</t>
        </is>
      </c>
      <c r="B491" t="inlineStr">
        <is>
          <t>SR 1606</t>
        </is>
      </c>
      <c r="C491">
        <v>0.25</v>
      </c>
      <c r="D491" t="inlineStr">
        <is>
          <t>N</t>
        </is>
      </c>
      <c r="E491" t="inlineStr">
        <is>
          <t>SR 1638</t>
        </is>
      </c>
      <c r="F491" t="inlineStr">
        <is>
          <t>SR 1615</t>
        </is>
      </c>
      <c r="G491" t="inlineStr">
        <is>
          <t>SR 1606</t>
        </is>
      </c>
      <c r="H491">
        <v>4.766</v>
      </c>
      <c r="L491">
        <v>106462109</v>
      </c>
      <c r="M491" t="inlineStr">
        <is>
          <t>1/12/2021</t>
        </is>
      </c>
      <c r="N491">
        <v>19</v>
      </c>
      <c r="O491">
        <v>1</v>
      </c>
      <c r="P491">
        <v>0</v>
      </c>
      <c r="Q491">
        <v>1</v>
      </c>
      <c r="R491" t="inlineStr">
        <is>
          <t>O</t>
        </is>
      </c>
    </row>
    <row r="492">
      <c r="A492" t="inlineStr">
        <is>
          <t>558</t>
        </is>
      </c>
      <c r="B492" t="inlineStr">
        <is>
          <t>SR 1606</t>
        </is>
      </c>
      <c r="C492">
        <v>0.4</v>
      </c>
      <c r="D492" t="inlineStr">
        <is>
          <t>S</t>
        </is>
      </c>
      <c r="E492" t="inlineStr">
        <is>
          <t>SR 1615</t>
        </is>
      </c>
      <c r="F492" t="inlineStr">
        <is>
          <t>SR 1678</t>
        </is>
      </c>
      <c r="G492" t="inlineStr">
        <is>
          <t>SR 1606</t>
        </is>
      </c>
      <c r="H492">
        <v>4.991</v>
      </c>
      <c r="L492">
        <v>106958785</v>
      </c>
      <c r="M492" t="inlineStr">
        <is>
          <t>5/16/2022</t>
        </is>
      </c>
      <c r="N492">
        <v>21</v>
      </c>
      <c r="O492">
        <v>1</v>
      </c>
      <c r="P492">
        <v>8</v>
      </c>
      <c r="Q492">
        <v>1</v>
      </c>
      <c r="R492" t="inlineStr">
        <is>
          <t>C</t>
        </is>
      </c>
    </row>
    <row r="493">
      <c r="A493" t="inlineStr">
        <is>
          <t>0</t>
        </is>
      </c>
      <c r="B493" t="inlineStr">
        <is>
          <t>SR 1606</t>
        </is>
      </c>
      <c r="C493">
        <v>0.8</v>
      </c>
      <c r="D493" t="inlineStr">
        <is>
          <t>N</t>
        </is>
      </c>
      <c r="E493" t="inlineStr">
        <is>
          <t>SR 1678</t>
        </is>
      </c>
      <c r="F493" t="inlineStr">
        <is>
          <t>SR 1615</t>
        </is>
      </c>
      <c r="G493" t="inlineStr">
        <is>
          <t>SR 1606</t>
        </is>
      </c>
      <c r="H493">
        <v>4.996</v>
      </c>
      <c r="L493">
        <v>107584544</v>
      </c>
      <c r="M493" t="inlineStr">
        <is>
          <t>1/3/2024</t>
        </is>
      </c>
      <c r="N493">
        <v>17</v>
      </c>
      <c r="O493">
        <v>2</v>
      </c>
      <c r="P493">
        <v>0</v>
      </c>
      <c r="Q493">
        <v>5</v>
      </c>
      <c r="R493" t="inlineStr">
        <is>
          <t>O</t>
        </is>
      </c>
    </row>
    <row r="494">
      <c r="A494" t="inlineStr">
        <is>
          <t>558</t>
        </is>
      </c>
      <c r="B494" t="inlineStr">
        <is>
          <t>SR 1606</t>
        </is>
      </c>
      <c r="C494">
        <v>0.0</v>
      </c>
      <c r="E494" t="inlineStr">
        <is>
          <t>SR 1638</t>
        </is>
      </c>
      <c r="F494" t="inlineStr">
        <is>
          <t>SR 1678</t>
        </is>
      </c>
      <c r="G494" t="inlineStr">
        <is>
          <t>SR 1606</t>
        </is>
      </c>
      <c r="H494">
        <v>5.016</v>
      </c>
      <c r="L494">
        <v>105600736</v>
      </c>
      <c r="M494" t="inlineStr">
        <is>
          <t>9/10/2018</t>
        </is>
      </c>
      <c r="N494">
        <v>19</v>
      </c>
      <c r="O494">
        <v>2</v>
      </c>
      <c r="P494">
        <v>8</v>
      </c>
      <c r="Q494">
        <v>1</v>
      </c>
      <c r="R494" t="inlineStr">
        <is>
          <t>C</t>
        </is>
      </c>
    </row>
    <row r="495">
      <c r="A495" t="inlineStr">
        <is>
          <t>558</t>
        </is>
      </c>
      <c r="B495" t="inlineStr">
        <is>
          <t>SR 1606</t>
        </is>
      </c>
      <c r="C495">
        <v>0.0</v>
      </c>
      <c r="D495" t="inlineStr">
        <is>
          <t>S</t>
        </is>
      </c>
      <c r="E495" t="inlineStr">
        <is>
          <t>SR 1638</t>
        </is>
      </c>
      <c r="F495" t="inlineStr">
        <is>
          <t>SR 1678</t>
        </is>
      </c>
      <c r="G495" t="inlineStr">
        <is>
          <t>SR 1606</t>
        </is>
      </c>
      <c r="H495">
        <v>5.016</v>
      </c>
      <c r="L495">
        <v>105805384</v>
      </c>
      <c r="M495" t="inlineStr">
        <is>
          <t>3/5/2019</t>
        </is>
      </c>
      <c r="N495">
        <v>23</v>
      </c>
      <c r="O495">
        <v>1</v>
      </c>
      <c r="P495">
        <v>0</v>
      </c>
      <c r="Q495">
        <v>1</v>
      </c>
      <c r="R495" t="inlineStr">
        <is>
          <t>O</t>
        </is>
      </c>
    </row>
    <row r="496">
      <c r="A496" t="inlineStr">
        <is>
          <t>558</t>
        </is>
      </c>
      <c r="B496" t="inlineStr">
        <is>
          <t>SR 1606</t>
        </is>
      </c>
      <c r="C496">
        <v>0.079</v>
      </c>
      <c r="D496" t="inlineStr">
        <is>
          <t>S</t>
        </is>
      </c>
      <c r="E496" t="inlineStr">
        <is>
          <t>SR 1638</t>
        </is>
      </c>
      <c r="F496" t="inlineStr">
        <is>
          <t>SR 1678</t>
        </is>
      </c>
      <c r="G496" t="inlineStr">
        <is>
          <t>SR 1606</t>
        </is>
      </c>
      <c r="H496">
        <v>5.095</v>
      </c>
      <c r="L496">
        <v>107321031</v>
      </c>
      <c r="M496" t="inlineStr">
        <is>
          <t>4/20/2023</t>
        </is>
      </c>
      <c r="N496">
        <v>22</v>
      </c>
      <c r="O496">
        <v>1</v>
      </c>
      <c r="P496">
        <v>0</v>
      </c>
      <c r="Q496">
        <v>1</v>
      </c>
      <c r="R496" t="inlineStr">
        <is>
          <t>K</t>
        </is>
      </c>
    </row>
    <row r="497">
      <c r="A497" t="inlineStr">
        <is>
          <t>0</t>
        </is>
      </c>
      <c r="B497" t="inlineStr">
        <is>
          <t>SR 1606</t>
        </is>
      </c>
      <c r="C497">
        <v>0.6</v>
      </c>
      <c r="D497" t="inlineStr">
        <is>
          <t>N</t>
        </is>
      </c>
      <c r="E497" t="inlineStr">
        <is>
          <t>SR 1678</t>
        </is>
      </c>
      <c r="F497" t="inlineStr">
        <is>
          <t>SR 1638</t>
        </is>
      </c>
      <c r="G497" t="inlineStr">
        <is>
          <t>SR 1606</t>
        </is>
      </c>
      <c r="H497">
        <v>5.196</v>
      </c>
      <c r="L497">
        <v>106432490</v>
      </c>
      <c r="M497" t="inlineStr">
        <is>
          <t>12/9/2020</t>
        </is>
      </c>
      <c r="N497">
        <v>17</v>
      </c>
      <c r="O497">
        <v>1</v>
      </c>
      <c r="P497">
        <v>0</v>
      </c>
      <c r="Q497">
        <v>5</v>
      </c>
      <c r="R497" t="inlineStr">
        <is>
          <t>O</t>
        </is>
      </c>
    </row>
    <row r="498">
      <c r="A498" t="inlineStr">
        <is>
          <t>558</t>
        </is>
      </c>
      <c r="B498" t="inlineStr">
        <is>
          <t>SR 1606</t>
        </is>
      </c>
      <c r="C498">
        <v>0.2</v>
      </c>
      <c r="D498" t="inlineStr">
        <is>
          <t>S</t>
        </is>
      </c>
      <c r="E498" t="inlineStr">
        <is>
          <t>SR 1638</t>
        </is>
      </c>
      <c r="F498" t="inlineStr">
        <is>
          <t>SR 1618</t>
        </is>
      </c>
      <c r="G498" t="inlineStr">
        <is>
          <t>SR 1606</t>
        </is>
      </c>
      <c r="H498">
        <v>5.216</v>
      </c>
      <c r="L498">
        <v>107149014</v>
      </c>
      <c r="M498" t="inlineStr">
        <is>
          <t>11/12/2022</t>
        </is>
      </c>
      <c r="N498">
        <v>17</v>
      </c>
      <c r="O498">
        <v>1</v>
      </c>
      <c r="P498">
        <v>0</v>
      </c>
      <c r="Q498">
        <v>1</v>
      </c>
      <c r="R498" t="inlineStr">
        <is>
          <t>O</t>
        </is>
      </c>
    </row>
    <row r="499">
      <c r="A499" t="inlineStr">
        <is>
          <t>558</t>
        </is>
      </c>
      <c r="B499" t="inlineStr">
        <is>
          <t>SR 1606</t>
        </is>
      </c>
      <c r="C499">
        <v>0.3</v>
      </c>
      <c r="D499" t="inlineStr">
        <is>
          <t>S</t>
        </is>
      </c>
      <c r="E499" t="inlineStr">
        <is>
          <t>SR 1638</t>
        </is>
      </c>
      <c r="F499" t="inlineStr">
        <is>
          <t>SR 1001</t>
        </is>
      </c>
      <c r="G499" t="inlineStr">
        <is>
          <t>SR 1606</t>
        </is>
      </c>
      <c r="H499">
        <v>5.316</v>
      </c>
      <c r="L499">
        <v>108460445</v>
      </c>
      <c r="M499" t="inlineStr">
        <is>
          <t>4/8/2026</t>
        </is>
      </c>
      <c r="N499">
        <v>23</v>
      </c>
      <c r="O499">
        <v>1</v>
      </c>
      <c r="P499">
        <v>5</v>
      </c>
      <c r="Q499">
        <v>1</v>
      </c>
      <c r="R499" t="inlineStr">
        <is>
          <t>O</t>
        </is>
      </c>
    </row>
    <row r="500">
      <c r="A500" t="inlineStr">
        <is>
          <t>558</t>
        </is>
      </c>
      <c r="B500" t="inlineStr">
        <is>
          <t>SR 1606</t>
        </is>
      </c>
      <c r="C500">
        <v>0.4</v>
      </c>
      <c r="D500" t="inlineStr">
        <is>
          <t>S</t>
        </is>
      </c>
      <c r="E500" t="inlineStr">
        <is>
          <t>SR 1638</t>
        </is>
      </c>
      <c r="F500" t="inlineStr">
        <is>
          <t>SR 1001</t>
        </is>
      </c>
      <c r="G500" t="inlineStr">
        <is>
          <t>SR 1606</t>
        </is>
      </c>
      <c r="H500">
        <v>5.416</v>
      </c>
      <c r="L500">
        <v>107082969</v>
      </c>
      <c r="M500" t="inlineStr">
        <is>
          <t>9/16/2022</t>
        </is>
      </c>
      <c r="N500">
        <v>27</v>
      </c>
      <c r="O500">
        <v>1</v>
      </c>
      <c r="P500">
        <v>0</v>
      </c>
      <c r="Q500">
        <v>1</v>
      </c>
      <c r="R500" t="inlineStr">
        <is>
          <t>A</t>
        </is>
      </c>
    </row>
    <row r="501">
      <c r="A501" t="inlineStr">
        <is>
          <t>0</t>
        </is>
      </c>
      <c r="B501" t="inlineStr">
        <is>
          <t>SR 1606</t>
        </is>
      </c>
      <c r="C501">
        <v>0.2</v>
      </c>
      <c r="D501" t="inlineStr">
        <is>
          <t>N</t>
        </is>
      </c>
      <c r="E501" t="inlineStr">
        <is>
          <t>SR 1678</t>
        </is>
      </c>
      <c r="F501" t="inlineStr">
        <is>
          <t>SR 1638</t>
        </is>
      </c>
      <c r="G501" t="inlineStr">
        <is>
          <t>SR 1606</t>
        </is>
      </c>
      <c r="H501">
        <v>5.596</v>
      </c>
      <c r="L501">
        <v>107360456</v>
      </c>
      <c r="M501" t="inlineStr">
        <is>
          <t>6/6/2023</t>
        </is>
      </c>
      <c r="N501">
        <v>29</v>
      </c>
      <c r="O501">
        <v>1</v>
      </c>
      <c r="P501">
        <v>0</v>
      </c>
      <c r="Q501">
        <v>1</v>
      </c>
      <c r="R501" t="inlineStr">
        <is>
          <t>O</t>
        </is>
      </c>
    </row>
    <row r="502">
      <c r="A502" t="inlineStr">
        <is>
          <t>558</t>
        </is>
      </c>
      <c r="B502" t="inlineStr">
        <is>
          <t>SR 1606</t>
        </is>
      </c>
      <c r="C502">
        <v>0.076</v>
      </c>
      <c r="D502" t="inlineStr">
        <is>
          <t>N</t>
        </is>
      </c>
      <c r="E502" t="inlineStr">
        <is>
          <t>SR 1688</t>
        </is>
      </c>
      <c r="F502" t="inlineStr">
        <is>
          <t>SR 1638</t>
        </is>
      </c>
      <c r="G502" t="inlineStr">
        <is>
          <t>SR 1606</t>
        </is>
      </c>
      <c r="H502">
        <v>5.652</v>
      </c>
      <c r="L502">
        <v>108134261</v>
      </c>
      <c r="M502" t="inlineStr">
        <is>
          <t>6/6/2025</t>
        </is>
      </c>
      <c r="N502">
        <v>19</v>
      </c>
      <c r="O502">
        <v>1</v>
      </c>
      <c r="P502">
        <v>0</v>
      </c>
      <c r="Q502">
        <v>5</v>
      </c>
      <c r="R502" t="inlineStr">
        <is>
          <t>B</t>
        </is>
      </c>
    </row>
    <row r="503">
      <c r="A503" t="inlineStr">
        <is>
          <t>558</t>
        </is>
      </c>
      <c r="B503" t="inlineStr">
        <is>
          <t>SR 1606</t>
        </is>
      </c>
      <c r="C503">
        <v>0.0</v>
      </c>
      <c r="E503" t="inlineStr">
        <is>
          <t>SR 1688</t>
        </is>
      </c>
      <c r="F503" t="inlineStr">
        <is>
          <t>SR 1618</t>
        </is>
      </c>
      <c r="G503" t="inlineStr">
        <is>
          <t>SR 1606</t>
        </is>
      </c>
      <c r="H503">
        <v>5.728</v>
      </c>
      <c r="L503">
        <v>107281872</v>
      </c>
      <c r="M503" t="inlineStr">
        <is>
          <t>3/23/2023</t>
        </is>
      </c>
      <c r="N503">
        <v>23</v>
      </c>
      <c r="O503">
        <v>1</v>
      </c>
      <c r="P503">
        <v>0</v>
      </c>
      <c r="Q503">
        <v>1</v>
      </c>
      <c r="R503" t="inlineStr">
        <is>
          <t>O</t>
        </is>
      </c>
    </row>
    <row r="504">
      <c r="A504" t="inlineStr">
        <is>
          <t>558</t>
        </is>
      </c>
      <c r="B504" t="inlineStr">
        <is>
          <t>SR 1606</t>
        </is>
      </c>
      <c r="C504">
        <v>0.01</v>
      </c>
      <c r="D504" t="inlineStr">
        <is>
          <t>S</t>
        </is>
      </c>
      <c r="E504" t="inlineStr">
        <is>
          <t>SR 1688</t>
        </is>
      </c>
      <c r="F504" t="inlineStr">
        <is>
          <t>SR 1678</t>
        </is>
      </c>
      <c r="G504" t="inlineStr">
        <is>
          <t>SR 1606</t>
        </is>
      </c>
      <c r="H504">
        <v>5.738</v>
      </c>
      <c r="L504">
        <v>107112659</v>
      </c>
      <c r="M504" t="inlineStr">
        <is>
          <t>10/6/2022</t>
        </is>
      </c>
      <c r="N504">
        <v>21</v>
      </c>
      <c r="O504">
        <v>1</v>
      </c>
      <c r="P504">
        <v>0</v>
      </c>
      <c r="Q504">
        <v>5</v>
      </c>
      <c r="R504" t="inlineStr">
        <is>
          <t>A</t>
        </is>
      </c>
    </row>
    <row r="505">
      <c r="A505" t="inlineStr">
        <is>
          <t>558</t>
        </is>
      </c>
      <c r="B505" t="inlineStr">
        <is>
          <t>SR 1606</t>
        </is>
      </c>
      <c r="C505">
        <v>0.002</v>
      </c>
      <c r="D505" t="inlineStr">
        <is>
          <t>N</t>
        </is>
      </c>
      <c r="E505" t="inlineStr">
        <is>
          <t>SR 1678</t>
        </is>
      </c>
      <c r="F505" t="inlineStr">
        <is>
          <t>SR 1638</t>
        </is>
      </c>
      <c r="G505" t="inlineStr">
        <is>
          <t>SR 1606</t>
        </is>
      </c>
      <c r="H505">
        <v>5.794</v>
      </c>
      <c r="L505">
        <v>106109136</v>
      </c>
      <c r="M505" t="inlineStr">
        <is>
          <t>12/18/2019</t>
        </is>
      </c>
      <c r="N505">
        <v>21</v>
      </c>
      <c r="O505">
        <v>1</v>
      </c>
      <c r="P505">
        <v>0</v>
      </c>
      <c r="Q505">
        <v>1</v>
      </c>
      <c r="R505" t="inlineStr">
        <is>
          <t>O</t>
        </is>
      </c>
    </row>
    <row r="506">
      <c r="A506" t="inlineStr">
        <is>
          <t>558</t>
        </is>
      </c>
      <c r="B506" t="inlineStr">
        <is>
          <t>SR 1606</t>
        </is>
      </c>
      <c r="C506">
        <v>0.006</v>
      </c>
      <c r="D506" t="inlineStr">
        <is>
          <t>S</t>
        </is>
      </c>
      <c r="E506" t="inlineStr">
        <is>
          <t>SR 1678</t>
        </is>
      </c>
      <c r="F506" t="inlineStr">
        <is>
          <t>SR 1001</t>
        </is>
      </c>
      <c r="G506" t="inlineStr">
        <is>
          <t>SR 1606</t>
        </is>
      </c>
      <c r="H506">
        <v>5.802</v>
      </c>
      <c r="L506">
        <v>107611797</v>
      </c>
      <c r="M506" t="inlineStr">
        <is>
          <t>1/31/2024</t>
        </is>
      </c>
      <c r="N506">
        <v>19</v>
      </c>
      <c r="O506">
        <v>1</v>
      </c>
      <c r="P506">
        <v>0</v>
      </c>
      <c r="Q506">
        <v>1</v>
      </c>
      <c r="R506" t="inlineStr">
        <is>
          <t>O</t>
        </is>
      </c>
    </row>
    <row r="507">
      <c r="A507" t="inlineStr">
        <is>
          <t>558</t>
        </is>
      </c>
      <c r="B507" t="inlineStr">
        <is>
          <t>SR 1606</t>
        </is>
      </c>
      <c r="C507">
        <v>0.055</v>
      </c>
      <c r="D507" t="inlineStr">
        <is>
          <t>S</t>
        </is>
      </c>
      <c r="E507" t="inlineStr">
        <is>
          <t>SR 1678</t>
        </is>
      </c>
      <c r="F507" t="inlineStr">
        <is>
          <t>SR 1618</t>
        </is>
      </c>
      <c r="G507" t="inlineStr">
        <is>
          <t>SR 1606</t>
        </is>
      </c>
      <c r="H507">
        <v>5.851</v>
      </c>
      <c r="L507">
        <v>108466476</v>
      </c>
      <c r="M507" t="inlineStr">
        <is>
          <t>4/9/2026</t>
        </is>
      </c>
      <c r="N507">
        <v>28</v>
      </c>
      <c r="O507">
        <v>1</v>
      </c>
      <c r="P507">
        <v>0</v>
      </c>
      <c r="Q507">
        <v>5</v>
      </c>
      <c r="R507" t="inlineStr">
        <is>
          <t>C</t>
        </is>
      </c>
    </row>
    <row r="508">
      <c r="A508" t="inlineStr">
        <is>
          <t>558</t>
        </is>
      </c>
      <c r="B508" t="inlineStr">
        <is>
          <t>SR 1606</t>
        </is>
      </c>
      <c r="C508">
        <v>0.1</v>
      </c>
      <c r="D508" t="inlineStr">
        <is>
          <t>S</t>
        </is>
      </c>
      <c r="E508" t="inlineStr">
        <is>
          <t>SR 1678</t>
        </is>
      </c>
      <c r="F508" t="inlineStr">
        <is>
          <t>SR 1001</t>
        </is>
      </c>
      <c r="G508" t="inlineStr">
        <is>
          <t>SR 1606</t>
        </is>
      </c>
      <c r="H508">
        <v>5.896</v>
      </c>
      <c r="L508">
        <v>105783157</v>
      </c>
      <c r="M508" t="inlineStr">
        <is>
          <t>2/20/2019</t>
        </is>
      </c>
      <c r="N508">
        <v>26</v>
      </c>
      <c r="O508">
        <v>2</v>
      </c>
      <c r="P508">
        <v>0</v>
      </c>
      <c r="Q508">
        <v>1</v>
      </c>
      <c r="R508" t="inlineStr">
        <is>
          <t>O</t>
        </is>
      </c>
    </row>
    <row r="509">
      <c r="A509" t="inlineStr">
        <is>
          <t>0</t>
        </is>
      </c>
      <c r="B509" t="inlineStr">
        <is>
          <t>SR 1606</t>
        </is>
      </c>
      <c r="C509">
        <v>0.1</v>
      </c>
      <c r="D509" t="inlineStr">
        <is>
          <t>N</t>
        </is>
      </c>
      <c r="E509" t="inlineStr">
        <is>
          <t>SR 1001</t>
        </is>
      </c>
      <c r="F509" t="inlineStr">
        <is>
          <t>SR 1678</t>
        </is>
      </c>
      <c r="G509" t="inlineStr">
        <is>
          <t>SR 1606</t>
        </is>
      </c>
      <c r="H509">
        <v>5.966</v>
      </c>
      <c r="L509">
        <v>106017162</v>
      </c>
      <c r="M509" t="inlineStr">
        <is>
          <t>10/2/2019</t>
        </is>
      </c>
      <c r="N509">
        <v>21</v>
      </c>
      <c r="O509">
        <v>1</v>
      </c>
      <c r="P509">
        <v>0</v>
      </c>
      <c r="Q509">
        <v>1</v>
      </c>
      <c r="R509" t="inlineStr">
        <is>
          <t>B</t>
        </is>
      </c>
    </row>
    <row r="510">
      <c r="A510" t="inlineStr">
        <is>
          <t>558</t>
        </is>
      </c>
      <c r="B510" t="inlineStr">
        <is>
          <t>SR 1606</t>
        </is>
      </c>
      <c r="C510">
        <v>0.009</v>
      </c>
      <c r="D510" t="inlineStr">
        <is>
          <t>E</t>
        </is>
      </c>
      <c r="E510" t="inlineStr">
        <is>
          <t>SR 1618</t>
        </is>
      </c>
      <c r="F510" t="inlineStr">
        <is>
          <t>SR 1001</t>
        </is>
      </c>
      <c r="G510" t="inlineStr">
        <is>
          <t>SR 1606</t>
        </is>
      </c>
      <c r="H510">
        <v>6.057</v>
      </c>
      <c r="L510">
        <v>105225441</v>
      </c>
      <c r="M510" t="inlineStr">
        <is>
          <t>9/19/2017</t>
        </is>
      </c>
      <c r="N510">
        <v>30</v>
      </c>
      <c r="O510">
        <v>1</v>
      </c>
      <c r="P510">
        <v>10</v>
      </c>
      <c r="Q510">
        <v>1</v>
      </c>
      <c r="R510" t="inlineStr">
        <is>
          <t>O</t>
        </is>
      </c>
    </row>
    <row r="511">
      <c r="A511" t="inlineStr">
        <is>
          <t>558</t>
        </is>
      </c>
      <c r="B511" t="inlineStr">
        <is>
          <t>SR 1606</t>
        </is>
      </c>
      <c r="C511">
        <v>0.0</v>
      </c>
      <c r="E511" t="inlineStr">
        <is>
          <t>SR 1001</t>
        </is>
      </c>
      <c r="F511" t="inlineStr">
        <is>
          <t>SR 1678</t>
        </is>
      </c>
      <c r="G511" t="inlineStr">
        <is>
          <t>SR 1606</t>
        </is>
      </c>
      <c r="H511">
        <v>6.066</v>
      </c>
      <c r="L511">
        <v>105404553</v>
      </c>
      <c r="M511" t="inlineStr">
        <is>
          <t>3/6/2018</t>
        </is>
      </c>
      <c r="N511">
        <v>30</v>
      </c>
      <c r="O511">
        <v>2</v>
      </c>
      <c r="P511">
        <v>0</v>
      </c>
      <c r="Q511">
        <v>1</v>
      </c>
      <c r="R511" t="inlineStr">
        <is>
          <t>C</t>
        </is>
      </c>
    </row>
    <row r="512">
      <c r="A512" t="inlineStr">
        <is>
          <t>558</t>
        </is>
      </c>
      <c r="B512" t="inlineStr">
        <is>
          <t>SR 1606</t>
        </is>
      </c>
      <c r="C512">
        <v>0.0</v>
      </c>
      <c r="E512" t="inlineStr">
        <is>
          <t>SR 1618</t>
        </is>
      </c>
      <c r="F512" t="inlineStr">
        <is>
          <t>SR 1678</t>
        </is>
      </c>
      <c r="G512" t="inlineStr">
        <is>
          <t>SR 1606</t>
        </is>
      </c>
      <c r="H512">
        <v>6.066</v>
      </c>
      <c r="L512">
        <v>107997463</v>
      </c>
      <c r="M512" t="inlineStr">
        <is>
          <t>1/18/2025</t>
        </is>
      </c>
      <c r="N512">
        <v>30</v>
      </c>
      <c r="O512">
        <v>2</v>
      </c>
      <c r="P512">
        <v>10</v>
      </c>
      <c r="Q512">
        <v>5</v>
      </c>
      <c r="R512" t="inlineStr">
        <is>
          <t>O</t>
        </is>
      </c>
    </row>
    <row r="513">
      <c r="A513" t="inlineStr">
        <is>
          <t>558</t>
        </is>
      </c>
      <c r="B513" t="inlineStr">
        <is>
          <t>SR 1606</t>
        </is>
      </c>
      <c r="C513">
        <v>0.0</v>
      </c>
      <c r="E513" t="inlineStr">
        <is>
          <t>SR 1618</t>
        </is>
      </c>
      <c r="F513" t="inlineStr">
        <is>
          <t>SR 1001</t>
        </is>
      </c>
      <c r="G513" t="inlineStr">
        <is>
          <t>SR 1606</t>
        </is>
      </c>
      <c r="H513">
        <v>6.066</v>
      </c>
      <c r="L513">
        <v>106871624</v>
      </c>
      <c r="M513" t="inlineStr">
        <is>
          <t>2/17/2022</t>
        </is>
      </c>
      <c r="N513">
        <v>26</v>
      </c>
      <c r="O513">
        <v>1</v>
      </c>
      <c r="P513">
        <v>10</v>
      </c>
      <c r="Q513">
        <v>1</v>
      </c>
      <c r="R513" t="inlineStr">
        <is>
          <t>O</t>
        </is>
      </c>
    </row>
    <row r="514">
      <c r="A514" t="inlineStr">
        <is>
          <t>558</t>
        </is>
      </c>
      <c r="B514" t="inlineStr">
        <is>
          <t>SR 1606</t>
        </is>
      </c>
      <c r="C514">
        <v>0.0</v>
      </c>
      <c r="E514" t="inlineStr">
        <is>
          <t>SR 1618</t>
        </is>
      </c>
      <c r="F514" t="inlineStr">
        <is>
          <t>SR 1619</t>
        </is>
      </c>
      <c r="G514" t="inlineStr">
        <is>
          <t>SR 1606</t>
        </is>
      </c>
      <c r="H514">
        <v>6.066</v>
      </c>
      <c r="L514">
        <v>106509401</v>
      </c>
      <c r="M514" t="inlineStr">
        <is>
          <t>3/5/2021</t>
        </is>
      </c>
      <c r="N514">
        <v>26</v>
      </c>
      <c r="O514">
        <v>1</v>
      </c>
      <c r="P514">
        <v>10</v>
      </c>
      <c r="Q514">
        <v>5</v>
      </c>
      <c r="R514" t="inlineStr">
        <is>
          <t>O</t>
        </is>
      </c>
    </row>
    <row r="515">
      <c r="A515" t="inlineStr">
        <is>
          <t>558</t>
        </is>
      </c>
      <c r="B515" t="inlineStr">
        <is>
          <t>SR 1606</t>
        </is>
      </c>
      <c r="C515">
        <v>0.0</v>
      </c>
      <c r="E515" t="inlineStr">
        <is>
          <t>SR 1618</t>
        </is>
      </c>
      <c r="F515" t="inlineStr">
        <is>
          <t>SR 1681</t>
        </is>
      </c>
      <c r="G515" t="inlineStr">
        <is>
          <t>SR 1606</t>
        </is>
      </c>
      <c r="H515">
        <v>6.066</v>
      </c>
      <c r="L515">
        <v>106388383</v>
      </c>
      <c r="M515" t="inlineStr">
        <is>
          <t>10/30/2020</t>
        </is>
      </c>
      <c r="N515">
        <v>26</v>
      </c>
      <c r="O515">
        <v>1</v>
      </c>
      <c r="P515">
        <v>10</v>
      </c>
      <c r="Q515">
        <v>5</v>
      </c>
      <c r="R515" t="inlineStr">
        <is>
          <t>O</t>
        </is>
      </c>
    </row>
    <row r="516">
      <c r="A516" t="inlineStr">
        <is>
          <t>558</t>
        </is>
      </c>
      <c r="B516" t="inlineStr">
        <is>
          <t>SR 1606</t>
        </is>
      </c>
      <c r="C516">
        <v>0.0</v>
      </c>
      <c r="E516" t="inlineStr">
        <is>
          <t>SR 1618</t>
        </is>
      </c>
      <c r="F516" t="inlineStr">
        <is>
          <t>SR 1606</t>
        </is>
      </c>
      <c r="G516" t="inlineStr">
        <is>
          <t>SR 1606</t>
        </is>
      </c>
      <c r="H516">
        <v>6.066</v>
      </c>
      <c r="L516">
        <v>104942525</v>
      </c>
      <c r="M516" t="inlineStr">
        <is>
          <t>12/9/2016</t>
        </is>
      </c>
      <c r="N516">
        <v>26</v>
      </c>
      <c r="O516">
        <v>1</v>
      </c>
      <c r="P516">
        <v>10</v>
      </c>
      <c r="Q516">
        <v>1</v>
      </c>
      <c r="R516" t="inlineStr">
        <is>
          <t>C</t>
        </is>
      </c>
    </row>
    <row r="517">
      <c r="A517" t="inlineStr">
        <is>
          <t>0</t>
        </is>
      </c>
      <c r="B517" t="inlineStr">
        <is>
          <t>SR 1606</t>
        </is>
      </c>
      <c r="C517">
        <v>0.19</v>
      </c>
      <c r="D517" t="inlineStr">
        <is>
          <t>S</t>
        </is>
      </c>
      <c r="E517" t="inlineStr">
        <is>
          <t>SR 1637</t>
        </is>
      </c>
      <c r="F517" t="inlineStr">
        <is>
          <t>SR 1619</t>
        </is>
      </c>
      <c r="G517" t="inlineStr">
        <is>
          <t>SR 1606</t>
        </is>
      </c>
      <c r="H517">
        <v>6.066</v>
      </c>
      <c r="L517">
        <v>107028892</v>
      </c>
      <c r="M517" t="inlineStr">
        <is>
          <t>7/24/2022</t>
        </is>
      </c>
      <c r="N517">
        <v>14</v>
      </c>
      <c r="O517">
        <v>1</v>
      </c>
      <c r="P517">
        <v>0</v>
      </c>
      <c r="Q517">
        <v>1</v>
      </c>
      <c r="R517" t="inlineStr">
        <is>
          <t>A</t>
        </is>
      </c>
    </row>
    <row r="518">
      <c r="A518" t="inlineStr">
        <is>
          <t>558</t>
        </is>
      </c>
      <c r="B518" t="inlineStr">
        <is>
          <t>SR 1606</t>
        </is>
      </c>
      <c r="C518">
        <v>0.3</v>
      </c>
      <c r="D518" t="inlineStr">
        <is>
          <t>S</t>
        </is>
      </c>
      <c r="E518" t="inlineStr">
        <is>
          <t>SR 1678</t>
        </is>
      </c>
      <c r="F518" t="inlineStr">
        <is>
          <t>SR 1618</t>
        </is>
      </c>
      <c r="G518" t="inlineStr">
        <is>
          <t>SR 1606</t>
        </is>
      </c>
      <c r="H518">
        <v>6.066</v>
      </c>
      <c r="L518">
        <v>106581212</v>
      </c>
      <c r="M518" t="inlineStr">
        <is>
          <t>5/21/2021</t>
        </is>
      </c>
      <c r="N518">
        <v>21</v>
      </c>
      <c r="O518">
        <v>1</v>
      </c>
      <c r="P518">
        <v>0</v>
      </c>
      <c r="Q518">
        <v>1</v>
      </c>
      <c r="R518" t="inlineStr">
        <is>
          <t>C</t>
        </is>
      </c>
    </row>
    <row r="519">
      <c r="A519" t="inlineStr">
        <is>
          <t>558</t>
        </is>
      </c>
      <c r="B519" t="inlineStr">
        <is>
          <t>SR 1606</t>
        </is>
      </c>
      <c r="C519">
        <v>0.0</v>
      </c>
      <c r="E519" t="inlineStr">
        <is>
          <t>NC 200</t>
        </is>
      </c>
      <c r="F519" t="inlineStr">
        <is>
          <t>SR 1627</t>
        </is>
      </c>
      <c r="G519" t="inlineStr">
        <is>
          <t>SR 1606</t>
        </is>
      </c>
      <c r="H519">
        <v>999.999</v>
      </c>
      <c r="L519">
        <v>106732357</v>
      </c>
      <c r="M519" t="inlineStr">
        <is>
          <t>10/17/2021</t>
        </is>
      </c>
      <c r="N519">
        <v>30</v>
      </c>
      <c r="O519">
        <v>1</v>
      </c>
      <c r="P519">
        <v>7</v>
      </c>
      <c r="Q519">
        <v>1</v>
      </c>
      <c r="R519" t="inlineStr">
        <is>
          <t>C</t>
        </is>
      </c>
    </row>
    <row r="520">
      <c r="A520" t="inlineStr">
        <is>
          <t>558</t>
        </is>
      </c>
      <c r="B520" t="inlineStr">
        <is>
          <t>SR 1606</t>
        </is>
      </c>
      <c r="C520">
        <v>0.002</v>
      </c>
      <c r="D520" t="inlineStr">
        <is>
          <t>E</t>
        </is>
      </c>
      <c r="E520" t="inlineStr">
        <is>
          <t>NC 200</t>
        </is>
      </c>
      <c r="F520" t="inlineStr">
        <is>
          <t>SR 1673</t>
        </is>
      </c>
      <c r="G520" t="inlineStr">
        <is>
          <t>SR 1606</t>
        </is>
      </c>
      <c r="H520">
        <v>999.999</v>
      </c>
      <c r="L520">
        <v>105391943</v>
      </c>
      <c r="M520" t="inlineStr">
        <is>
          <t>2/23/2018</t>
        </is>
      </c>
      <c r="N520">
        <v>30</v>
      </c>
      <c r="O520">
        <v>1</v>
      </c>
      <c r="P520">
        <v>7</v>
      </c>
      <c r="Q520">
        <v>1</v>
      </c>
      <c r="R520" t="inlineStr">
        <is>
          <t>O</t>
        </is>
      </c>
    </row>
    <row r="521">
      <c r="A521" t="inlineStr">
        <is>
          <t>0</t>
        </is>
      </c>
      <c r="B521" t="inlineStr">
        <is>
          <t>SR 1606</t>
        </is>
      </c>
      <c r="C521">
        <v>0.25</v>
      </c>
      <c r="D521" t="inlineStr">
        <is>
          <t>N</t>
        </is>
      </c>
      <c r="E521" t="inlineStr">
        <is>
          <t>NC 200</t>
        </is>
      </c>
      <c r="F521" t="inlineStr">
        <is>
          <t>PRESSON FARM</t>
        </is>
      </c>
      <c r="G521" t="inlineStr">
        <is>
          <t>SR 1606</t>
        </is>
      </c>
      <c r="H521">
        <v>999.999</v>
      </c>
      <c r="L521">
        <v>106052165</v>
      </c>
      <c r="M521" t="inlineStr">
        <is>
          <t>11/5/2019</t>
        </is>
      </c>
      <c r="N521">
        <v>17</v>
      </c>
      <c r="O521">
        <v>1</v>
      </c>
      <c r="P521">
        <v>0</v>
      </c>
      <c r="Q521">
        <v>5</v>
      </c>
      <c r="R521" t="inlineStr">
        <is>
          <t>O</t>
        </is>
      </c>
    </row>
    <row r="522">
      <c r="A522" t="inlineStr">
        <is>
          <t>558</t>
        </is>
      </c>
      <c r="B522" t="inlineStr">
        <is>
          <t>SR 1606</t>
        </is>
      </c>
      <c r="C522">
        <v>0.25</v>
      </c>
      <c r="D522" t="inlineStr">
        <is>
          <t>NW</t>
        </is>
      </c>
      <c r="E522" t="inlineStr">
        <is>
          <t>NC 200</t>
        </is>
      </c>
      <c r="F522" t="inlineStr">
        <is>
          <t>PRESSON FARM</t>
        </is>
      </c>
      <c r="G522" t="inlineStr">
        <is>
          <t>SR 1606</t>
        </is>
      </c>
      <c r="H522">
        <v>999.999</v>
      </c>
      <c r="L522">
        <v>107613194</v>
      </c>
      <c r="M522" t="inlineStr">
        <is>
          <t>2/3/2024</t>
        </is>
      </c>
      <c r="N522">
        <v>23</v>
      </c>
      <c r="O522">
        <v>1</v>
      </c>
      <c r="P522">
        <v>0</v>
      </c>
      <c r="Q522">
        <v>1</v>
      </c>
      <c r="R522" t="inlineStr">
        <is>
          <t>O</t>
        </is>
      </c>
    </row>
    <row r="523">
      <c r="A523" t="inlineStr">
        <is>
          <t>558</t>
        </is>
      </c>
      <c r="B523" t="inlineStr">
        <is>
          <t>SR 1606</t>
        </is>
      </c>
      <c r="C523">
        <v>0.6</v>
      </c>
      <c r="D523" t="inlineStr">
        <is>
          <t>W</t>
        </is>
      </c>
      <c r="E523" t="inlineStr">
        <is>
          <t>NC 200</t>
        </is>
      </c>
      <c r="F523" t="inlineStr">
        <is>
          <t>SR 1697</t>
        </is>
      </c>
      <c r="G523" t="inlineStr">
        <is>
          <t>SR 1606</t>
        </is>
      </c>
      <c r="H523">
        <v>999.999</v>
      </c>
      <c r="L523">
        <v>108023442</v>
      </c>
      <c r="M523" t="inlineStr">
        <is>
          <t>2/16/2025</t>
        </is>
      </c>
      <c r="N523">
        <v>21</v>
      </c>
      <c r="O523">
        <v>1</v>
      </c>
      <c r="P523">
        <v>0</v>
      </c>
      <c r="Q523">
        <v>1</v>
      </c>
      <c r="R523" t="inlineStr">
        <is>
          <t>A</t>
        </is>
      </c>
    </row>
    <row r="524">
      <c r="A524" t="inlineStr">
        <is>
          <t>558</t>
        </is>
      </c>
      <c r="B524" t="inlineStr">
        <is>
          <t>SR 1606</t>
        </is>
      </c>
      <c r="C524">
        <v>1.5</v>
      </c>
      <c r="D524" t="inlineStr">
        <is>
          <t>NW</t>
        </is>
      </c>
      <c r="E524" t="inlineStr">
        <is>
          <t>NC 200</t>
        </is>
      </c>
      <c r="F524" t="inlineStr">
        <is>
          <t>MILL CREEK CHUR</t>
        </is>
      </c>
      <c r="G524" t="inlineStr">
        <is>
          <t>SR 1606</t>
        </is>
      </c>
      <c r="H524">
        <v>999.999</v>
      </c>
      <c r="L524">
        <v>107505990</v>
      </c>
      <c r="M524" t="inlineStr">
        <is>
          <t>10/27/2023</t>
        </is>
      </c>
      <c r="N524">
        <v>17</v>
      </c>
      <c r="O524">
        <v>1</v>
      </c>
      <c r="P524">
        <v>0</v>
      </c>
      <c r="Q524">
        <v>3</v>
      </c>
      <c r="R524" t="inlineStr">
        <is>
          <t>O</t>
        </is>
      </c>
    </row>
    <row r="525">
      <c r="A525" t="inlineStr">
        <is>
          <t>0</t>
        </is>
      </c>
      <c r="B525" t="inlineStr">
        <is>
          <t>SR 1606</t>
        </is>
      </c>
      <c r="C525">
        <v>0.0</v>
      </c>
      <c r="D525" t="inlineStr">
        <is>
          <t>N</t>
        </is>
      </c>
      <c r="E525" t="inlineStr">
        <is>
          <t>NEW SALEM</t>
        </is>
      </c>
      <c r="F525" t="inlineStr">
        <is>
          <t>G B HILL</t>
        </is>
      </c>
      <c r="G525" t="inlineStr">
        <is>
          <t>SR 1606</t>
        </is>
      </c>
      <c r="H525">
        <v>999.999</v>
      </c>
      <c r="L525">
        <v>105775814</v>
      </c>
      <c r="M525" t="inlineStr">
        <is>
          <t>2/13/2019</t>
        </is>
      </c>
      <c r="N525">
        <v>30</v>
      </c>
      <c r="O525">
        <v>1</v>
      </c>
      <c r="P525">
        <v>7</v>
      </c>
      <c r="Q525">
        <v>1</v>
      </c>
      <c r="R525" t="inlineStr">
        <is>
          <t>O</t>
        </is>
      </c>
    </row>
    <row r="526">
      <c r="A526" t="inlineStr">
        <is>
          <t>0</t>
        </is>
      </c>
      <c r="B526" t="inlineStr">
        <is>
          <t>SR 1606</t>
        </is>
      </c>
      <c r="C526">
        <v>0.2</v>
      </c>
      <c r="D526" t="inlineStr">
        <is>
          <t>N</t>
        </is>
      </c>
      <c r="E526" t="inlineStr">
        <is>
          <t>SR 1006</t>
        </is>
      </c>
      <c r="F526" t="inlineStr">
        <is>
          <t>SR 1001</t>
        </is>
      </c>
      <c r="G526" t="inlineStr">
        <is>
          <t>SR 1606</t>
        </is>
      </c>
      <c r="H526">
        <v>999.999</v>
      </c>
      <c r="L526">
        <v>105161843</v>
      </c>
      <c r="M526" t="inlineStr">
        <is>
          <t>7/13/2017</t>
        </is>
      </c>
      <c r="N526">
        <v>29</v>
      </c>
      <c r="O526">
        <v>1</v>
      </c>
      <c r="P526">
        <v>0</v>
      </c>
      <c r="Q526">
        <v>1</v>
      </c>
      <c r="R526" t="inlineStr">
        <is>
          <t>O</t>
        </is>
      </c>
    </row>
    <row r="527">
      <c r="A527" t="inlineStr">
        <is>
          <t>0</t>
        </is>
      </c>
      <c r="B527" t="inlineStr">
        <is>
          <t>SR 1606</t>
        </is>
      </c>
      <c r="C527">
        <v>0.3</v>
      </c>
      <c r="D527" t="inlineStr">
        <is>
          <t>N</t>
        </is>
      </c>
      <c r="E527" t="inlineStr">
        <is>
          <t>SR 1006</t>
        </is>
      </c>
      <c r="F527" t="inlineStr">
        <is>
          <t>SR 1627</t>
        </is>
      </c>
      <c r="G527" t="inlineStr">
        <is>
          <t>SR 1606</t>
        </is>
      </c>
      <c r="H527">
        <v>999.999</v>
      </c>
      <c r="L527">
        <v>108052545</v>
      </c>
      <c r="M527" t="inlineStr">
        <is>
          <t>3/18/2025</t>
        </is>
      </c>
      <c r="N527">
        <v>19</v>
      </c>
      <c r="O527">
        <v>1</v>
      </c>
      <c r="P527">
        <v>0</v>
      </c>
      <c r="Q527">
        <v>5</v>
      </c>
      <c r="R527" t="inlineStr">
        <is>
          <t>C</t>
        </is>
      </c>
    </row>
    <row r="528">
      <c r="A528" t="inlineStr">
        <is>
          <t>0</t>
        </is>
      </c>
      <c r="B528" t="inlineStr">
        <is>
          <t>SR 1606</t>
        </is>
      </c>
      <c r="C528">
        <v>0.5</v>
      </c>
      <c r="D528" t="inlineStr">
        <is>
          <t>N</t>
        </is>
      </c>
      <c r="E528" t="inlineStr">
        <is>
          <t>SR 1006</t>
        </is>
      </c>
      <c r="F528" t="inlineStr">
        <is>
          <t>SR 1627</t>
        </is>
      </c>
      <c r="G528" t="inlineStr">
        <is>
          <t>SR 1606</t>
        </is>
      </c>
      <c r="H528">
        <v>999.999</v>
      </c>
      <c r="L528">
        <v>104914987</v>
      </c>
      <c r="M528" t="inlineStr">
        <is>
          <t>11/12/2016</t>
        </is>
      </c>
      <c r="N528">
        <v>19</v>
      </c>
      <c r="O528">
        <v>1</v>
      </c>
      <c r="P528">
        <v>0</v>
      </c>
      <c r="Q528">
        <v>5</v>
      </c>
      <c r="R528" t="inlineStr">
        <is>
          <t>A</t>
        </is>
      </c>
    </row>
    <row r="529">
      <c r="A529" t="inlineStr">
        <is>
          <t>0</t>
        </is>
      </c>
      <c r="B529" t="inlineStr">
        <is>
          <t>SR 1606</t>
        </is>
      </c>
      <c r="C529">
        <v>1.2</v>
      </c>
      <c r="D529" t="inlineStr">
        <is>
          <t>N</t>
        </is>
      </c>
      <c r="E529" t="inlineStr">
        <is>
          <t>SR 1006</t>
        </is>
      </c>
      <c r="F529" t="inlineStr">
        <is>
          <t>SR 1627</t>
        </is>
      </c>
      <c r="G529" t="inlineStr">
        <is>
          <t>SR 1606</t>
        </is>
      </c>
      <c r="H529">
        <v>999.999</v>
      </c>
      <c r="L529">
        <v>106782341</v>
      </c>
      <c r="M529" t="inlineStr">
        <is>
          <t>11/26/2021</t>
        </is>
      </c>
      <c r="N529">
        <v>17</v>
      </c>
      <c r="O529">
        <v>1</v>
      </c>
      <c r="P529">
        <v>0</v>
      </c>
      <c r="Q529">
        <v>5</v>
      </c>
      <c r="R529" t="inlineStr">
        <is>
          <t>O</t>
        </is>
      </c>
    </row>
    <row r="530">
      <c r="A530" t="inlineStr">
        <is>
          <t>0</t>
        </is>
      </c>
      <c r="B530" t="inlineStr">
        <is>
          <t>SR 1606</t>
        </is>
      </c>
      <c r="C530">
        <v>3.0</v>
      </c>
      <c r="D530" t="inlineStr">
        <is>
          <t>N</t>
        </is>
      </c>
      <c r="E530" t="inlineStr">
        <is>
          <t>SR 1006</t>
        </is>
      </c>
      <c r="F530" t="inlineStr">
        <is>
          <t>SR 1627</t>
        </is>
      </c>
      <c r="G530" t="inlineStr">
        <is>
          <t>SR 1606</t>
        </is>
      </c>
      <c r="H530">
        <v>999.999</v>
      </c>
      <c r="L530">
        <v>105850446</v>
      </c>
      <c r="M530" t="inlineStr">
        <is>
          <t>4/29/2019</t>
        </is>
      </c>
      <c r="N530">
        <v>19</v>
      </c>
      <c r="O530">
        <v>1</v>
      </c>
      <c r="P530">
        <v>0</v>
      </c>
      <c r="Q530">
        <v>3</v>
      </c>
      <c r="R530" t="inlineStr">
        <is>
          <t>A</t>
        </is>
      </c>
    </row>
    <row r="531">
      <c r="A531" t="inlineStr">
        <is>
          <t>637</t>
        </is>
      </c>
      <c r="B531" t="inlineStr">
        <is>
          <t>SR 1606</t>
        </is>
      </c>
      <c r="C531">
        <v>0.1</v>
      </c>
      <c r="D531" t="inlineStr">
        <is>
          <t>SW</t>
        </is>
      </c>
      <c r="E531" t="inlineStr">
        <is>
          <t>SR 1507</t>
        </is>
      </c>
      <c r="F531" t="inlineStr">
        <is>
          <t>NC 218</t>
        </is>
      </c>
      <c r="G531" t="inlineStr">
        <is>
          <t>SR 1606</t>
        </is>
      </c>
      <c r="H531">
        <v>999.999</v>
      </c>
      <c r="L531">
        <v>107737133</v>
      </c>
      <c r="M531" t="inlineStr">
        <is>
          <t>5/30/2024</t>
        </is>
      </c>
      <c r="N531">
        <v>29</v>
      </c>
      <c r="O531">
        <v>1</v>
      </c>
      <c r="P531">
        <v>0</v>
      </c>
      <c r="Q531">
        <v>1</v>
      </c>
      <c r="R531" t="inlineStr">
        <is>
          <t>O</t>
        </is>
      </c>
    </row>
    <row r="532">
      <c r="A532" t="inlineStr">
        <is>
          <t>558</t>
        </is>
      </c>
      <c r="B532" t="inlineStr">
        <is>
          <t>SR 1606</t>
        </is>
      </c>
      <c r="C532">
        <v>0.2</v>
      </c>
      <c r="D532" t="inlineStr">
        <is>
          <t>S</t>
        </is>
      </c>
      <c r="E532" t="inlineStr">
        <is>
          <t>SR 1605</t>
        </is>
      </c>
      <c r="F532" t="inlineStr">
        <is>
          <t>SR 1638</t>
        </is>
      </c>
      <c r="G532" t="inlineStr">
        <is>
          <t>SR 1606</t>
        </is>
      </c>
      <c r="H532">
        <v>999.999</v>
      </c>
      <c r="L532">
        <v>104772437</v>
      </c>
      <c r="M532" t="inlineStr">
        <is>
          <t>6/22/2016</t>
        </is>
      </c>
      <c r="N532">
        <v>17</v>
      </c>
      <c r="O532">
        <v>1</v>
      </c>
      <c r="P532">
        <v>0</v>
      </c>
      <c r="Q532">
        <v>5</v>
      </c>
      <c r="R532" t="inlineStr">
        <is>
          <t>O</t>
        </is>
      </c>
    </row>
    <row r="533">
      <c r="A533" t="inlineStr">
        <is>
          <t>558</t>
        </is>
      </c>
      <c r="B533" t="inlineStr">
        <is>
          <t>SR 1606</t>
        </is>
      </c>
      <c r="C533">
        <v>0.0</v>
      </c>
      <c r="E533" t="inlineStr">
        <is>
          <t>SR 1606</t>
        </is>
      </c>
      <c r="G533" t="inlineStr">
        <is>
          <t>SR 1606</t>
        </is>
      </c>
      <c r="H533">
        <v>999.999</v>
      </c>
      <c r="L533">
        <v>104720551</v>
      </c>
      <c r="M533" t="inlineStr">
        <is>
          <t>5/1/2016</t>
        </is>
      </c>
      <c r="N533">
        <v>30</v>
      </c>
      <c r="O533">
        <v>1</v>
      </c>
      <c r="P533">
        <v>7</v>
      </c>
      <c r="Q533">
        <v>1</v>
      </c>
      <c r="R533" t="inlineStr">
        <is>
          <t>O</t>
        </is>
      </c>
    </row>
    <row r="534">
      <c r="A534" t="inlineStr">
        <is>
          <t>0</t>
        </is>
      </c>
      <c r="B534" t="inlineStr">
        <is>
          <t>SR 1606</t>
        </is>
      </c>
      <c r="C534">
        <v>0.1</v>
      </c>
      <c r="D534" t="inlineStr">
        <is>
          <t>S</t>
        </is>
      </c>
      <c r="E534" t="inlineStr">
        <is>
          <t>SR 1617</t>
        </is>
      </c>
      <c r="F534" t="inlineStr">
        <is>
          <t>SR 1634</t>
        </is>
      </c>
      <c r="G534" t="inlineStr">
        <is>
          <t>SR 1606</t>
        </is>
      </c>
      <c r="H534">
        <v>999.999</v>
      </c>
      <c r="L534">
        <v>104922359</v>
      </c>
      <c r="M534" t="inlineStr">
        <is>
          <t>11/17/2016</t>
        </is>
      </c>
      <c r="N534">
        <v>17</v>
      </c>
      <c r="O534">
        <v>1</v>
      </c>
      <c r="P534">
        <v>0</v>
      </c>
      <c r="Q534">
        <v>5</v>
      </c>
      <c r="R534" t="inlineStr">
        <is>
          <t>O</t>
        </is>
      </c>
    </row>
    <row r="535">
      <c r="A535" t="inlineStr">
        <is>
          <t>0</t>
        </is>
      </c>
      <c r="B535" t="inlineStr">
        <is>
          <t>SR 1606</t>
        </is>
      </c>
      <c r="C535">
        <v>0.8</v>
      </c>
      <c r="D535" t="inlineStr">
        <is>
          <t>S</t>
        </is>
      </c>
      <c r="E535" t="inlineStr">
        <is>
          <t>SR 1617</t>
        </is>
      </c>
      <c r="F535" t="inlineStr">
        <is>
          <t>SR 1615</t>
        </is>
      </c>
      <c r="G535" t="inlineStr">
        <is>
          <t>SR 1606</t>
        </is>
      </c>
      <c r="H535">
        <v>999.999</v>
      </c>
      <c r="L535">
        <v>105825314</v>
      </c>
      <c r="M535" t="inlineStr">
        <is>
          <t>4/2/2019</t>
        </is>
      </c>
      <c r="N535">
        <v>19</v>
      </c>
      <c r="O535">
        <v>6</v>
      </c>
      <c r="P535">
        <v>0</v>
      </c>
      <c r="Q535">
        <v>1</v>
      </c>
      <c r="R535" t="inlineStr">
        <is>
          <t>B</t>
        </is>
      </c>
    </row>
    <row r="536">
      <c r="A536" t="inlineStr">
        <is>
          <t>0</t>
        </is>
      </c>
      <c r="B536" t="inlineStr">
        <is>
          <t>SR 1606</t>
        </is>
      </c>
      <c r="C536">
        <v>0.08</v>
      </c>
      <c r="D536" t="inlineStr">
        <is>
          <t>N</t>
        </is>
      </c>
      <c r="E536" t="inlineStr">
        <is>
          <t>SR 1619</t>
        </is>
      </c>
      <c r="F536" t="inlineStr">
        <is>
          <t>SR 1001</t>
        </is>
      </c>
      <c r="G536" t="inlineStr">
        <is>
          <t>SR 1606</t>
        </is>
      </c>
      <c r="H536">
        <v>999.999</v>
      </c>
      <c r="L536">
        <v>106276502</v>
      </c>
      <c r="M536" t="inlineStr">
        <is>
          <t>7/14/2020</t>
        </is>
      </c>
      <c r="N536">
        <v>17</v>
      </c>
      <c r="O536">
        <v>1</v>
      </c>
      <c r="P536">
        <v>0</v>
      </c>
      <c r="Q536">
        <v>5</v>
      </c>
      <c r="R536" t="inlineStr">
        <is>
          <t>O</t>
        </is>
      </c>
    </row>
    <row r="537">
      <c r="A537" t="inlineStr">
        <is>
          <t>558</t>
        </is>
      </c>
      <c r="B537" t="inlineStr">
        <is>
          <t>SR 1606</t>
        </is>
      </c>
      <c r="C537">
        <v>0.3</v>
      </c>
      <c r="D537" t="inlineStr">
        <is>
          <t>E</t>
        </is>
      </c>
      <c r="E537" t="inlineStr">
        <is>
          <t>SR 1619</t>
        </is>
      </c>
      <c r="F537" t="inlineStr">
        <is>
          <t>NC 200</t>
        </is>
      </c>
      <c r="G537" t="inlineStr">
        <is>
          <t>SR 1606</t>
        </is>
      </c>
      <c r="H537">
        <v>999.999</v>
      </c>
      <c r="L537">
        <v>107329736</v>
      </c>
      <c r="M537" t="inlineStr">
        <is>
          <t>5/7/2023</t>
        </is>
      </c>
      <c r="N537">
        <v>19</v>
      </c>
      <c r="O537">
        <v>1</v>
      </c>
      <c r="P537">
        <v>0</v>
      </c>
      <c r="Q537">
        <v>5</v>
      </c>
      <c r="R537" t="inlineStr">
        <is>
          <t>A</t>
        </is>
      </c>
    </row>
    <row r="538">
      <c r="A538" t="inlineStr">
        <is>
          <t>0</t>
        </is>
      </c>
      <c r="B538" t="inlineStr">
        <is>
          <t>SR 1606</t>
        </is>
      </c>
      <c r="C538">
        <v>0.5</v>
      </c>
      <c r="D538" t="inlineStr">
        <is>
          <t>S</t>
        </is>
      </c>
      <c r="E538" t="inlineStr">
        <is>
          <t>SR 1619</t>
        </is>
      </c>
      <c r="F538" t="inlineStr">
        <is>
          <t>PRESSON FARM</t>
        </is>
      </c>
      <c r="G538" t="inlineStr">
        <is>
          <t>SR 1606</t>
        </is>
      </c>
      <c r="H538">
        <v>999.999</v>
      </c>
      <c r="L538">
        <v>105685420</v>
      </c>
      <c r="M538" t="inlineStr">
        <is>
          <t>11/20/2018</t>
        </is>
      </c>
      <c r="N538">
        <v>17</v>
      </c>
      <c r="O538">
        <v>1</v>
      </c>
      <c r="P538">
        <v>0</v>
      </c>
      <c r="Q538">
        <v>2</v>
      </c>
      <c r="R538" t="inlineStr">
        <is>
          <t>O</t>
        </is>
      </c>
    </row>
    <row r="539">
      <c r="A539" t="inlineStr">
        <is>
          <t>558</t>
        </is>
      </c>
      <c r="B539" t="inlineStr">
        <is>
          <t>SR 1606</t>
        </is>
      </c>
      <c r="C539">
        <v>0.6</v>
      </c>
      <c r="D539" t="inlineStr">
        <is>
          <t>W</t>
        </is>
      </c>
      <c r="E539" t="inlineStr">
        <is>
          <t>SR 1619</t>
        </is>
      </c>
      <c r="F539" t="inlineStr">
        <is>
          <t>SR 1637</t>
        </is>
      </c>
      <c r="G539" t="inlineStr">
        <is>
          <t>SR 1606</t>
        </is>
      </c>
      <c r="H539">
        <v>999.999</v>
      </c>
      <c r="L539">
        <v>106249008</v>
      </c>
      <c r="M539" t="inlineStr">
        <is>
          <t>6/11/2020</t>
        </is>
      </c>
      <c r="N539">
        <v>19</v>
      </c>
      <c r="O539">
        <v>2</v>
      </c>
      <c r="P539">
        <v>0</v>
      </c>
      <c r="Q539">
        <v>1</v>
      </c>
      <c r="R539" t="inlineStr">
        <is>
          <t>O</t>
        </is>
      </c>
    </row>
    <row r="540">
      <c r="A540" t="inlineStr">
        <is>
          <t>0</t>
        </is>
      </c>
      <c r="B540" t="inlineStr">
        <is>
          <t>SR 1606</t>
        </is>
      </c>
      <c r="C540">
        <v>0.0</v>
      </c>
      <c r="E540" t="inlineStr">
        <is>
          <t>SR 1627</t>
        </is>
      </c>
      <c r="F540" t="inlineStr">
        <is>
          <t>NC 200</t>
        </is>
      </c>
      <c r="G540" t="inlineStr">
        <is>
          <t>SR 1606</t>
        </is>
      </c>
      <c r="H540">
        <v>999.999</v>
      </c>
      <c r="L540">
        <v>107696630</v>
      </c>
      <c r="M540" t="inlineStr">
        <is>
          <t>4/17/2024</t>
        </is>
      </c>
      <c r="N540">
        <v>30</v>
      </c>
      <c r="O540">
        <v>1</v>
      </c>
      <c r="P540">
        <v>7</v>
      </c>
      <c r="Q540">
        <v>1</v>
      </c>
      <c r="R540" t="inlineStr">
        <is>
          <t>B</t>
        </is>
      </c>
    </row>
    <row r="541">
      <c r="A541" t="inlineStr">
        <is>
          <t>0</t>
        </is>
      </c>
      <c r="B541" t="inlineStr">
        <is>
          <t>SR 1606</t>
        </is>
      </c>
      <c r="C541">
        <v>0.5</v>
      </c>
      <c r="D541" t="inlineStr">
        <is>
          <t>W</t>
        </is>
      </c>
      <c r="E541" t="inlineStr">
        <is>
          <t>SR 1627</t>
        </is>
      </c>
      <c r="F541" t="inlineStr">
        <is>
          <t>NC 200</t>
        </is>
      </c>
      <c r="G541" t="inlineStr">
        <is>
          <t>SR 1606</t>
        </is>
      </c>
      <c r="H541">
        <v>999.999</v>
      </c>
      <c r="L541">
        <v>104877259</v>
      </c>
      <c r="M541" t="inlineStr">
        <is>
          <t>10/12/2016</t>
        </is>
      </c>
      <c r="N541">
        <v>29</v>
      </c>
      <c r="O541">
        <v>1</v>
      </c>
      <c r="P541">
        <v>0</v>
      </c>
      <c r="Q541">
        <v>1</v>
      </c>
      <c r="R541" t="inlineStr">
        <is>
          <t>O</t>
        </is>
      </c>
    </row>
    <row r="542">
      <c r="A542" t="inlineStr">
        <is>
          <t>558</t>
        </is>
      </c>
      <c r="B542" t="inlineStr">
        <is>
          <t>SR 1606</t>
        </is>
      </c>
      <c r="C542">
        <v>0.2</v>
      </c>
      <c r="D542" t="inlineStr">
        <is>
          <t>S</t>
        </is>
      </c>
      <c r="E542" t="inlineStr">
        <is>
          <t>SR 1691</t>
        </is>
      </c>
      <c r="F542" t="inlineStr">
        <is>
          <t>NC 200</t>
        </is>
      </c>
      <c r="G542" t="inlineStr">
        <is>
          <t>SR 1606</t>
        </is>
      </c>
      <c r="H542">
        <v>999.999</v>
      </c>
      <c r="L542">
        <v>108320401</v>
      </c>
      <c r="M542" t="inlineStr">
        <is>
          <t>11/20/2025</t>
        </is>
      </c>
      <c r="N542">
        <v>23</v>
      </c>
      <c r="O542">
        <v>1</v>
      </c>
      <c r="P542">
        <v>0</v>
      </c>
      <c r="Q542">
        <v>1</v>
      </c>
      <c r="R542" t="inlineStr">
        <is>
          <t>O</t>
        </is>
      </c>
    </row>
    <row r="543">
      <c r="A543" t="inlineStr">
        <is>
          <t>558</t>
        </is>
      </c>
      <c r="B543" t="inlineStr">
        <is>
          <t>SR 1606</t>
        </is>
      </c>
      <c r="C543">
        <v>0.3</v>
      </c>
      <c r="D543" t="inlineStr">
        <is>
          <t>E</t>
        </is>
      </c>
      <c r="E543" t="inlineStr">
        <is>
          <t>SR 1697</t>
        </is>
      </c>
      <c r="F543" t="inlineStr">
        <is>
          <t>NC 200</t>
        </is>
      </c>
      <c r="G543" t="inlineStr">
        <is>
          <t>SR 1606</t>
        </is>
      </c>
      <c r="H543">
        <v>999.999</v>
      </c>
      <c r="L543">
        <v>107647374</v>
      </c>
      <c r="M543" t="inlineStr">
        <is>
          <t>3/7/2024</t>
        </is>
      </c>
      <c r="N543">
        <v>19</v>
      </c>
      <c r="O543">
        <v>1</v>
      </c>
      <c r="P543">
        <v>0</v>
      </c>
      <c r="Q543">
        <v>1</v>
      </c>
      <c r="R543" t="inlineStr">
        <is>
          <t>O</t>
        </is>
      </c>
    </row>
    <row r="544">
      <c r="A544" t="inlineStr">
        <is>
          <t>0</t>
        </is>
      </c>
      <c r="B544" t="inlineStr">
        <is>
          <t>SR 1606</t>
        </is>
      </c>
      <c r="C544">
        <v>0.0</v>
      </c>
      <c r="E544" t="inlineStr">
        <is>
          <t>SR 2785</t>
        </is>
      </c>
      <c r="F544" t="inlineStr">
        <is>
          <t>SR 1006</t>
        </is>
      </c>
      <c r="G544" t="inlineStr">
        <is>
          <t>SR 1606</t>
        </is>
      </c>
      <c r="H544">
        <v>999.999</v>
      </c>
      <c r="L544">
        <v>105844523</v>
      </c>
      <c r="M544" t="inlineStr">
        <is>
          <t>4/26/2019</t>
        </is>
      </c>
      <c r="N544">
        <v>19</v>
      </c>
      <c r="O544">
        <v>1</v>
      </c>
      <c r="P544">
        <v>8</v>
      </c>
      <c r="Q544">
        <v>5</v>
      </c>
      <c r="R544" t="inlineStr">
        <is>
          <t>O</t>
        </is>
      </c>
    </row>
    <row r="545">
      <c r="A545" t="inlineStr">
        <is>
          <t>558</t>
        </is>
      </c>
      <c r="B545" t="inlineStr">
        <is>
          <t>SR 1611</t>
        </is>
      </c>
      <c r="C545">
        <v>0.006</v>
      </c>
      <c r="D545" t="inlineStr">
        <is>
          <t>W</t>
        </is>
      </c>
      <c r="E545" t="inlineStr">
        <is>
          <t>SR 1606</t>
        </is>
      </c>
      <c r="F545" t="inlineStr">
        <is>
          <t>SR 1640</t>
        </is>
      </c>
      <c r="G545" t="inlineStr">
        <is>
          <t>SR 1611</t>
        </is>
      </c>
      <c r="H545">
        <v>3.361</v>
      </c>
      <c r="L545">
        <v>105387651</v>
      </c>
      <c r="M545" t="inlineStr">
        <is>
          <t>2/18/2018</t>
        </is>
      </c>
      <c r="N545">
        <v>18</v>
      </c>
      <c r="O545">
        <v>1</v>
      </c>
      <c r="P545">
        <v>0</v>
      </c>
      <c r="Q545">
        <v>1</v>
      </c>
      <c r="R545" t="inlineStr">
        <is>
          <t>O</t>
        </is>
      </c>
    </row>
    <row r="546">
      <c r="A546" t="inlineStr">
        <is>
          <t>558</t>
        </is>
      </c>
      <c r="B546" t="inlineStr">
        <is>
          <t>SR 1611</t>
        </is>
      </c>
      <c r="C546">
        <v>0.019</v>
      </c>
      <c r="D546" t="inlineStr">
        <is>
          <t>SW</t>
        </is>
      </c>
      <c r="E546" t="inlineStr">
        <is>
          <t>SR 1001</t>
        </is>
      </c>
      <c r="F546" t="inlineStr">
        <is>
          <t>SR 1640</t>
        </is>
      </c>
      <c r="G546" t="inlineStr">
        <is>
          <t>SR 1611</t>
        </is>
      </c>
      <c r="H546">
        <v>999.999</v>
      </c>
      <c r="L546">
        <v>104711866</v>
      </c>
      <c r="M546" t="inlineStr">
        <is>
          <t>4/24/2016</t>
        </is>
      </c>
      <c r="N546">
        <v>17</v>
      </c>
      <c r="O546">
        <v>1</v>
      </c>
      <c r="Q546">
        <v>5</v>
      </c>
      <c r="R546" t="inlineStr">
        <is>
          <t>O</t>
        </is>
      </c>
    </row>
    <row r="547">
      <c r="A547" t="inlineStr">
        <is>
          <t>558</t>
        </is>
      </c>
      <c r="B547" t="inlineStr">
        <is>
          <t>SR 1615</t>
        </is>
      </c>
      <c r="C547">
        <v>0.02</v>
      </c>
      <c r="D547" t="inlineStr">
        <is>
          <t>S</t>
        </is>
      </c>
      <c r="E547" t="inlineStr">
        <is>
          <t>SR 1617</t>
        </is>
      </c>
      <c r="F547" t="inlineStr">
        <is>
          <t>SR 1001</t>
        </is>
      </c>
      <c r="G547" t="inlineStr">
        <is>
          <t>SR 1615</t>
        </is>
      </c>
      <c r="H547">
        <v>2.204</v>
      </c>
      <c r="L547">
        <v>107082068</v>
      </c>
      <c r="M547" t="inlineStr">
        <is>
          <t>9/8/2022</t>
        </is>
      </c>
      <c r="N547">
        <v>19</v>
      </c>
      <c r="O547">
        <v>2</v>
      </c>
      <c r="P547">
        <v>0</v>
      </c>
      <c r="Q547">
        <v>5</v>
      </c>
      <c r="R547" t="inlineStr">
        <is>
          <t>B</t>
        </is>
      </c>
    </row>
    <row r="548">
      <c r="A548" t="inlineStr">
        <is>
          <t>558</t>
        </is>
      </c>
      <c r="B548" t="inlineStr">
        <is>
          <t>SR 1615</t>
        </is>
      </c>
      <c r="C548">
        <v>0.0</v>
      </c>
      <c r="E548" t="inlineStr">
        <is>
          <t>SR 1001</t>
        </is>
      </c>
      <c r="F548" t="inlineStr">
        <is>
          <t>SR 1619</t>
        </is>
      </c>
      <c r="G548" t="inlineStr">
        <is>
          <t>SR 1615</t>
        </is>
      </c>
      <c r="H548">
        <v>2.89</v>
      </c>
      <c r="L548">
        <v>107574676</v>
      </c>
      <c r="M548" t="inlineStr">
        <is>
          <t>12/23/2023</t>
        </is>
      </c>
      <c r="N548">
        <v>19</v>
      </c>
      <c r="O548">
        <v>1</v>
      </c>
      <c r="P548">
        <v>8</v>
      </c>
      <c r="Q548">
        <v>5</v>
      </c>
      <c r="R548" t="inlineStr">
        <is>
          <t>O</t>
        </is>
      </c>
    </row>
    <row r="549">
      <c r="A549" t="inlineStr">
        <is>
          <t>558</t>
        </is>
      </c>
      <c r="B549" t="inlineStr">
        <is>
          <t>SR 1617</t>
        </is>
      </c>
      <c r="C549">
        <v>0.1</v>
      </c>
      <c r="D549" t="inlineStr">
        <is>
          <t>E</t>
        </is>
      </c>
      <c r="E549" t="inlineStr">
        <is>
          <t>SR 1615</t>
        </is>
      </c>
      <c r="F549" t="inlineStr">
        <is>
          <t>SR 1001</t>
        </is>
      </c>
      <c r="G549" t="inlineStr">
        <is>
          <t>SR 1617</t>
        </is>
      </c>
      <c r="H549">
        <v>0.1</v>
      </c>
      <c r="L549">
        <v>106093727</v>
      </c>
      <c r="M549" t="inlineStr">
        <is>
          <t>12/12/2019</t>
        </is>
      </c>
      <c r="N549">
        <v>17</v>
      </c>
      <c r="O549">
        <v>1</v>
      </c>
      <c r="P549">
        <v>0</v>
      </c>
      <c r="Q549">
        <v>5</v>
      </c>
      <c r="R549" t="inlineStr">
        <is>
          <t>C</t>
        </is>
      </c>
    </row>
    <row r="550">
      <c r="A550" t="inlineStr">
        <is>
          <t>558</t>
        </is>
      </c>
      <c r="B550" t="inlineStr">
        <is>
          <t>SR 1617</t>
        </is>
      </c>
      <c r="C550">
        <v>0.1</v>
      </c>
      <c r="D550" t="inlineStr">
        <is>
          <t>E</t>
        </is>
      </c>
      <c r="E550" t="inlineStr">
        <is>
          <t>SR 1615</t>
        </is>
      </c>
      <c r="F550" t="inlineStr">
        <is>
          <t>SR 1001</t>
        </is>
      </c>
      <c r="G550" t="inlineStr">
        <is>
          <t>SR 1617</t>
        </is>
      </c>
      <c r="H550">
        <v>0.1</v>
      </c>
      <c r="L550">
        <v>105356713</v>
      </c>
      <c r="M550" t="inlineStr">
        <is>
          <t>1/19/2018</t>
        </is>
      </c>
      <c r="N550">
        <v>19</v>
      </c>
      <c r="O550">
        <v>4</v>
      </c>
      <c r="P550">
        <v>0</v>
      </c>
      <c r="Q550">
        <v>5</v>
      </c>
      <c r="R550" t="inlineStr">
        <is>
          <t>O</t>
        </is>
      </c>
    </row>
    <row r="551">
      <c r="A551" t="inlineStr">
        <is>
          <t>558</t>
        </is>
      </c>
      <c r="B551" t="inlineStr">
        <is>
          <t>SR 1617</t>
        </is>
      </c>
      <c r="C551">
        <v>0.2</v>
      </c>
      <c r="D551" t="inlineStr">
        <is>
          <t>SE</t>
        </is>
      </c>
      <c r="E551" t="inlineStr">
        <is>
          <t>SR 1615</t>
        </is>
      </c>
      <c r="F551" t="inlineStr">
        <is>
          <t>SR 1001</t>
        </is>
      </c>
      <c r="G551" t="inlineStr">
        <is>
          <t>SR 1617</t>
        </is>
      </c>
      <c r="H551">
        <v>0.2</v>
      </c>
      <c r="L551">
        <v>107295872</v>
      </c>
      <c r="M551" t="inlineStr">
        <is>
          <t>4/5/2023</t>
        </is>
      </c>
      <c r="N551">
        <v>17</v>
      </c>
      <c r="O551">
        <v>1</v>
      </c>
      <c r="P551">
        <v>0</v>
      </c>
      <c r="Q551">
        <v>5</v>
      </c>
      <c r="R551" t="inlineStr">
        <is>
          <t>O</t>
        </is>
      </c>
    </row>
    <row r="552">
      <c r="A552" t="inlineStr">
        <is>
          <t>558</t>
        </is>
      </c>
      <c r="B552" t="inlineStr">
        <is>
          <t>SR 1618</t>
        </is>
      </c>
      <c r="C552">
        <v>0.0</v>
      </c>
      <c r="D552" t="inlineStr">
        <is>
          <t>E</t>
        </is>
      </c>
      <c r="E552" t="inlineStr">
        <is>
          <t>SR 1001</t>
        </is>
      </c>
      <c r="F552" t="inlineStr">
        <is>
          <t>SR 1637</t>
        </is>
      </c>
      <c r="G552" t="inlineStr">
        <is>
          <t>SR 1618</t>
        </is>
      </c>
      <c r="H552">
        <v>0.0</v>
      </c>
      <c r="L552">
        <v>105670638</v>
      </c>
      <c r="M552" t="inlineStr">
        <is>
          <t>11/9/2018</t>
        </is>
      </c>
      <c r="N552">
        <v>26</v>
      </c>
      <c r="O552">
        <v>2</v>
      </c>
      <c r="P552">
        <v>10</v>
      </c>
      <c r="Q552">
        <v>5</v>
      </c>
      <c r="R552" t="inlineStr">
        <is>
          <t>O</t>
        </is>
      </c>
    </row>
    <row r="553">
      <c r="A553" t="inlineStr">
        <is>
          <t>558</t>
        </is>
      </c>
      <c r="B553" t="inlineStr">
        <is>
          <t>SR 1618</t>
        </is>
      </c>
      <c r="C553">
        <v>0.0</v>
      </c>
      <c r="E553" t="inlineStr">
        <is>
          <t>SR 1606</t>
        </is>
      </c>
      <c r="F553" t="inlineStr">
        <is>
          <t>SR 1001</t>
        </is>
      </c>
      <c r="G553" t="inlineStr">
        <is>
          <t>SR 1618</t>
        </is>
      </c>
      <c r="H553">
        <v>0.0</v>
      </c>
      <c r="L553">
        <v>106096868</v>
      </c>
      <c r="M553" t="inlineStr">
        <is>
          <t>12/12/2019</t>
        </is>
      </c>
      <c r="N553">
        <v>26</v>
      </c>
      <c r="O553">
        <v>1</v>
      </c>
      <c r="P553">
        <v>10</v>
      </c>
      <c r="Q553">
        <v>1</v>
      </c>
      <c r="R553" t="inlineStr">
        <is>
          <t>C</t>
        </is>
      </c>
    </row>
    <row r="554">
      <c r="A554" t="inlineStr">
        <is>
          <t>558</t>
        </is>
      </c>
      <c r="B554" t="inlineStr">
        <is>
          <t>SR 1618</t>
        </is>
      </c>
      <c r="C554">
        <v>0.008</v>
      </c>
      <c r="D554" t="inlineStr">
        <is>
          <t>S</t>
        </is>
      </c>
      <c r="E554" t="inlineStr">
        <is>
          <t>SR 1606</t>
        </is>
      </c>
      <c r="F554" t="inlineStr">
        <is>
          <t>SR 1615</t>
        </is>
      </c>
      <c r="G554" t="inlineStr">
        <is>
          <t>SR 1618</t>
        </is>
      </c>
      <c r="H554">
        <v>0.0</v>
      </c>
      <c r="L554">
        <v>105669889</v>
      </c>
      <c r="M554" t="inlineStr">
        <is>
          <t>11/7/2018</t>
        </is>
      </c>
      <c r="N554">
        <v>21</v>
      </c>
      <c r="O554">
        <v>1</v>
      </c>
      <c r="P554">
        <v>10</v>
      </c>
      <c r="Q554">
        <v>1</v>
      </c>
      <c r="R554" t="inlineStr">
        <is>
          <t>C</t>
        </is>
      </c>
    </row>
    <row r="555">
      <c r="A555" t="inlineStr">
        <is>
          <t>558</t>
        </is>
      </c>
      <c r="B555" t="inlineStr">
        <is>
          <t>SR 1618</t>
        </is>
      </c>
      <c r="C555">
        <v>0.006</v>
      </c>
      <c r="D555" t="inlineStr">
        <is>
          <t>W</t>
        </is>
      </c>
      <c r="E555" t="inlineStr">
        <is>
          <t>SR 1606</t>
        </is>
      </c>
      <c r="F555" t="inlineStr">
        <is>
          <t>SR 1615</t>
        </is>
      </c>
      <c r="G555" t="inlineStr">
        <is>
          <t>SR 1618</t>
        </is>
      </c>
      <c r="H555">
        <v>0.006</v>
      </c>
      <c r="L555">
        <v>106093757</v>
      </c>
      <c r="M555" t="inlineStr">
        <is>
          <t>12/12/2019</t>
        </is>
      </c>
      <c r="N555">
        <v>21</v>
      </c>
      <c r="O555">
        <v>1</v>
      </c>
      <c r="P555">
        <v>10</v>
      </c>
      <c r="Q555">
        <v>1</v>
      </c>
      <c r="R555" t="inlineStr">
        <is>
          <t>O</t>
        </is>
      </c>
    </row>
    <row r="556">
      <c r="A556" t="inlineStr">
        <is>
          <t>558</t>
        </is>
      </c>
      <c r="B556" t="inlineStr">
        <is>
          <t>SR 1618</t>
        </is>
      </c>
      <c r="C556">
        <v>0.014</v>
      </c>
      <c r="D556" t="inlineStr">
        <is>
          <t>W</t>
        </is>
      </c>
      <c r="E556" t="inlineStr">
        <is>
          <t>SR 1606</t>
        </is>
      </c>
      <c r="F556" t="inlineStr">
        <is>
          <t>SR 2776</t>
        </is>
      </c>
      <c r="G556" t="inlineStr">
        <is>
          <t>SR 1618</t>
        </is>
      </c>
      <c r="H556">
        <v>0.014</v>
      </c>
      <c r="L556">
        <v>105139371</v>
      </c>
      <c r="M556" t="inlineStr">
        <is>
          <t>6/12/2017</t>
        </is>
      </c>
      <c r="N556">
        <v>19</v>
      </c>
      <c r="O556">
        <v>1</v>
      </c>
      <c r="P556">
        <v>10</v>
      </c>
      <c r="Q556">
        <v>1</v>
      </c>
      <c r="R556" t="inlineStr">
        <is>
          <t>O</t>
        </is>
      </c>
    </row>
    <row r="557">
      <c r="A557" t="inlineStr">
        <is>
          <t>558</t>
        </is>
      </c>
      <c r="B557" t="inlineStr">
        <is>
          <t>SR 1618</t>
        </is>
      </c>
      <c r="C557">
        <v>0.019</v>
      </c>
      <c r="D557" t="inlineStr">
        <is>
          <t>W</t>
        </is>
      </c>
      <c r="E557" t="inlineStr">
        <is>
          <t>SR 1001</t>
        </is>
      </c>
      <c r="F557" t="inlineStr">
        <is>
          <t>SR 1615</t>
        </is>
      </c>
      <c r="G557" t="inlineStr">
        <is>
          <t>SR 1618</t>
        </is>
      </c>
      <c r="H557">
        <v>0.019</v>
      </c>
      <c r="L557">
        <v>105283816</v>
      </c>
      <c r="M557" t="inlineStr">
        <is>
          <t>11/7/2017</t>
        </is>
      </c>
      <c r="N557">
        <v>21</v>
      </c>
      <c r="O557">
        <v>1</v>
      </c>
      <c r="P557">
        <v>0</v>
      </c>
      <c r="Q557">
        <v>1</v>
      </c>
      <c r="R557" t="inlineStr">
        <is>
          <t>C</t>
        </is>
      </c>
    </row>
    <row r="558">
      <c r="A558" t="inlineStr">
        <is>
          <t>558</t>
        </is>
      </c>
      <c r="B558" t="inlineStr">
        <is>
          <t>SR 1619</t>
        </is>
      </c>
      <c r="C558">
        <v>0.0</v>
      </c>
      <c r="E558" t="inlineStr">
        <is>
          <t>SR 1001</t>
        </is>
      </c>
      <c r="F558" t="inlineStr">
        <is>
          <t>SR 1606</t>
        </is>
      </c>
      <c r="G558" t="inlineStr">
        <is>
          <t>SR 1619</t>
        </is>
      </c>
      <c r="H558">
        <v>0.0</v>
      </c>
      <c r="L558">
        <v>104898405</v>
      </c>
      <c r="M558" t="inlineStr">
        <is>
          <t>10/31/2016</t>
        </is>
      </c>
      <c r="N558">
        <v>30</v>
      </c>
      <c r="O558">
        <v>1</v>
      </c>
      <c r="P558">
        <v>7</v>
      </c>
      <c r="Q558">
        <v>1</v>
      </c>
      <c r="R558" t="inlineStr">
        <is>
          <t>C</t>
        </is>
      </c>
    </row>
    <row r="559">
      <c r="A559" t="inlineStr">
        <is>
          <t>0</t>
        </is>
      </c>
      <c r="B559" t="inlineStr">
        <is>
          <t>SR 1619</t>
        </is>
      </c>
      <c r="C559">
        <v>0.038</v>
      </c>
      <c r="D559" t="inlineStr">
        <is>
          <t>W</t>
        </is>
      </c>
      <c r="E559" t="inlineStr">
        <is>
          <t>SR 1001</t>
        </is>
      </c>
      <c r="F559" t="inlineStr">
        <is>
          <t>UNIONVILLE</t>
        </is>
      </c>
      <c r="G559" t="inlineStr">
        <is>
          <t>SR 1619</t>
        </is>
      </c>
      <c r="H559">
        <v>0.0</v>
      </c>
      <c r="L559">
        <v>105669961</v>
      </c>
      <c r="M559" t="inlineStr">
        <is>
          <t>11/7/2018</t>
        </is>
      </c>
      <c r="N559">
        <v>17</v>
      </c>
      <c r="O559">
        <v>2</v>
      </c>
      <c r="P559">
        <v>0</v>
      </c>
      <c r="Q559">
        <v>5</v>
      </c>
      <c r="R559" t="inlineStr">
        <is>
          <t>O</t>
        </is>
      </c>
    </row>
    <row r="560">
      <c r="A560" t="inlineStr">
        <is>
          <t>558</t>
        </is>
      </c>
      <c r="B560" t="inlineStr">
        <is>
          <t>SR 1619</t>
        </is>
      </c>
      <c r="C560">
        <v>0.095</v>
      </c>
      <c r="D560" t="inlineStr">
        <is>
          <t>E</t>
        </is>
      </c>
      <c r="E560" t="inlineStr">
        <is>
          <t>SR 1001</t>
        </is>
      </c>
      <c r="F560" t="inlineStr">
        <is>
          <t>SR 1606</t>
        </is>
      </c>
      <c r="G560" t="inlineStr">
        <is>
          <t>SR 1619</t>
        </is>
      </c>
      <c r="H560">
        <v>0.095</v>
      </c>
      <c r="L560">
        <v>105344181</v>
      </c>
      <c r="M560" t="inlineStr">
        <is>
          <t>1/4/2018</t>
        </is>
      </c>
      <c r="N560">
        <v>29</v>
      </c>
      <c r="O560">
        <v>1</v>
      </c>
      <c r="P560">
        <v>0</v>
      </c>
      <c r="Q560">
        <v>1</v>
      </c>
      <c r="R560" t="inlineStr">
        <is>
          <t>O</t>
        </is>
      </c>
    </row>
    <row r="561">
      <c r="A561" t="inlineStr">
        <is>
          <t>558</t>
        </is>
      </c>
      <c r="B561" t="inlineStr">
        <is>
          <t>SR 1619</t>
        </is>
      </c>
      <c r="C561">
        <v>0.095</v>
      </c>
      <c r="D561" t="inlineStr">
        <is>
          <t>E</t>
        </is>
      </c>
      <c r="E561" t="inlineStr">
        <is>
          <t>SR 1001</t>
        </is>
      </c>
      <c r="F561" t="inlineStr">
        <is>
          <t>SR 1606</t>
        </is>
      </c>
      <c r="G561" t="inlineStr">
        <is>
          <t>SR 1619</t>
        </is>
      </c>
      <c r="H561">
        <v>0.095</v>
      </c>
      <c r="L561">
        <v>107771302</v>
      </c>
      <c r="M561" t="inlineStr">
        <is>
          <t>6/25/2024</t>
        </is>
      </c>
      <c r="N561">
        <v>17</v>
      </c>
      <c r="O561">
        <v>1</v>
      </c>
      <c r="P561">
        <v>0</v>
      </c>
      <c r="Q561">
        <v>5</v>
      </c>
      <c r="R561" t="inlineStr">
        <is>
          <t>O</t>
        </is>
      </c>
    </row>
    <row r="562">
      <c r="A562" t="inlineStr">
        <is>
          <t>558</t>
        </is>
      </c>
      <c r="B562" t="inlineStr">
        <is>
          <t>SR 1619</t>
        </is>
      </c>
      <c r="C562">
        <v>0.1</v>
      </c>
      <c r="D562" t="inlineStr">
        <is>
          <t>E</t>
        </is>
      </c>
      <c r="E562" t="inlineStr">
        <is>
          <t>SR 1001</t>
        </is>
      </c>
      <c r="F562" t="inlineStr">
        <is>
          <t>SR 1681</t>
        </is>
      </c>
      <c r="G562" t="inlineStr">
        <is>
          <t>SR 1619</t>
        </is>
      </c>
      <c r="H562">
        <v>0.1</v>
      </c>
      <c r="L562">
        <v>105517517</v>
      </c>
      <c r="M562" t="inlineStr">
        <is>
          <t>6/16/2018</t>
        </is>
      </c>
      <c r="N562">
        <v>17</v>
      </c>
      <c r="O562">
        <v>1</v>
      </c>
      <c r="Q562">
        <v>5</v>
      </c>
      <c r="R562" t="inlineStr">
        <is>
          <t>O</t>
        </is>
      </c>
    </row>
    <row r="563">
      <c r="A563" t="inlineStr">
        <is>
          <t>558</t>
        </is>
      </c>
      <c r="B563" t="inlineStr">
        <is>
          <t>SR 1619</t>
        </is>
      </c>
      <c r="C563">
        <v>0.38</v>
      </c>
      <c r="D563" t="inlineStr">
        <is>
          <t>E</t>
        </is>
      </c>
      <c r="E563" t="inlineStr">
        <is>
          <t>SR 1001</t>
        </is>
      </c>
      <c r="F563" t="inlineStr">
        <is>
          <t>SR 1681</t>
        </is>
      </c>
      <c r="G563" t="inlineStr">
        <is>
          <t>SR 1619</t>
        </is>
      </c>
      <c r="H563">
        <v>0.38</v>
      </c>
      <c r="L563">
        <v>106111340</v>
      </c>
      <c r="M563" t="inlineStr">
        <is>
          <t>12/24/2019</t>
        </is>
      </c>
      <c r="N563">
        <v>23</v>
      </c>
      <c r="O563">
        <v>1</v>
      </c>
      <c r="P563">
        <v>0</v>
      </c>
      <c r="Q563">
        <v>1</v>
      </c>
      <c r="R563" t="inlineStr">
        <is>
          <t>B</t>
        </is>
      </c>
    </row>
    <row r="564">
      <c r="A564" t="inlineStr">
        <is>
          <t>558</t>
        </is>
      </c>
      <c r="B564" t="inlineStr">
        <is>
          <t>SR 1619</t>
        </is>
      </c>
      <c r="C564">
        <v>0.0</v>
      </c>
      <c r="E564" t="inlineStr">
        <is>
          <t>SR 1681</t>
        </is>
      </c>
      <c r="G564" t="inlineStr">
        <is>
          <t>SR 1619</t>
        </is>
      </c>
      <c r="H564">
        <v>0.573</v>
      </c>
      <c r="L564">
        <v>107533157</v>
      </c>
      <c r="M564" t="inlineStr">
        <is>
          <t>11/19/2023</t>
        </is>
      </c>
      <c r="N564">
        <v>19</v>
      </c>
      <c r="O564">
        <v>1</v>
      </c>
      <c r="P564">
        <v>8</v>
      </c>
      <c r="Q564">
        <v>1</v>
      </c>
      <c r="R564" t="inlineStr">
        <is>
          <t>O</t>
        </is>
      </c>
    </row>
    <row r="565">
      <c r="A565" t="inlineStr">
        <is>
          <t>558</t>
        </is>
      </c>
      <c r="B565" t="inlineStr">
        <is>
          <t>SR 1619</t>
        </is>
      </c>
      <c r="C565">
        <v>0.009</v>
      </c>
      <c r="D565" t="inlineStr">
        <is>
          <t>E</t>
        </is>
      </c>
      <c r="E565" t="inlineStr">
        <is>
          <t>SR 2116</t>
        </is>
      </c>
      <c r="F565" t="inlineStr">
        <is>
          <t>SR 1681</t>
        </is>
      </c>
      <c r="G565" t="inlineStr">
        <is>
          <t>SR 1619</t>
        </is>
      </c>
      <c r="H565">
        <v>999.999</v>
      </c>
      <c r="L565">
        <v>107278206</v>
      </c>
      <c r="M565" t="inlineStr">
        <is>
          <t>3/21/2023</t>
        </is>
      </c>
      <c r="N565">
        <v>29</v>
      </c>
      <c r="O565">
        <v>1</v>
      </c>
      <c r="P565">
        <v>0</v>
      </c>
      <c r="Q565">
        <v>1</v>
      </c>
      <c r="R565" t="inlineStr">
        <is>
          <t>O</t>
        </is>
      </c>
    </row>
    <row r="566">
      <c r="A566" t="inlineStr">
        <is>
          <t>558</t>
        </is>
      </c>
      <c r="B566" t="inlineStr">
        <is>
          <t>SR 1627</t>
        </is>
      </c>
      <c r="C566">
        <v>0.0</v>
      </c>
      <c r="E566" t="inlineStr">
        <is>
          <t>SR 1606</t>
        </is>
      </c>
      <c r="F566" t="inlineStr">
        <is>
          <t>SR 1633</t>
        </is>
      </c>
      <c r="G566" t="inlineStr">
        <is>
          <t>SR 1627</t>
        </is>
      </c>
      <c r="H566">
        <v>1.256</v>
      </c>
      <c r="L566">
        <v>106592205</v>
      </c>
      <c r="M566" t="inlineStr">
        <is>
          <t>6/2/2021</t>
        </is>
      </c>
      <c r="N566">
        <v>30</v>
      </c>
      <c r="O566">
        <v>1</v>
      </c>
      <c r="P566">
        <v>7</v>
      </c>
      <c r="Q566">
        <v>5</v>
      </c>
      <c r="R566" t="inlineStr">
        <is>
          <t>C</t>
        </is>
      </c>
    </row>
    <row r="567">
      <c r="A567" t="inlineStr">
        <is>
          <t>0</t>
        </is>
      </c>
      <c r="B567" t="inlineStr">
        <is>
          <t>SR 1627</t>
        </is>
      </c>
      <c r="C567">
        <v>0.0</v>
      </c>
      <c r="E567" t="inlineStr">
        <is>
          <t>SR 1606</t>
        </is>
      </c>
      <c r="F567" t="inlineStr">
        <is>
          <t>NC 200</t>
        </is>
      </c>
      <c r="G567" t="inlineStr">
        <is>
          <t>SR 1627</t>
        </is>
      </c>
      <c r="H567">
        <v>1.256</v>
      </c>
      <c r="L567">
        <v>105624868</v>
      </c>
      <c r="M567" t="inlineStr">
        <is>
          <t>10/2/2018</t>
        </is>
      </c>
      <c r="N567">
        <v>30</v>
      </c>
      <c r="O567">
        <v>1</v>
      </c>
      <c r="P567">
        <v>7</v>
      </c>
      <c r="Q567">
        <v>1</v>
      </c>
      <c r="R567" t="inlineStr">
        <is>
          <t>O</t>
        </is>
      </c>
    </row>
    <row r="568">
      <c r="A568" t="inlineStr">
        <is>
          <t>558</t>
        </is>
      </c>
      <c r="B568" t="inlineStr">
        <is>
          <t>SR 1627</t>
        </is>
      </c>
      <c r="C568">
        <v>0.0</v>
      </c>
      <c r="E568" t="inlineStr">
        <is>
          <t>SR 1606</t>
        </is>
      </c>
      <c r="F568" t="inlineStr">
        <is>
          <t>NC 200</t>
        </is>
      </c>
      <c r="G568" t="inlineStr">
        <is>
          <t>SR 1627</t>
        </is>
      </c>
      <c r="H568">
        <v>1.256</v>
      </c>
      <c r="L568">
        <v>105331514</v>
      </c>
      <c r="M568" t="inlineStr">
        <is>
          <t>12/19/2017</t>
        </is>
      </c>
      <c r="N568">
        <v>30</v>
      </c>
      <c r="O568">
        <v>1</v>
      </c>
      <c r="P568">
        <v>7</v>
      </c>
      <c r="Q568">
        <v>1</v>
      </c>
      <c r="R568" t="inlineStr">
        <is>
          <t>A</t>
        </is>
      </c>
    </row>
    <row r="569">
      <c r="A569" t="inlineStr">
        <is>
          <t>558</t>
        </is>
      </c>
      <c r="B569" t="inlineStr">
        <is>
          <t>SR 1637</t>
        </is>
      </c>
      <c r="C569">
        <v>0.0</v>
      </c>
      <c r="E569" t="inlineStr">
        <is>
          <t>SR 1001</t>
        </is>
      </c>
      <c r="F569" t="inlineStr">
        <is>
          <t>SR 1606</t>
        </is>
      </c>
      <c r="G569" t="inlineStr">
        <is>
          <t>SR 1637</t>
        </is>
      </c>
      <c r="H569">
        <v>1.444</v>
      </c>
      <c r="L569">
        <v>105301886</v>
      </c>
      <c r="M569" t="inlineStr">
        <is>
          <t>11/27/2017</t>
        </is>
      </c>
      <c r="N569">
        <v>28</v>
      </c>
      <c r="O569">
        <v>1</v>
      </c>
      <c r="P569">
        <v>10</v>
      </c>
      <c r="Q569">
        <v>5</v>
      </c>
      <c r="R569" t="inlineStr">
        <is>
          <t>O</t>
        </is>
      </c>
    </row>
    <row r="570">
      <c r="A570" t="inlineStr">
        <is>
          <t>558</t>
        </is>
      </c>
      <c r="B570" t="inlineStr">
        <is>
          <t>SR 1638</t>
        </is>
      </c>
      <c r="C570">
        <v>0.0</v>
      </c>
      <c r="E570" t="inlineStr">
        <is>
          <t>SR 1001</t>
        </is>
      </c>
      <c r="F570" t="inlineStr">
        <is>
          <t>SR 1606</t>
        </is>
      </c>
      <c r="G570" t="inlineStr">
        <is>
          <t>SR 1638</t>
        </is>
      </c>
      <c r="H570">
        <v>1.556</v>
      </c>
      <c r="L570">
        <v>106029698</v>
      </c>
      <c r="M570" t="inlineStr">
        <is>
          <t>10/14/2019</t>
        </is>
      </c>
      <c r="N570">
        <v>30</v>
      </c>
      <c r="O570">
        <v>1</v>
      </c>
      <c r="P570">
        <v>7</v>
      </c>
      <c r="Q570">
        <v>1</v>
      </c>
      <c r="R570" t="inlineStr">
        <is>
          <t>O</t>
        </is>
      </c>
    </row>
    <row r="571">
      <c r="A571" t="inlineStr">
        <is>
          <t>558</t>
        </is>
      </c>
      <c r="B571" t="inlineStr">
        <is>
          <t>SR 1638</t>
        </is>
      </c>
      <c r="C571">
        <v>0.0</v>
      </c>
      <c r="E571" t="inlineStr">
        <is>
          <t>SR 1001</t>
        </is>
      </c>
      <c r="F571" t="inlineStr">
        <is>
          <t>SR 1638</t>
        </is>
      </c>
      <c r="G571" t="inlineStr">
        <is>
          <t>SR 1638</t>
        </is>
      </c>
      <c r="H571">
        <v>1.556</v>
      </c>
      <c r="L571">
        <v>104762571</v>
      </c>
      <c r="M571" t="inlineStr">
        <is>
          <t>6/8/2016</t>
        </is>
      </c>
      <c r="N571">
        <v>30</v>
      </c>
      <c r="O571">
        <v>1</v>
      </c>
      <c r="P571">
        <v>7</v>
      </c>
      <c r="Q571">
        <v>1</v>
      </c>
      <c r="R571" t="inlineStr">
        <is>
          <t>O</t>
        </is>
      </c>
    </row>
    <row r="572">
      <c r="A572" t="inlineStr">
        <is>
          <t>0</t>
        </is>
      </c>
      <c r="B572" t="inlineStr">
        <is>
          <t>SR 1655</t>
        </is>
      </c>
      <c r="C572">
        <v>0.004</v>
      </c>
      <c r="D572" t="inlineStr">
        <is>
          <t>W</t>
        </is>
      </c>
      <c r="E572" t="inlineStr">
        <is>
          <t>SR 1001</t>
        </is>
      </c>
      <c r="F572" t="inlineStr">
        <is>
          <t>SR 1547</t>
        </is>
      </c>
      <c r="G572" t="inlineStr">
        <is>
          <t>SR 1655</t>
        </is>
      </c>
      <c r="H572">
        <v>1.233</v>
      </c>
      <c r="L572">
        <v>105896304</v>
      </c>
      <c r="M572" t="inlineStr">
        <is>
          <t>6/14/2019</t>
        </is>
      </c>
      <c r="N572">
        <v>27</v>
      </c>
      <c r="O572">
        <v>1</v>
      </c>
      <c r="P572">
        <v>8</v>
      </c>
      <c r="Q572">
        <v>1</v>
      </c>
      <c r="R572" t="inlineStr">
        <is>
          <t>O</t>
        </is>
      </c>
    </row>
    <row r="573">
      <c r="A573" t="inlineStr">
        <is>
          <t>0</t>
        </is>
      </c>
      <c r="B573" t="inlineStr">
        <is>
          <t>SR 1655</t>
        </is>
      </c>
      <c r="C573">
        <v>0.0</v>
      </c>
      <c r="E573" t="inlineStr">
        <is>
          <t>SR 1001</t>
        </is>
      </c>
      <c r="F573" t="inlineStr">
        <is>
          <t>SR 1656</t>
        </is>
      </c>
      <c r="G573" t="inlineStr">
        <is>
          <t>SR 1655</t>
        </is>
      </c>
      <c r="H573">
        <v>1.237</v>
      </c>
      <c r="L573">
        <v>105627177</v>
      </c>
      <c r="M573" t="inlineStr">
        <is>
          <t>10/5/2018</t>
        </is>
      </c>
      <c r="N573">
        <v>19</v>
      </c>
      <c r="O573">
        <v>1</v>
      </c>
      <c r="P573">
        <v>8</v>
      </c>
      <c r="Q573">
        <v>1</v>
      </c>
      <c r="R573" t="inlineStr">
        <is>
          <t>O</t>
        </is>
      </c>
    </row>
    <row r="574">
      <c r="A574" t="inlineStr">
        <is>
          <t>0</t>
        </is>
      </c>
      <c r="B574" t="inlineStr">
        <is>
          <t>SR 1656</t>
        </is>
      </c>
      <c r="C574">
        <v>0.0</v>
      </c>
      <c r="E574" t="inlineStr">
        <is>
          <t>SR 1001</t>
        </is>
      </c>
      <c r="F574" t="inlineStr">
        <is>
          <t>SR 1655</t>
        </is>
      </c>
      <c r="G574" t="inlineStr">
        <is>
          <t>SR 1656</t>
        </is>
      </c>
      <c r="H574">
        <v>0.0</v>
      </c>
      <c r="L574">
        <v>107648441</v>
      </c>
      <c r="M574" t="inlineStr">
        <is>
          <t>3/8/2024</t>
        </is>
      </c>
      <c r="N574">
        <v>24</v>
      </c>
      <c r="O574">
        <v>1</v>
      </c>
      <c r="P574">
        <v>8</v>
      </c>
      <c r="Q574">
        <v>1</v>
      </c>
      <c r="R574" t="inlineStr">
        <is>
          <t>C</t>
        </is>
      </c>
    </row>
    <row r="575">
      <c r="A575" t="inlineStr">
        <is>
          <t>650</t>
        </is>
      </c>
      <c r="B575" t="inlineStr">
        <is>
          <t>SR 1664</t>
        </is>
      </c>
      <c r="C575">
        <v>0.0</v>
      </c>
      <c r="E575" t="inlineStr">
        <is>
          <t>SR 1001</t>
        </is>
      </c>
      <c r="F575" t="inlineStr">
        <is>
          <t>SR 1663</t>
        </is>
      </c>
      <c r="G575" t="inlineStr">
        <is>
          <t>SR 1664</t>
        </is>
      </c>
      <c r="H575">
        <v>0.0</v>
      </c>
      <c r="L575">
        <v>106462130</v>
      </c>
      <c r="M575" t="inlineStr">
        <is>
          <t>1/9/2021</t>
        </is>
      </c>
      <c r="N575">
        <v>24</v>
      </c>
      <c r="O575">
        <v>1</v>
      </c>
      <c r="P575">
        <v>8</v>
      </c>
      <c r="Q575">
        <v>1</v>
      </c>
      <c r="R575" t="inlineStr">
        <is>
          <t>C</t>
        </is>
      </c>
    </row>
    <row r="576">
      <c r="A576" t="inlineStr">
        <is>
          <t>0</t>
        </is>
      </c>
      <c r="B576" t="inlineStr">
        <is>
          <t>SR 1665</t>
        </is>
      </c>
      <c r="C576">
        <v>0.008</v>
      </c>
      <c r="D576" t="inlineStr">
        <is>
          <t>W</t>
        </is>
      </c>
      <c r="E576" t="inlineStr">
        <is>
          <t>SR 1001</t>
        </is>
      </c>
      <c r="F576" t="inlineStr">
        <is>
          <t>SR 2709</t>
        </is>
      </c>
      <c r="G576" t="inlineStr">
        <is>
          <t>SR 1665</t>
        </is>
      </c>
      <c r="H576">
        <v>0.008</v>
      </c>
      <c r="L576">
        <v>107374234</v>
      </c>
      <c r="M576" t="inlineStr">
        <is>
          <t>6/21/2023</t>
        </is>
      </c>
      <c r="N576">
        <v>19</v>
      </c>
      <c r="O576">
        <v>2</v>
      </c>
      <c r="P576">
        <v>8</v>
      </c>
      <c r="Q576">
        <v>1</v>
      </c>
      <c r="R576" t="inlineStr">
        <is>
          <t>C</t>
        </is>
      </c>
    </row>
    <row r="577">
      <c r="A577" t="inlineStr">
        <is>
          <t>650</t>
        </is>
      </c>
      <c r="B577" t="inlineStr">
        <is>
          <t>SR 1672</t>
        </is>
      </c>
      <c r="C577">
        <v>0.0</v>
      </c>
      <c r="E577" t="inlineStr">
        <is>
          <t>SR 1001</t>
        </is>
      </c>
      <c r="G577" t="inlineStr">
        <is>
          <t>SR 1672</t>
        </is>
      </c>
      <c r="H577">
        <v>999.999</v>
      </c>
      <c r="L577">
        <v>105067773</v>
      </c>
      <c r="M577" t="inlineStr">
        <is>
          <t>4/3/2017</t>
        </is>
      </c>
      <c r="N577">
        <v>19</v>
      </c>
      <c r="O577">
        <v>1</v>
      </c>
      <c r="P577">
        <v>8</v>
      </c>
      <c r="Q577">
        <v>1</v>
      </c>
      <c r="R577" t="inlineStr">
        <is>
          <t>O</t>
        </is>
      </c>
    </row>
    <row r="578">
      <c r="A578" t="inlineStr">
        <is>
          <t>558</t>
        </is>
      </c>
      <c r="B578" t="inlineStr">
        <is>
          <t>SR 1681</t>
        </is>
      </c>
      <c r="C578">
        <v>0.0</v>
      </c>
      <c r="E578" t="inlineStr">
        <is>
          <t>SR 1619</t>
        </is>
      </c>
      <c r="F578" t="inlineStr">
        <is>
          <t>SR 1637</t>
        </is>
      </c>
      <c r="G578" t="inlineStr">
        <is>
          <t>SR 1681</t>
        </is>
      </c>
      <c r="H578">
        <v>0.863</v>
      </c>
      <c r="L578">
        <v>108181659</v>
      </c>
      <c r="M578" t="inlineStr">
        <is>
          <t>7/24/2025</t>
        </is>
      </c>
      <c r="N578">
        <v>23</v>
      </c>
      <c r="O578">
        <v>1</v>
      </c>
      <c r="P578">
        <v>8</v>
      </c>
      <c r="Q578">
        <v>1</v>
      </c>
      <c r="R578" t="inlineStr">
        <is>
          <t>B</t>
        </is>
      </c>
    </row>
    <row r="579">
      <c r="A579" t="inlineStr">
        <is>
          <t>0</t>
        </is>
      </c>
      <c r="B579" t="inlineStr">
        <is>
          <t>SR 1681</t>
        </is>
      </c>
      <c r="C579">
        <v>0.007</v>
      </c>
      <c r="D579" t="inlineStr">
        <is>
          <t>N</t>
        </is>
      </c>
      <c r="E579" t="inlineStr">
        <is>
          <t>SR 1617</t>
        </is>
      </c>
      <c r="F579" t="inlineStr">
        <is>
          <t>SR 1612</t>
        </is>
      </c>
      <c r="G579" t="inlineStr">
        <is>
          <t>SR 1681</t>
        </is>
      </c>
      <c r="H579">
        <v>999.999</v>
      </c>
      <c r="L579">
        <v>108526710</v>
      </c>
      <c r="M579" t="inlineStr">
        <is>
          <t>6/6/2026</t>
        </is>
      </c>
      <c r="N579">
        <v>21</v>
      </c>
      <c r="O579">
        <v>1</v>
      </c>
      <c r="P579">
        <v>12</v>
      </c>
      <c r="Q579">
        <v>1</v>
      </c>
      <c r="R579" t="inlineStr">
        <is>
          <t>O</t>
        </is>
      </c>
    </row>
    <row r="580">
      <c r="A580" t="inlineStr">
        <is>
          <t>558</t>
        </is>
      </c>
      <c r="B580" t="inlineStr">
        <is>
          <t>SR 1688</t>
        </is>
      </c>
      <c r="C580">
        <v>0.0</v>
      </c>
      <c r="E580" t="inlineStr">
        <is>
          <t>SR 1001</t>
        </is>
      </c>
      <c r="F580" t="inlineStr">
        <is>
          <t>SR 1674</t>
        </is>
      </c>
      <c r="G580" t="inlineStr">
        <is>
          <t>SR 1688</t>
        </is>
      </c>
      <c r="H580">
        <v>999.999</v>
      </c>
      <c r="L580">
        <v>108248173</v>
      </c>
      <c r="M580" t="inlineStr">
        <is>
          <t>9/22/2025</t>
        </is>
      </c>
      <c r="N580">
        <v>24</v>
      </c>
      <c r="O580">
        <v>1</v>
      </c>
      <c r="P580">
        <v>8</v>
      </c>
      <c r="Q580">
        <v>1</v>
      </c>
      <c r="R580" t="inlineStr">
        <is>
          <t>O</t>
        </is>
      </c>
    </row>
    <row r="581">
      <c r="A581" t="inlineStr">
        <is>
          <t>0</t>
        </is>
      </c>
      <c r="B581" t="inlineStr">
        <is>
          <t>US 601</t>
        </is>
      </c>
      <c r="C581">
        <v>0.015</v>
      </c>
      <c r="D581" t="inlineStr">
        <is>
          <t>S</t>
        </is>
      </c>
      <c r="E581" t="inlineStr">
        <is>
          <t>SR 1001</t>
        </is>
      </c>
      <c r="F581" t="inlineStr">
        <is>
          <t>SR 1504</t>
        </is>
      </c>
      <c r="G581" t="inlineStr">
        <is>
          <t>US 601</t>
        </is>
      </c>
      <c r="H581">
        <v>17.992</v>
      </c>
      <c r="L581">
        <v>107931418</v>
      </c>
      <c r="M581" t="inlineStr">
        <is>
          <t>10/18/2024</t>
        </is>
      </c>
      <c r="N581">
        <v>14</v>
      </c>
      <c r="O581">
        <v>1</v>
      </c>
      <c r="P581">
        <v>0</v>
      </c>
      <c r="Q581">
        <v>5</v>
      </c>
      <c r="R581" t="inlineStr">
        <is>
          <t>K</t>
        </is>
      </c>
    </row>
    <row r="582">
      <c r="A582" t="inlineStr">
        <is>
          <t>558</t>
        </is>
      </c>
      <c r="B582" t="inlineStr">
        <is>
          <t>US 601</t>
        </is>
      </c>
      <c r="C582">
        <v>0.0</v>
      </c>
      <c r="E582" t="inlineStr">
        <is>
          <t>SIKES MILL</t>
        </is>
      </c>
      <c r="F582" t="inlineStr">
        <is>
          <t>RIDGE</t>
        </is>
      </c>
      <c r="G582" t="inlineStr">
        <is>
          <t>US 601</t>
        </is>
      </c>
      <c r="H582">
        <v>18.007</v>
      </c>
      <c r="L582">
        <v>106925270</v>
      </c>
      <c r="M582" t="inlineStr">
        <is>
          <t>4/18/2022</t>
        </is>
      </c>
      <c r="N582">
        <v>24</v>
      </c>
      <c r="O582">
        <v>1</v>
      </c>
      <c r="P582">
        <v>8</v>
      </c>
      <c r="Q582">
        <v>1</v>
      </c>
      <c r="R582" t="inlineStr">
        <is>
          <t>O</t>
        </is>
      </c>
    </row>
    <row r="583">
      <c r="A583" t="inlineStr">
        <is>
          <t>0</t>
        </is>
      </c>
      <c r="B583" t="inlineStr">
        <is>
          <t>US 601</t>
        </is>
      </c>
      <c r="C583">
        <v>0.0</v>
      </c>
      <c r="E583" t="inlineStr">
        <is>
          <t>SIKES MILL</t>
        </is>
      </c>
      <c r="F583" t="inlineStr">
        <is>
          <t>MAPLE HILL</t>
        </is>
      </c>
      <c r="G583" t="inlineStr">
        <is>
          <t>US 601</t>
        </is>
      </c>
      <c r="H583">
        <v>18.007</v>
      </c>
      <c r="L583">
        <v>105212692</v>
      </c>
      <c r="M583" t="inlineStr">
        <is>
          <t>8/24/2017</t>
        </is>
      </c>
      <c r="N583">
        <v>23</v>
      </c>
      <c r="O583">
        <v>1</v>
      </c>
      <c r="P583">
        <v>7</v>
      </c>
      <c r="Q583">
        <v>5</v>
      </c>
      <c r="R583" t="inlineStr">
        <is>
          <t>C</t>
        </is>
      </c>
    </row>
    <row r="584">
      <c r="A584" t="inlineStr">
        <is>
          <t>558</t>
        </is>
      </c>
      <c r="B584" t="inlineStr">
        <is>
          <t>US 601</t>
        </is>
      </c>
      <c r="C584">
        <v>0.0</v>
      </c>
      <c r="E584" t="inlineStr">
        <is>
          <t>SIKES MILL</t>
        </is>
      </c>
      <c r="F584" t="inlineStr">
        <is>
          <t>BAUCOM DEESE</t>
        </is>
      </c>
      <c r="G584" t="inlineStr">
        <is>
          <t>US 601</t>
        </is>
      </c>
      <c r="H584">
        <v>18.007</v>
      </c>
      <c r="L584">
        <v>107221390</v>
      </c>
      <c r="M584" t="inlineStr">
        <is>
          <t>1/20/2023</t>
        </is>
      </c>
      <c r="N584">
        <v>24</v>
      </c>
      <c r="O584">
        <v>1</v>
      </c>
      <c r="P584">
        <v>8</v>
      </c>
      <c r="Q584">
        <v>1</v>
      </c>
      <c r="R584" t="inlineStr">
        <is>
          <t>O</t>
        </is>
      </c>
    </row>
    <row r="585">
      <c r="A585" t="inlineStr">
        <is>
          <t>558</t>
        </is>
      </c>
      <c r="B585" t="inlineStr">
        <is>
          <t>US 601</t>
        </is>
      </c>
      <c r="C585">
        <v>0.0</v>
      </c>
      <c r="E585" t="inlineStr">
        <is>
          <t>SR 1001</t>
        </is>
      </c>
      <c r="F585" t="inlineStr">
        <is>
          <t>DEAD END</t>
        </is>
      </c>
      <c r="G585" t="inlineStr">
        <is>
          <t>US 601</t>
        </is>
      </c>
      <c r="H585">
        <v>18.007</v>
      </c>
      <c r="L585">
        <v>108401808</v>
      </c>
      <c r="M585" t="inlineStr">
        <is>
          <t>2/13/2026</t>
        </is>
      </c>
      <c r="N585">
        <v>24</v>
      </c>
      <c r="O585">
        <v>1</v>
      </c>
      <c r="P585">
        <v>8</v>
      </c>
      <c r="Q585">
        <v>5</v>
      </c>
      <c r="R585" t="inlineStr">
        <is>
          <t>O</t>
        </is>
      </c>
    </row>
    <row r="586">
      <c r="A586" t="inlineStr">
        <is>
          <t>558</t>
        </is>
      </c>
      <c r="B586" t="inlineStr">
        <is>
          <t>US 601</t>
        </is>
      </c>
      <c r="C586">
        <v>0.0</v>
      </c>
      <c r="E586" t="inlineStr">
        <is>
          <t>SR 1001</t>
        </is>
      </c>
      <c r="F586" t="inlineStr">
        <is>
          <t>SR 1504</t>
        </is>
      </c>
      <c r="G586" t="inlineStr">
        <is>
          <t>US 601</t>
        </is>
      </c>
      <c r="H586">
        <v>18.007</v>
      </c>
      <c r="L586">
        <v>108338300</v>
      </c>
      <c r="M586" t="inlineStr">
        <is>
          <t>12/9/2025</t>
        </is>
      </c>
      <c r="N586">
        <v>24</v>
      </c>
      <c r="O586">
        <v>1</v>
      </c>
      <c r="P586">
        <v>8</v>
      </c>
      <c r="Q586">
        <v>5</v>
      </c>
      <c r="R586" t="inlineStr">
        <is>
          <t>O</t>
        </is>
      </c>
    </row>
    <row r="587">
      <c r="A587" t="inlineStr">
        <is>
          <t>0</t>
        </is>
      </c>
      <c r="B587" t="inlineStr">
        <is>
          <t>US 601</t>
        </is>
      </c>
      <c r="C587">
        <v>0.0</v>
      </c>
      <c r="E587" t="inlineStr">
        <is>
          <t>SR 1001</t>
        </is>
      </c>
      <c r="F587" t="inlineStr">
        <is>
          <t>SR 1504</t>
        </is>
      </c>
      <c r="G587" t="inlineStr">
        <is>
          <t>US 601</t>
        </is>
      </c>
      <c r="H587">
        <v>18.007</v>
      </c>
      <c r="L587">
        <v>107931666</v>
      </c>
      <c r="M587" t="inlineStr">
        <is>
          <t>11/15/2024</t>
        </is>
      </c>
      <c r="N587">
        <v>24</v>
      </c>
      <c r="O587">
        <v>1</v>
      </c>
      <c r="P587">
        <v>9</v>
      </c>
      <c r="Q587">
        <v>5</v>
      </c>
      <c r="R587" t="inlineStr">
        <is>
          <t>C</t>
        </is>
      </c>
    </row>
    <row r="588">
      <c r="A588" t="inlineStr">
        <is>
          <t>558</t>
        </is>
      </c>
      <c r="B588" t="inlineStr">
        <is>
          <t>US 601</t>
        </is>
      </c>
      <c r="C588">
        <v>0.0</v>
      </c>
      <c r="E588" t="inlineStr">
        <is>
          <t>SR 1001</t>
        </is>
      </c>
      <c r="F588" t="inlineStr">
        <is>
          <t>SR 1505</t>
        </is>
      </c>
      <c r="G588" t="inlineStr">
        <is>
          <t>US 601</t>
        </is>
      </c>
      <c r="H588">
        <v>18.007</v>
      </c>
      <c r="L588">
        <v>104721418</v>
      </c>
      <c r="M588" t="inlineStr">
        <is>
          <t>4/25/2016</t>
        </is>
      </c>
      <c r="N588">
        <v>24</v>
      </c>
      <c r="O588">
        <v>1</v>
      </c>
      <c r="P588">
        <v>8</v>
      </c>
      <c r="Q588">
        <v>1</v>
      </c>
      <c r="R588" t="inlineStr">
        <is>
          <t>O</t>
        </is>
      </c>
    </row>
    <row r="589">
      <c r="A589" t="inlineStr">
        <is>
          <t>558</t>
        </is>
      </c>
      <c r="B589" t="inlineStr">
        <is>
          <t>US 601</t>
        </is>
      </c>
      <c r="C589">
        <v>0.0</v>
      </c>
      <c r="E589" t="inlineStr">
        <is>
          <t>SR 1001</t>
        </is>
      </c>
      <c r="F589" t="inlineStr">
        <is>
          <t>SR 1504</t>
        </is>
      </c>
      <c r="G589" t="inlineStr">
        <is>
          <t>US 601</t>
        </is>
      </c>
      <c r="H589">
        <v>18.007</v>
      </c>
      <c r="L589">
        <v>105644357</v>
      </c>
      <c r="M589" t="inlineStr">
        <is>
          <t>10/16/2018</t>
        </is>
      </c>
      <c r="N589">
        <v>24</v>
      </c>
      <c r="O589">
        <v>1</v>
      </c>
      <c r="P589">
        <v>8</v>
      </c>
      <c r="Q589">
        <v>1</v>
      </c>
      <c r="R589" t="inlineStr">
        <is>
          <t>C</t>
        </is>
      </c>
    </row>
    <row r="590">
      <c r="A590" t="inlineStr">
        <is>
          <t>558</t>
        </is>
      </c>
      <c r="B590" t="inlineStr">
        <is>
          <t>US 601</t>
        </is>
      </c>
      <c r="C590">
        <v>0.002</v>
      </c>
      <c r="D590" t="inlineStr">
        <is>
          <t>N</t>
        </is>
      </c>
      <c r="E590" t="inlineStr">
        <is>
          <t>SR 1001</t>
        </is>
      </c>
      <c r="F590" t="inlineStr">
        <is>
          <t>SR 1505</t>
        </is>
      </c>
      <c r="G590" t="inlineStr">
        <is>
          <t>US 601</t>
        </is>
      </c>
      <c r="H590">
        <v>18.009</v>
      </c>
      <c r="L590">
        <v>107708011</v>
      </c>
      <c r="M590" t="inlineStr">
        <is>
          <t>5/4/2024</t>
        </is>
      </c>
      <c r="N590">
        <v>21</v>
      </c>
      <c r="O590">
        <v>2</v>
      </c>
      <c r="P590">
        <v>0</v>
      </c>
      <c r="Q590">
        <v>1</v>
      </c>
      <c r="R590" t="inlineStr">
        <is>
          <t>O</t>
        </is>
      </c>
    </row>
    <row r="591">
      <c r="A591" t="inlineStr">
        <is>
          <t>0</t>
        </is>
      </c>
      <c r="B591" t="inlineStr">
        <is>
          <t>US 601</t>
        </is>
      </c>
      <c r="C591">
        <v>0.009</v>
      </c>
      <c r="D591" t="inlineStr">
        <is>
          <t>N</t>
        </is>
      </c>
      <c r="E591" t="inlineStr">
        <is>
          <t>SR 1001</t>
        </is>
      </c>
      <c r="F591" t="inlineStr">
        <is>
          <t>SR 1505</t>
        </is>
      </c>
      <c r="G591" t="inlineStr">
        <is>
          <t>US 601</t>
        </is>
      </c>
      <c r="H591">
        <v>18.016</v>
      </c>
      <c r="L591">
        <v>107232412</v>
      </c>
      <c r="M591" t="inlineStr">
        <is>
          <t>2/2/2023</t>
        </is>
      </c>
      <c r="N591">
        <v>21</v>
      </c>
      <c r="O591">
        <v>2</v>
      </c>
      <c r="P591">
        <v>0</v>
      </c>
      <c r="Q591">
        <v>1</v>
      </c>
      <c r="R591" t="inlineStr">
        <is>
          <t>O</t>
        </is>
      </c>
    </row>
    <row r="592">
      <c r="A592" t="inlineStr">
        <is>
          <t>271</t>
        </is>
      </c>
      <c r="B592" t="inlineStr">
        <is>
          <t>US 74</t>
        </is>
      </c>
      <c r="C592">
        <v>0.019</v>
      </c>
      <c r="D592" t="inlineStr">
        <is>
          <t>E</t>
        </is>
      </c>
      <c r="E592" t="inlineStr">
        <is>
          <t>SR 1001</t>
        </is>
      </c>
      <c r="F592" t="inlineStr">
        <is>
          <t>TECHNOLOGY</t>
        </is>
      </c>
      <c r="G592" t="inlineStr">
        <is>
          <t>US 74</t>
        </is>
      </c>
      <c r="H592">
        <v>999.999</v>
      </c>
      <c r="L592">
        <v>105387411</v>
      </c>
      <c r="M592" t="inlineStr">
        <is>
          <t>2/15/2018</t>
        </is>
      </c>
      <c r="N592">
        <v>28</v>
      </c>
      <c r="O592">
        <v>1</v>
      </c>
      <c r="P592">
        <v>0</v>
      </c>
      <c r="Q592">
        <v>5</v>
      </c>
      <c r="R592" t="inlineStr">
        <is>
          <t>O</t>
        </is>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DF9F5-FEE0-4B14-B7E5-199E61BF06C9}">
  <dimension ref="A1"/>
  <sheetViews>
    <sheetView workbookViewId="0">
      <selection activeCell="A19" sqref="A19"/>
    </sheetView>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D5DF6-C14B-4A9C-AF8D-BE77476CB822}">
  <dimension ref="A1:AS1017"/>
  <sheetViews>
    <sheetView zoomScaleNormal="100" workbookViewId="0">
      <selection activeCell="I15" sqref="I15"/>
    </sheetView>
  </sheetViews>
  <sheetFormatPr defaultRowHeight="14.4" x14ac:dyDescent="0.3"/>
  <cols>
    <col min="1" max="1" width="10" style="2" bestFit="1" customWidth="1"/>
    <col min="2" max="2" width="10.6640625" style="238" bestFit="1" customWidth="1"/>
    <col min="3" max="7" width="3.5546875" style="2" customWidth="1"/>
    <col min="8" max="11" width="15.109375" customWidth="1"/>
    <col min="12" max="12" width="9.109375" style="46"/>
    <col min="13" max="13" width="9.109375" style="79"/>
    <col min="14" max="14" width="2.21875" style="176" customWidth="1"/>
    <col min="15" max="15" width="7.33203125" style="2" bestFit="1" customWidth="1"/>
    <col min="16" max="16" width="5.88671875" style="2" bestFit="1" customWidth="1"/>
    <col min="17" max="17" width="9.109375" style="2"/>
    <col min="18" max="19" width="9.109375" style="46"/>
    <col min="20" max="21" width="9.109375" style="78"/>
    <col min="22" max="22" width="2.21875" customWidth="1"/>
    <col min="23" max="23" width="5.44140625" bestFit="1" customWidth="1"/>
    <col min="24" max="24" width="5.5546875" customWidth="1"/>
    <col min="28" max="28" width="10.33203125" customWidth="1"/>
    <col min="29" max="30" width="11.77734375" customWidth="1"/>
    <col min="33" max="45" width="9.109375" customWidth="1"/>
  </cols>
  <sheetData>
    <row r="1" spans="1:45" ht="37.5" customHeight="1" thickBot="1" x14ac:dyDescent="0.35">
      <c r="A1" s="379" t="s">
        <v>136</v>
      </c>
      <c r="B1" s="380"/>
      <c r="C1" s="380"/>
      <c r="D1" s="380"/>
      <c r="E1" s="380"/>
      <c r="F1" s="380"/>
      <c r="G1" s="380"/>
      <c r="H1" s="380"/>
      <c r="I1" s="380"/>
      <c r="J1" s="380"/>
      <c r="K1" s="380"/>
      <c r="L1" s="380"/>
      <c r="M1" s="381"/>
      <c r="N1" s="173"/>
      <c r="O1" s="392" t="s">
        <v>137</v>
      </c>
      <c r="P1" s="393"/>
      <c r="Q1" s="393"/>
      <c r="R1" s="393"/>
      <c r="S1" s="393"/>
      <c r="T1" s="393"/>
      <c r="U1" s="393"/>
      <c r="V1" s="393"/>
      <c r="W1" s="393"/>
      <c r="X1" s="393"/>
      <c r="Y1" s="393"/>
      <c r="Z1" s="393"/>
      <c r="AA1" s="393"/>
      <c r="AB1" s="393"/>
      <c r="AC1" s="393"/>
      <c r="AD1" s="394"/>
    </row>
    <row r="2" spans="1:45" s="1" customFormat="1" ht="18" customHeight="1" thickBot="1" x14ac:dyDescent="0.35">
      <c r="A2" s="377" t="str">
        <f>"Before Period ("&amp;TEXT('Evaluation Set-up'!D9, "mm/dd/yy")&amp;" - "&amp;TEXT('Evaluation Set-up'!E9, "mm/dd/yy")&amp;")"</f>
        <v>Before Period (04/01/16 - 03/31/21)</v>
      </c>
      <c r="B2" s="378"/>
      <c r="C2" s="378"/>
      <c r="D2" s="378"/>
      <c r="E2" s="378"/>
      <c r="F2" s="378"/>
      <c r="G2" s="378"/>
      <c r="H2" s="378"/>
      <c r="I2" s="378"/>
      <c r="J2" s="378"/>
      <c r="K2" s="378"/>
      <c r="L2" s="378"/>
      <c r="M2" s="378"/>
      <c r="N2" s="174"/>
      <c r="O2" s="398" t="s">
        <v>11</v>
      </c>
      <c r="P2" s="400" t="s">
        <v>31</v>
      </c>
      <c r="Q2" s="402" t="s">
        <v>12</v>
      </c>
      <c r="R2" s="400" t="s">
        <v>52</v>
      </c>
      <c r="S2" s="402" t="s">
        <v>53</v>
      </c>
      <c r="T2" s="400" t="s">
        <v>54</v>
      </c>
      <c r="U2" s="413" t="s">
        <v>55</v>
      </c>
      <c r="V2" s="9"/>
    </row>
    <row r="3" spans="1:45" ht="29.4" thickBot="1" x14ac:dyDescent="0.35">
      <c r="A3" s="182" t="s">
        <v>0</v>
      </c>
      <c r="B3" s="233" t="s">
        <v>1</v>
      </c>
      <c r="C3" s="183" t="s">
        <v>2</v>
      </c>
      <c r="D3" s="183" t="s">
        <v>3</v>
      </c>
      <c r="E3" s="183" t="s">
        <v>4</v>
      </c>
      <c r="F3" s="183" t="s">
        <v>5</v>
      </c>
      <c r="G3" s="220" t="s">
        <v>6</v>
      </c>
      <c r="H3" s="255" t="s">
        <v>140</v>
      </c>
      <c r="I3" s="255" t="s">
        <v>141</v>
      </c>
      <c r="J3" s="255" t="s">
        <v>142</v>
      </c>
      <c r="K3" s="81" t="s">
        <v>143</v>
      </c>
      <c r="L3" s="256" t="s">
        <v>59</v>
      </c>
      <c r="M3" s="257" t="s">
        <v>60</v>
      </c>
      <c r="N3" s="175"/>
      <c r="O3" s="399"/>
      <c r="P3" s="401"/>
      <c r="Q3" s="403"/>
      <c r="R3" s="401"/>
      <c r="S3" s="403"/>
      <c r="T3" s="401"/>
      <c r="U3" s="414"/>
      <c r="V3" s="8"/>
      <c r="Y3" s="11" t="s">
        <v>13</v>
      </c>
      <c r="Z3" s="36" t="s">
        <v>49</v>
      </c>
      <c r="AA3" s="41" t="s">
        <v>51</v>
      </c>
      <c r="AB3" s="10" t="s">
        <v>62</v>
      </c>
      <c r="AR3" t="s">
        <v>11</v>
      </c>
      <c r="AS3" t="s">
        <v>64</v>
      </c>
    </row>
    <row r="4" spans="1:45" x14ac:dyDescent="0.3">
      <c r="A4" s="228">
        <v>104716467</v>
      </c>
      <c r="B4" s="234">
        <v>42487</v>
      </c>
      <c r="C4" s="229">
        <v>30</v>
      </c>
      <c r="D4" s="229">
        <v>1</v>
      </c>
      <c r="E4" s="229">
        <v>7</v>
      </c>
      <c r="F4" s="229">
        <v>1</v>
      </c>
      <c r="G4" s="230" t="inlineStr">
        <is>
          <t>O</t>
        </is>
      </c>
      <c r="H4" s="226"/>
      <c r="I4" s="225"/>
      <c r="J4" s="225"/>
      <c r="K4" s="227"/>
      <c r="L4" s="239" t="inlineStr">
        <is>
          <t>Y</t>
        </is>
      </c>
      <c r="M4" s="240"/>
      <c r="O4" s="241" t="n">
        <f>IF(Q4 = "", "", COUNT(Q$4:$Q4))</f>
        <v>1</v>
      </c>
      <c r="P4" s="241" t="n">
        <f t="shared" ref="P4:P67" si="0">IF(C4 &gt; 0, YEAR(B4), "")</f>
        <v>2016</v>
      </c>
      <c r="Q4" s="242" t="n">
        <f t="shared" ref="Q4:Q67" si="1">IF(A4="", "", IF(G4="",1,IF(G4="O",1,IF(G4="C",8.4,IF(G4="B",8.4,IF(G4="A",76.8,IF(G4="K",76.8,"ERR")))))))</f>
        <v>1</v>
      </c>
      <c r="R4" s="243" t="n">
        <f>IF(L4&lt;&gt;"",Q4,"")</f>
        <v>1</v>
      </c>
      <c r="S4" s="244" t="str">
        <f t="shared" ref="S4:S67" si="2">IF(IF(L4&lt;&gt;"",G4,"")=0, "O", IF(L4&lt;&gt;"",G4,""))</f>
        <v>O</v>
      </c>
      <c r="T4" s="245" t="str">
        <f>IF(M4&lt;&gt;"",Q4,"")</f>
        <v/>
      </c>
      <c r="U4" s="246" t="str">
        <f t="shared" ref="U4:U67" si="3">IF(IF(M4&lt;&gt;"",G4,"")=0, "O", IF(M4&lt;&gt;"",G4,""))</f>
        <v/>
      </c>
      <c r="V4" s="8"/>
      <c r="X4" s="3" t="s">
        <v>9</v>
      </c>
      <c r="Y4" s="247" t="n">
        <f>COUNTIF($G$4:$G$1048576,$X4)</f>
        <v>0</v>
      </c>
      <c r="Z4" s="248" t="n">
        <f>COUNTIF($S$4:$S$1048576,$X4)</f>
        <v>0</v>
      </c>
      <c r="AA4" s="249" t="n">
        <f>COUNTIF($U$4:$U$1048576,$X4)</f>
        <v>0</v>
      </c>
      <c r="AB4" s="250" t="n">
        <f>COUNTIF($S:$S, X4)+COUNTIF($U:$U, X4)-COUNTIFS($S:$S, X4, $U:$U, X4)</f>
        <v>0</v>
      </c>
      <c r="AR4" t="n">
        <f>IF(O4&gt;0, O4, "")</f>
        <v>1</v>
      </c>
      <c r="AS4" t="str">
        <f t="shared" ref="AS4:AS9" si="4">IF(OR(L4="Y",M4="Y"),"Y","")</f>
        <v>Y</v>
      </c>
    </row>
    <row r="5" spans="1:45" x14ac:dyDescent="0.3">
      <c r="A5" s="231">
        <v>104890928</v>
      </c>
      <c r="B5" s="235">
        <v>42653</v>
      </c>
      <c r="C5" s="214">
        <v>30</v>
      </c>
      <c r="D5" s="214">
        <v>1</v>
      </c>
      <c r="E5" s="214">
        <v>7</v>
      </c>
      <c r="F5" s="214">
        <v>1</v>
      </c>
      <c r="G5" s="222" t="inlineStr">
        <is>
          <t>C</t>
        </is>
      </c>
      <c r="H5" s="221"/>
      <c r="I5" s="213"/>
      <c r="J5" s="213"/>
      <c r="K5" s="215"/>
      <c r="L5" s="216" t="inlineStr">
        <is>
          <t>Y</t>
        </is>
      </c>
      <c r="M5" s="217"/>
      <c r="O5" s="241" t="n">
        <f>IF(Q5 = "", "", COUNT(Q$4:$Q5))</f>
        <v>2</v>
      </c>
      <c r="P5" s="241" t="n">
        <f t="shared" si="0"/>
        <v>2016</v>
      </c>
      <c r="Q5" s="242" t="n">
        <f t="shared" si="1"/>
        <v>8.4</v>
      </c>
      <c r="R5" s="243" t="n">
        <f t="shared" ref="R5:R68" si="5">IF(L5&lt;&gt;"",Q5,"")</f>
        <v>8.4</v>
      </c>
      <c r="S5" s="244" t="str">
        <f>IF(IF(L5&lt;&gt;"",G5,"")=0, "O", IF(L5&lt;&gt;"",G5,""))</f>
        <v>C</v>
      </c>
      <c r="T5" s="245" t="str">
        <f t="shared" ref="T5:T68" si="6">IF(M5&lt;&gt;"",Q5,"")</f>
        <v/>
      </c>
      <c r="U5" s="246" t="str">
        <f t="shared" si="3"/>
        <v/>
      </c>
      <c r="V5" s="8"/>
      <c r="X5" s="3" t="s">
        <v>10</v>
      </c>
      <c r="Y5" s="247" t="n">
        <f>COUNTIF($G$4:$G$1048576,$X5)</f>
        <v>1</v>
      </c>
      <c r="Z5" s="248" t="n">
        <f>COUNTIF($S$4:$S$1048576,$X5)</f>
        <v>1</v>
      </c>
      <c r="AA5" s="249" t="n">
        <f>COUNTIF($U$4:$U$1048576,$X5)</f>
        <v>0</v>
      </c>
      <c r="AB5" s="250" t="n">
        <f>COUNTIF($S:$S, X5)+COUNTIF($U:$U, X5)-COUNTIFS($S:$S, X5, $U:$U, X5)</f>
        <v>1</v>
      </c>
      <c r="AR5" t="n">
        <f t="shared" ref="AR5:AR9" si="7">IF(O5&gt;0, O5, "")</f>
        <v>2</v>
      </c>
      <c r="AS5" t="str">
        <f t="shared" si="4"/>
        <v>Y</v>
      </c>
    </row>
    <row r="6" spans="1:45" x14ac:dyDescent="0.3">
      <c r="A6" s="231">
        <v>104901954</v>
      </c>
      <c r="B6" s="235">
        <v>42676</v>
      </c>
      <c r="C6" s="214">
        <v>30</v>
      </c>
      <c r="D6" s="214">
        <v>1</v>
      </c>
      <c r="E6" s="214">
        <v>7</v>
      </c>
      <c r="F6" s="214">
        <v>1</v>
      </c>
      <c r="G6" s="222" t="inlineStr">
        <is>
          <t>O</t>
        </is>
      </c>
      <c r="H6" s="221"/>
      <c r="I6" s="213"/>
      <c r="J6" s="213"/>
      <c r="K6" s="215"/>
      <c r="L6" s="216" t="inlineStr">
        <is>
          <t>Y</t>
        </is>
      </c>
      <c r="M6" s="217"/>
      <c r="O6" s="241" t="n">
        <f>IF(Q6 = "", "", COUNT(Q$4:$Q6))</f>
        <v>3</v>
      </c>
      <c r="P6" s="241" t="n">
        <f t="shared" si="0"/>
        <v>2016</v>
      </c>
      <c r="Q6" s="242" t="n">
        <f t="shared" si="1"/>
        <v>1</v>
      </c>
      <c r="R6" s="243" t="n">
        <f t="shared" si="5"/>
        <v>1</v>
      </c>
      <c r="S6" s="244" t="str">
        <f t="shared" si="2"/>
        <v>O</v>
      </c>
      <c r="T6" s="245" t="str">
        <f t="shared" si="6"/>
        <v/>
      </c>
      <c r="U6" s="246" t="str">
        <f t="shared" si="3"/>
        <v/>
      </c>
      <c r="V6" s="8"/>
      <c r="X6" s="3" t="s">
        <v>8</v>
      </c>
      <c r="Y6" s="247" t="n">
        <f>COUNTIF($G$4:$G$1048576,$X6)</f>
        <v>3</v>
      </c>
      <c r="Z6" s="248" t="n">
        <f>COUNTIF($S$4:$S$1048576,$X6)</f>
        <v>3</v>
      </c>
      <c r="AA6" s="249" t="n">
        <f>COUNTIF($U$4:$U$1048576,$X6)</f>
        <v>0</v>
      </c>
      <c r="AB6" s="250" t="n">
        <f>COUNTIF($S:$S, X6)+COUNTIF($U:$U, X6)-COUNTIFS($S:$S, X6, $U:$U, X6)</f>
        <v>3</v>
      </c>
      <c r="AR6" t="n">
        <f t="shared" si="7"/>
        <v>3</v>
      </c>
      <c r="AS6" t="str">
        <f t="shared" si="4"/>
        <v>Y</v>
      </c>
    </row>
    <row r="7" spans="1:45" x14ac:dyDescent="0.3">
      <c r="A7" s="231">
        <v>104942804</v>
      </c>
      <c r="B7" s="235">
        <v>42712</v>
      </c>
      <c r="C7" s="214">
        <v>30</v>
      </c>
      <c r="D7" s="214">
        <v>1</v>
      </c>
      <c r="E7" s="214">
        <v>7</v>
      </c>
      <c r="F7" s="214">
        <v>1</v>
      </c>
      <c r="G7" s="222" t="inlineStr">
        <is>
          <t>B</t>
        </is>
      </c>
      <c r="H7" s="221"/>
      <c r="I7" s="213"/>
      <c r="J7" s="213"/>
      <c r="K7" s="215"/>
      <c r="L7" s="216" t="inlineStr">
        <is>
          <t>Y</t>
        </is>
      </c>
      <c r="M7" s="217"/>
      <c r="O7" s="241" t="n">
        <f>IF(Q7 = "", "", COUNT(Q$4:$Q7))</f>
        <v>4</v>
      </c>
      <c r="P7" s="241" t="n">
        <f t="shared" si="0"/>
        <v>2016</v>
      </c>
      <c r="Q7" s="242" t="n">
        <f t="shared" si="1"/>
        <v>8.4</v>
      </c>
      <c r="R7" s="243" t="n">
        <f t="shared" si="5"/>
        <v>8.4</v>
      </c>
      <c r="S7" s="244" t="str">
        <f t="shared" si="2"/>
        <v>B</v>
      </c>
      <c r="T7" s="245" t="str">
        <f t="shared" si="6"/>
        <v/>
      </c>
      <c r="U7" s="246" t="str">
        <f t="shared" si="3"/>
        <v/>
      </c>
      <c r="V7" s="8"/>
      <c r="X7" s="3" t="s">
        <v>3</v>
      </c>
      <c r="Y7" s="247" t="n">
        <f>COUNTIF($G$4:$G$1048576,$X7)</f>
        <v>4</v>
      </c>
      <c r="Z7" s="248" t="n">
        <f>COUNTIF($S$4:$S$1048576,$X7)</f>
        <v>4</v>
      </c>
      <c r="AA7" s="249" t="n">
        <f>COUNTIF($U$4:$U$1048576,$X7)</f>
        <v>0</v>
      </c>
      <c r="AB7" s="250" t="n">
        <f>COUNTIF($S:$S, X7)+COUNTIF($U:$U, X7)-COUNTIFS($S:$S, X7, $U:$U, X7)</f>
        <v>4</v>
      </c>
      <c r="AR7" t="n">
        <f t="shared" si="7"/>
        <v>4</v>
      </c>
      <c r="AS7" t="str">
        <f t="shared" si="4"/>
        <v>Y</v>
      </c>
    </row>
    <row r="8" spans="1:45" x14ac:dyDescent="0.3">
      <c r="A8" s="231">
        <v>104987740</v>
      </c>
      <c r="B8" s="235">
        <v>42760</v>
      </c>
      <c r="C8" s="214">
        <v>30</v>
      </c>
      <c r="D8" s="214">
        <v>1</v>
      </c>
      <c r="E8" s="214">
        <v>7</v>
      </c>
      <c r="F8" s="214">
        <v>1</v>
      </c>
      <c r="G8" s="222" t="inlineStr">
        <is>
          <t>B</t>
        </is>
      </c>
      <c r="H8" s="221"/>
      <c r="I8" s="213"/>
      <c r="J8" s="213"/>
      <c r="K8" s="215"/>
      <c r="L8" s="216" t="inlineStr">
        <is>
          <t>Y</t>
        </is>
      </c>
      <c r="M8" s="217"/>
      <c r="O8" s="241" t="n">
        <f>IF(Q8 = "", "", COUNT(Q$4:$Q8))</f>
        <v>5</v>
      </c>
      <c r="P8" s="241" t="n">
        <f t="shared" si="0"/>
        <v>2017</v>
      </c>
      <c r="Q8" s="242" t="n">
        <f t="shared" si="1"/>
        <v>8.4</v>
      </c>
      <c r="R8" s="243" t="n">
        <f t="shared" si="5"/>
        <v>8.4</v>
      </c>
      <c r="S8" s="244" t="str">
        <f t="shared" si="2"/>
        <v>B</v>
      </c>
      <c r="T8" s="245" t="str">
        <f t="shared" si="6"/>
        <v/>
      </c>
      <c r="U8" s="246" t="str">
        <f t="shared" si="3"/>
        <v/>
      </c>
      <c r="V8" s="8"/>
      <c r="X8" s="3" t="s">
        <v>7</v>
      </c>
      <c r="Y8" s="247" t="n">
        <f>COUNTIF($G$4:$G$1048576,$X8)+COUNTIFS($G$4:$G$1048576, "", $O$4:$O$1048576, "&gt;0")</f>
        <v>7</v>
      </c>
      <c r="Z8" s="248" t="n">
        <f>COUNTIF($S$4:$S$1048576,$X8)</f>
        <v>3</v>
      </c>
      <c r="AA8" s="249" t="n">
        <f>COUNTIF($U$4:$U$1048576,$X8)</f>
        <v>0</v>
      </c>
      <c r="AB8" s="250" t="n">
        <f>COUNTIF($S:$S, X8)+COUNTIF($U:$U, X8)-COUNTIFS($S:$S, X8, $U:$U, X8)</f>
        <v>3</v>
      </c>
      <c r="AR8" t="n">
        <f t="shared" si="7"/>
        <v>5</v>
      </c>
      <c r="AS8" t="str">
        <f t="shared" si="4"/>
        <v>Y</v>
      </c>
    </row>
    <row r="9" spans="1:45" x14ac:dyDescent="0.3">
      <c r="A9" s="231">
        <v>105210461</v>
      </c>
      <c r="B9" s="235">
        <v>42977</v>
      </c>
      <c r="C9" s="214">
        <v>30</v>
      </c>
      <c r="D9" s="214">
        <v>1</v>
      </c>
      <c r="E9" s="214">
        <v>7</v>
      </c>
      <c r="F9" s="214">
        <v>1</v>
      </c>
      <c r="G9" s="222" t="inlineStr">
        <is>
          <t>C</t>
        </is>
      </c>
      <c r="H9" s="221"/>
      <c r="I9" s="213"/>
      <c r="J9" s="213"/>
      <c r="K9" s="215"/>
      <c r="L9" s="216" t="inlineStr">
        <is>
          <t>Y</t>
        </is>
      </c>
      <c r="M9" s="217"/>
      <c r="O9" s="241" t="n">
        <f>IF(Q9 = "", "", COUNT(Q$4:$Q9))</f>
        <v>6</v>
      </c>
      <c r="P9" s="241" t="n">
        <f t="shared" si="0"/>
        <v>2017</v>
      </c>
      <c r="Q9" s="242" t="n">
        <f t="shared" si="1"/>
        <v>8.4</v>
      </c>
      <c r="R9" s="243" t="n">
        <f t="shared" si="5"/>
        <v>8.4</v>
      </c>
      <c r="S9" s="244" t="str">
        <f t="shared" si="2"/>
        <v>C</v>
      </c>
      <c r="T9" s="245" t="str">
        <f t="shared" si="6"/>
        <v/>
      </c>
      <c r="U9" s="246" t="str">
        <f t="shared" si="3"/>
        <v/>
      </c>
      <c r="V9" s="8"/>
      <c r="X9" s="3" t="s">
        <v>13</v>
      </c>
      <c r="Y9" s="247" t="n">
        <f>COUNTIF(O4:O1048576, "&gt;0")</f>
        <v>15</v>
      </c>
      <c r="Z9" s="248" t="n">
        <f>COUNT(R4:R1048576)</f>
        <v>11</v>
      </c>
      <c r="AA9" s="249" t="n">
        <f>COUNT(T4:T1048576)</f>
        <v>0</v>
      </c>
      <c r="AB9" s="250" t="n">
        <f>SUM(AB4:AB8)</f>
        <v>11</v>
      </c>
      <c r="AR9" t="n">
        <f t="shared" si="7"/>
        <v>6</v>
      </c>
      <c r="AS9" t="str">
        <f t="shared" si="4"/>
        <v>Y</v>
      </c>
    </row>
    <row r="10" spans="1:45" x14ac:dyDescent="0.3">
      <c r="A10" s="231">
        <v>105326435</v>
      </c>
      <c r="B10" s="235">
        <v>43085</v>
      </c>
      <c r="C10" s="214">
        <v>30</v>
      </c>
      <c r="D10" s="214">
        <v>1</v>
      </c>
      <c r="E10" s="214">
        <v>7</v>
      </c>
      <c r="F10" s="214">
        <v>1</v>
      </c>
      <c r="G10" s="222" t="inlineStr">
        <is>
          <t>A</t>
        </is>
      </c>
      <c r="H10" s="221"/>
      <c r="I10" s="213"/>
      <c r="J10" s="213"/>
      <c r="K10" s="215"/>
      <c r="L10" s="216" t="inlineStr">
        <is>
          <t>Y</t>
        </is>
      </c>
      <c r="M10" s="217"/>
      <c r="O10" s="241" t="n">
        <f>IF(Q10 = "", "", COUNT(Q$4:$Q10))</f>
        <v>7</v>
      </c>
      <c r="P10" s="241" t="n">
        <f t="shared" si="0"/>
        <v>2017</v>
      </c>
      <c r="Q10" s="242" t="n">
        <f t="shared" si="1"/>
        <v>76.8</v>
      </c>
      <c r="R10" s="243" t="n">
        <f t="shared" si="5"/>
        <v>76.8</v>
      </c>
      <c r="S10" s="244" t="str">
        <f t="shared" si="2"/>
        <v>A</v>
      </c>
      <c r="T10" s="245" t="str">
        <f t="shared" si="6"/>
        <v/>
      </c>
      <c r="U10" s="246" t="str">
        <f t="shared" si="3"/>
        <v/>
      </c>
      <c r="V10" s="8"/>
      <c r="X10" s="3" t="s">
        <v>14</v>
      </c>
      <c r="Y10" s="251" t="n">
        <f>IFERROR(AVERAGE(Q4:Q1048576), 0)</f>
        <v>9.50666666666667</v>
      </c>
      <c r="Z10" s="252" t="n">
        <f>IFERROR(AVERAGE(R4:R1048576),0)</f>
        <v>12.6</v>
      </c>
      <c r="AA10" s="253" t="n">
        <f>IFERROR(AVERAGE(T4:T1048576),0)</f>
        <v>0</v>
      </c>
      <c r="AB10" s="254" t="n">
        <f>IFERROR(AVERAGEIF($AS$4:$AS$1048576,"Y", Q4:Q1048576 ),0)</f>
        <v>12.6</v>
      </c>
      <c r="AR10" t="n">
        <f>IF(O10&gt;0, O10, "")</f>
        <v>7</v>
      </c>
      <c r="AS10" t="str">
        <f t="shared" ref="AS10:AS20" si="8">IF(OR(L10="Y",M10="Y"),"Y","")</f>
        <v>Y</v>
      </c>
    </row>
    <row r="11" spans="1:45" x14ac:dyDescent="0.3">
      <c r="A11" s="231">
        <v>105363964</v>
      </c>
      <c r="B11" s="235">
        <v>43126</v>
      </c>
      <c r="C11" s="214">
        <v>30</v>
      </c>
      <c r="D11" s="214">
        <v>1</v>
      </c>
      <c r="E11" s="214">
        <v>7</v>
      </c>
      <c r="F11" s="214">
        <v>5</v>
      </c>
      <c r="G11" s="222" t="inlineStr">
        <is>
          <t>C</t>
        </is>
      </c>
      <c r="H11" s="221"/>
      <c r="I11" s="213"/>
      <c r="J11" s="213"/>
      <c r="K11" s="215"/>
      <c r="L11" s="216" t="inlineStr">
        <is>
          <t>Y</t>
        </is>
      </c>
      <c r="M11" s="217"/>
      <c r="O11" s="241" t="n">
        <f>IF(Q11 = "", "", COUNT(Q$4:$Q11))</f>
        <v>8</v>
      </c>
      <c r="P11" s="241" t="n">
        <f t="shared" si="0"/>
        <v>2018</v>
      </c>
      <c r="Q11" s="242" t="n">
        <f t="shared" si="1"/>
        <v>8.4</v>
      </c>
      <c r="R11" s="243" t="n">
        <f t="shared" si="5"/>
        <v>8.4</v>
      </c>
      <c r="S11" s="244" t="str">
        <f t="shared" si="2"/>
        <v>C</v>
      </c>
      <c r="T11" s="245" t="str">
        <f t="shared" si="6"/>
        <v/>
      </c>
      <c r="U11" s="246" t="str">
        <f t="shared" si="3"/>
        <v/>
      </c>
      <c r="V11" s="8"/>
      <c r="AR11" t="n">
        <f t="shared" ref="AR11:AR21" si="9">IF(O11&gt;0, O11, "")</f>
        <v>8</v>
      </c>
      <c r="AS11" t="str">
        <f t="shared" si="8"/>
        <v>Y</v>
      </c>
    </row>
    <row r="12" spans="1:45" x14ac:dyDescent="0.3">
      <c r="A12" s="231">
        <v>105520583</v>
      </c>
      <c r="B12" s="235">
        <v>43271</v>
      </c>
      <c r="C12" s="214">
        <v>19</v>
      </c>
      <c r="D12" s="214">
        <v>2</v>
      </c>
      <c r="E12" s="214">
        <v>0</v>
      </c>
      <c r="F12" s="214">
        <v>1</v>
      </c>
      <c r="G12" s="222" t="inlineStr">
        <is>
          <t>O</t>
        </is>
      </c>
      <c r="H12" s="221"/>
      <c r="I12" s="213"/>
      <c r="J12" s="213"/>
      <c r="K12" s="215"/>
      <c r="L12" s="216"/>
      <c r="M12" s="217"/>
      <c r="O12" s="241" t="n">
        <f>IF(Q12 = "", "", COUNT(Q$4:$Q12))</f>
        <v>9</v>
      </c>
      <c r="P12" s="241" t="n">
        <f t="shared" si="0"/>
        <v>2018</v>
      </c>
      <c r="Q12" s="242" t="n">
        <f t="shared" si="1"/>
        <v>1</v>
      </c>
      <c r="R12" s="243" t="str">
        <f t="shared" si="5"/>
        <v/>
      </c>
      <c r="S12" s="244" t="str">
        <f t="shared" si="2"/>
        <v/>
      </c>
      <c r="T12" s="245" t="str">
        <f t="shared" si="6"/>
        <v/>
      </c>
      <c r="U12" s="246" t="str">
        <f t="shared" si="3"/>
        <v/>
      </c>
      <c r="V12" s="8"/>
      <c r="AR12" t="n">
        <f t="shared" si="9"/>
        <v>9</v>
      </c>
      <c r="AS12" t="str">
        <f t="shared" si="8"/>
        <v/>
      </c>
    </row>
    <row r="13" spans="1:45" ht="15" thickBot="1" x14ac:dyDescent="0.35">
      <c r="A13" s="231">
        <v>105535858</v>
      </c>
      <c r="B13" s="235">
        <v>43290</v>
      </c>
      <c r="C13" s="214">
        <v>30</v>
      </c>
      <c r="D13" s="214">
        <v>1</v>
      </c>
      <c r="E13" s="214">
        <v>7</v>
      </c>
      <c r="F13" s="214">
        <v>1</v>
      </c>
      <c r="G13" s="222" t="inlineStr">
        <is>
          <t>B</t>
        </is>
      </c>
      <c r="H13" s="221"/>
      <c r="I13" s="213"/>
      <c r="J13" s="213"/>
      <c r="K13" s="215"/>
      <c r="L13" s="216" t="inlineStr">
        <is>
          <t>Y</t>
        </is>
      </c>
      <c r="M13" s="217"/>
      <c r="O13" s="241" t="n">
        <f>IF(Q13 = "", "", COUNT(Q$4:$Q13))</f>
        <v>10</v>
      </c>
      <c r="P13" s="241" t="n">
        <f t="shared" si="0"/>
        <v>2018</v>
      </c>
      <c r="Q13" s="242" t="n">
        <f t="shared" si="1"/>
        <v>8.4</v>
      </c>
      <c r="R13" s="243" t="n">
        <f t="shared" si="5"/>
        <v>8.4</v>
      </c>
      <c r="S13" s="244" t="str">
        <f t="shared" si="2"/>
        <v>B</v>
      </c>
      <c r="T13" s="245" t="str">
        <f t="shared" si="6"/>
        <v/>
      </c>
      <c r="U13" s="246" t="str">
        <f t="shared" si="3"/>
        <v/>
      </c>
      <c r="V13" s="8"/>
      <c r="AR13" t="n">
        <f t="shared" si="9"/>
        <v>10</v>
      </c>
      <c r="AS13" t="str">
        <f t="shared" si="8"/>
        <v>Y</v>
      </c>
    </row>
    <row r="14" spans="1:45" ht="15" thickBot="1" x14ac:dyDescent="0.35">
      <c r="A14" s="231">
        <v>105553349</v>
      </c>
      <c r="B14" s="235">
        <v>43304</v>
      </c>
      <c r="C14" s="214">
        <v>18</v>
      </c>
      <c r="D14" s="214">
        <v>2</v>
      </c>
      <c r="E14" s="214">
        <v>0</v>
      </c>
      <c r="F14" s="214">
        <v>1</v>
      </c>
      <c r="G14" s="222" t="inlineStr">
        <is>
          <t>O</t>
        </is>
      </c>
      <c r="H14" s="221"/>
      <c r="I14" s="213"/>
      <c r="J14" s="213"/>
      <c r="K14" s="215"/>
      <c r="L14" s="216"/>
      <c r="M14" s="217"/>
      <c r="O14" s="241" t="n">
        <f>IF(Q14 = "", "", COUNT(Q$4:$Q14))</f>
        <v>11</v>
      </c>
      <c r="P14" s="241" t="n">
        <f t="shared" si="0"/>
        <v>2018</v>
      </c>
      <c r="Q14" s="242" t="n">
        <f t="shared" si="1"/>
        <v>1</v>
      </c>
      <c r="R14" s="243" t="str">
        <f t="shared" si="5"/>
        <v/>
      </c>
      <c r="S14" s="244" t="str">
        <f t="shared" si="2"/>
        <v/>
      </c>
      <c r="T14" s="245" t="str">
        <f t="shared" si="6"/>
        <v/>
      </c>
      <c r="U14" s="246" t="str">
        <f t="shared" si="3"/>
        <v/>
      </c>
      <c r="V14" s="8"/>
      <c r="W14" s="395" t="s">
        <v>42</v>
      </c>
      <c r="X14" s="396"/>
      <c r="Y14" s="396"/>
      <c r="Z14" s="396"/>
      <c r="AA14" s="396"/>
      <c r="AB14" s="396"/>
      <c r="AC14" s="396"/>
      <c r="AD14" s="397"/>
      <c r="AR14" t="n">
        <f t="shared" si="9"/>
        <v>11</v>
      </c>
      <c r="AS14" t="str">
        <f t="shared" si="8"/>
        <v/>
      </c>
    </row>
    <row r="15" spans="1:45" ht="15" customHeight="1" x14ac:dyDescent="0.3">
      <c r="A15" s="231">
        <v>105885258</v>
      </c>
      <c r="B15" s="235">
        <v>43620</v>
      </c>
      <c r="C15" s="214">
        <v>29</v>
      </c>
      <c r="D15" s="214">
        <v>1</v>
      </c>
      <c r="E15" s="214">
        <v>0</v>
      </c>
      <c r="F15" s="214">
        <v>1</v>
      </c>
      <c r="G15" s="222" t="inlineStr">
        <is>
          <t>O</t>
        </is>
      </c>
      <c r="H15" s="221"/>
      <c r="I15" s="213"/>
      <c r="J15" s="213"/>
      <c r="K15" s="215"/>
      <c r="L15" s="216"/>
      <c r="M15" s="217"/>
      <c r="O15" s="241" t="n">
        <f>IF(Q15 = "", "", COUNT(Q$4:$Q15))</f>
        <v>12</v>
      </c>
      <c r="P15" s="241" t="n">
        <f t="shared" si="0"/>
        <v>2019</v>
      </c>
      <c r="Q15" s="242" t="n">
        <f t="shared" si="1"/>
        <v>1</v>
      </c>
      <c r="R15" s="243" t="str">
        <f t="shared" si="5"/>
        <v/>
      </c>
      <c r="S15" s="244" t="str">
        <f t="shared" si="2"/>
        <v/>
      </c>
      <c r="T15" s="245" t="str">
        <f t="shared" si="6"/>
        <v/>
      </c>
      <c r="U15" s="246" t="str">
        <f t="shared" si="3"/>
        <v/>
      </c>
      <c r="V15" s="8"/>
      <c r="W15" s="385">
        <v>1</v>
      </c>
      <c r="X15" s="388" t="s">
        <v>148</v>
      </c>
      <c r="Y15" s="389"/>
      <c r="Z15" s="389"/>
      <c r="AA15" s="389"/>
      <c r="AB15" s="389"/>
      <c r="AC15" s="389"/>
      <c r="AD15" s="390"/>
      <c r="AR15" t="n">
        <f t="shared" si="9"/>
        <v>12</v>
      </c>
      <c r="AS15" t="str">
        <f t="shared" si="8"/>
        <v/>
      </c>
    </row>
    <row r="16" spans="1:45" ht="15" customHeight="1" x14ac:dyDescent="0.3">
      <c r="A16" s="231">
        <v>106126767</v>
      </c>
      <c r="B16" s="235">
        <v>43843</v>
      </c>
      <c r="C16" s="214">
        <v>21</v>
      </c>
      <c r="D16" s="214">
        <v>2</v>
      </c>
      <c r="E16" s="214">
        <v>7</v>
      </c>
      <c r="F16" s="214">
        <v>1</v>
      </c>
      <c r="G16" s="222" t="inlineStr">
        <is>
          <t>O</t>
        </is>
      </c>
      <c r="H16" s="221"/>
      <c r="I16" s="213"/>
      <c r="J16" s="213"/>
      <c r="K16" s="215"/>
      <c r="L16" s="216"/>
      <c r="M16" s="217"/>
      <c r="O16" s="241" t="n">
        <f>IF(Q16 = "", "", COUNT(Q$4:$Q16))</f>
        <v>13</v>
      </c>
      <c r="P16" s="241" t="n">
        <f t="shared" si="0"/>
        <v>2020</v>
      </c>
      <c r="Q16" s="242" t="n">
        <f t="shared" si="1"/>
        <v>1</v>
      </c>
      <c r="R16" s="243" t="str">
        <f t="shared" si="5"/>
        <v/>
      </c>
      <c r="S16" s="244" t="str">
        <f t="shared" si="2"/>
        <v/>
      </c>
      <c r="T16" s="245" t="str">
        <f t="shared" si="6"/>
        <v/>
      </c>
      <c r="U16" s="246" t="str">
        <f t="shared" si="3"/>
        <v/>
      </c>
      <c r="V16" s="8"/>
      <c r="W16" s="386"/>
      <c r="X16" s="391"/>
      <c r="Y16" s="340"/>
      <c r="Z16" s="340"/>
      <c r="AA16" s="340"/>
      <c r="AB16" s="340"/>
      <c r="AC16" s="340"/>
      <c r="AD16" s="382"/>
      <c r="AR16" t="n">
        <f t="shared" si="9"/>
        <v>13</v>
      </c>
      <c r="AS16" t="str">
        <f t="shared" si="8"/>
        <v/>
      </c>
    </row>
    <row r="17" spans="1:45" x14ac:dyDescent="0.3">
      <c r="A17" s="231">
        <v>106133705</v>
      </c>
      <c r="B17" s="235">
        <v>43853</v>
      </c>
      <c r="C17" s="214">
        <v>30</v>
      </c>
      <c r="D17" s="214">
        <v>1</v>
      </c>
      <c r="E17" s="214">
        <v>7</v>
      </c>
      <c r="F17" s="214">
        <v>1</v>
      </c>
      <c r="G17" s="222" t="inlineStr">
        <is>
          <t>O</t>
        </is>
      </c>
      <c r="H17" s="221"/>
      <c r="I17" s="213"/>
      <c r="J17" s="213"/>
      <c r="K17" s="215"/>
      <c r="L17" s="216" t="inlineStr">
        <is>
          <t>Y</t>
        </is>
      </c>
      <c r="M17" s="217"/>
      <c r="O17" s="241" t="n">
        <f>IF(Q17 = "", "", COUNT(Q$4:$Q17))</f>
        <v>14</v>
      </c>
      <c r="P17" s="241" t="n">
        <f t="shared" si="0"/>
        <v>2020</v>
      </c>
      <c r="Q17" s="242" t="n">
        <f t="shared" si="1"/>
        <v>1</v>
      </c>
      <c r="R17" s="243" t="n">
        <f t="shared" si="5"/>
        <v>1</v>
      </c>
      <c r="S17" s="244" t="str">
        <f t="shared" si="2"/>
        <v>O</v>
      </c>
      <c r="T17" s="245" t="str">
        <f t="shared" si="6"/>
        <v/>
      </c>
      <c r="U17" s="246" t="str">
        <f t="shared" si="3"/>
        <v/>
      </c>
      <c r="V17" s="8"/>
      <c r="W17" s="386"/>
      <c r="X17" s="391"/>
      <c r="Y17" s="340"/>
      <c r="Z17" s="340"/>
      <c r="AA17" s="340"/>
      <c r="AB17" s="340"/>
      <c r="AC17" s="340"/>
      <c r="AD17" s="382"/>
      <c r="AR17" t="n">
        <f t="shared" si="9"/>
        <v>14</v>
      </c>
      <c r="AS17" t="str">
        <f t="shared" si="8"/>
        <v>Y</v>
      </c>
    </row>
    <row r="18" spans="1:45" ht="15" customHeight="1" x14ac:dyDescent="0.3">
      <c r="A18" s="231">
        <v>106286453</v>
      </c>
      <c r="B18" s="235">
        <v>44037</v>
      </c>
      <c r="C18" s="214">
        <v>30</v>
      </c>
      <c r="D18" s="214">
        <v>1</v>
      </c>
      <c r="E18" s="214">
        <v>7</v>
      </c>
      <c r="F18" s="214">
        <v>1</v>
      </c>
      <c r="G18" s="222" t="inlineStr">
        <is>
          <t>C</t>
        </is>
      </c>
      <c r="H18" s="221"/>
      <c r="I18" s="213"/>
      <c r="J18" s="213"/>
      <c r="K18" s="215"/>
      <c r="L18" s="216" t="inlineStr">
        <is>
          <t>Y</t>
        </is>
      </c>
      <c r="M18" s="217"/>
      <c r="O18" s="241" t="n">
        <f>IF(Q18 = "", "", COUNT(Q$4:$Q18))</f>
        <v>15</v>
      </c>
      <c r="P18" s="241" t="n">
        <f t="shared" si="0"/>
        <v>2020</v>
      </c>
      <c r="Q18" s="242" t="n">
        <f t="shared" si="1"/>
        <v>8.4</v>
      </c>
      <c r="R18" s="243" t="n">
        <f t="shared" si="5"/>
        <v>8.4</v>
      </c>
      <c r="S18" s="244" t="str">
        <f t="shared" si="2"/>
        <v>C</v>
      </c>
      <c r="T18" s="245" t="str">
        <f t="shared" si="6"/>
        <v/>
      </c>
      <c r="U18" s="246" t="str">
        <f t="shared" si="3"/>
        <v/>
      </c>
      <c r="V18" s="8"/>
      <c r="W18" s="386"/>
      <c r="X18" s="260" t="s">
        <v>47</v>
      </c>
      <c r="Y18" s="340" t="s">
        <v>138</v>
      </c>
      <c r="Z18" s="340"/>
      <c r="AA18" s="340"/>
      <c r="AB18" s="340"/>
      <c r="AC18" s="340"/>
      <c r="AD18" s="382"/>
      <c r="AR18" t="n">
        <f t="shared" si="9"/>
        <v>15</v>
      </c>
      <c r="AS18" t="str">
        <f t="shared" si="8"/>
        <v>Y</v>
      </c>
    </row>
    <row r="19" spans="1:45" x14ac:dyDescent="0.3">
      <c r="A19" s="231"/>
      <c r="B19" s="235"/>
      <c r="C19" s="214"/>
      <c r="D19" s="214"/>
      <c r="E19" s="214"/>
      <c r="F19" s="214"/>
      <c r="G19" s="222"/>
      <c r="H19" s="221"/>
      <c r="I19" s="213"/>
      <c r="J19" s="213"/>
      <c r="K19" s="215"/>
      <c r="L19" s="216"/>
      <c r="M19" s="217"/>
      <c r="O19" s="241" t="str">
        <f>IF(Q19 = "", "", COUNT(Q$4:$Q19))</f>
        <v/>
      </c>
      <c r="P19" s="241" t="str">
        <f t="shared" si="0"/>
        <v/>
      </c>
      <c r="Q19" s="242" t="str">
        <f t="shared" si="1"/>
        <v/>
      </c>
      <c r="R19" s="243" t="str">
        <f t="shared" si="5"/>
        <v/>
      </c>
      <c r="S19" s="244" t="str">
        <f t="shared" si="2"/>
        <v/>
      </c>
      <c r="T19" s="245" t="str">
        <f t="shared" si="6"/>
        <v/>
      </c>
      <c r="U19" s="246" t="str">
        <f t="shared" si="3"/>
        <v/>
      </c>
      <c r="V19" s="8"/>
      <c r="W19" s="386"/>
      <c r="X19" s="261"/>
      <c r="Y19" s="340"/>
      <c r="Z19" s="340"/>
      <c r="AA19" s="340"/>
      <c r="AB19" s="340"/>
      <c r="AC19" s="340"/>
      <c r="AD19" s="382"/>
      <c r="AR19" t="str">
        <f t="shared" si="9"/>
        <v/>
      </c>
      <c r="AS19" t="str">
        <f t="shared" si="8"/>
        <v/>
      </c>
    </row>
    <row r="20" spans="1:45" ht="15" customHeight="1" x14ac:dyDescent="0.3">
      <c r="A20" s="231"/>
      <c r="B20" s="235"/>
      <c r="C20" s="214"/>
      <c r="D20" s="214"/>
      <c r="E20" s="214"/>
      <c r="F20" s="214"/>
      <c r="G20" s="222"/>
      <c r="H20" s="221"/>
      <c r="I20" s="213"/>
      <c r="J20" s="213"/>
      <c r="K20" s="215"/>
      <c r="L20" s="216"/>
      <c r="M20" s="217"/>
      <c r="O20" s="241" t="str">
        <f>IF(Q20 = "", "", COUNT(Q$4:$Q20))</f>
        <v/>
      </c>
      <c r="P20" s="241" t="str">
        <f t="shared" si="0"/>
        <v/>
      </c>
      <c r="Q20" s="242" t="str">
        <f t="shared" si="1"/>
        <v/>
      </c>
      <c r="R20" s="243" t="str">
        <f t="shared" si="5"/>
        <v/>
      </c>
      <c r="S20" s="244" t="str">
        <f t="shared" si="2"/>
        <v/>
      </c>
      <c r="T20" s="245" t="str">
        <f t="shared" si="6"/>
        <v/>
      </c>
      <c r="U20" s="246" t="str">
        <f t="shared" si="3"/>
        <v/>
      </c>
      <c r="V20" s="8"/>
      <c r="W20" s="386"/>
      <c r="X20" s="260" t="s">
        <v>47</v>
      </c>
      <c r="Y20" s="340" t="s">
        <v>147</v>
      </c>
      <c r="Z20" s="340"/>
      <c r="AA20" s="340"/>
      <c r="AB20" s="340"/>
      <c r="AC20" s="340"/>
      <c r="AD20" s="382"/>
      <c r="AR20" t="str">
        <f t="shared" si="9"/>
        <v/>
      </c>
      <c r="AS20" t="str">
        <f t="shared" si="8"/>
        <v/>
      </c>
    </row>
    <row r="21" spans="1:45" ht="15" customHeight="1" x14ac:dyDescent="0.3">
      <c r="A21" s="231"/>
      <c r="B21" s="235"/>
      <c r="C21" s="214"/>
      <c r="D21" s="214"/>
      <c r="E21" s="214"/>
      <c r="F21" s="214"/>
      <c r="G21" s="222"/>
      <c r="H21" s="221"/>
      <c r="I21" s="213"/>
      <c r="J21" s="213"/>
      <c r="K21" s="215"/>
      <c r="L21" s="216"/>
      <c r="M21" s="217"/>
      <c r="O21" s="241" t="str">
        <f>IF(Q21 = "", "", COUNT(Q$4:$Q21))</f>
        <v/>
      </c>
      <c r="P21" s="241" t="str">
        <f t="shared" si="0"/>
        <v/>
      </c>
      <c r="Q21" s="242" t="str">
        <f t="shared" si="1"/>
        <v/>
      </c>
      <c r="R21" s="243" t="str">
        <f t="shared" si="5"/>
        <v/>
      </c>
      <c r="S21" s="244" t="str">
        <f t="shared" si="2"/>
        <v/>
      </c>
      <c r="T21" s="245" t="str">
        <f t="shared" si="6"/>
        <v/>
      </c>
      <c r="U21" s="246" t="str">
        <f t="shared" si="3"/>
        <v/>
      </c>
      <c r="V21" s="8"/>
      <c r="W21" s="386"/>
      <c r="X21" s="261"/>
      <c r="Y21" s="340"/>
      <c r="Z21" s="340"/>
      <c r="AA21" s="340"/>
      <c r="AB21" s="340"/>
      <c r="AC21" s="340"/>
      <c r="AD21" s="382"/>
      <c r="AR21" t="str">
        <f t="shared" si="9"/>
        <v/>
      </c>
      <c r="AS21" t="str">
        <f t="shared" ref="AS21:AS84" si="10">IF(OR(L21="Y",M21="Y"),"Y","")</f>
        <v/>
      </c>
    </row>
    <row r="22" spans="1:45" ht="15" customHeight="1" x14ac:dyDescent="0.3">
      <c r="A22" s="231"/>
      <c r="B22" s="235"/>
      <c r="C22" s="214"/>
      <c r="D22" s="214"/>
      <c r="E22" s="214"/>
      <c r="F22" s="214"/>
      <c r="G22" s="222"/>
      <c r="H22" s="221"/>
      <c r="I22" s="213"/>
      <c r="J22" s="213"/>
      <c r="K22" s="215"/>
      <c r="L22" s="216"/>
      <c r="M22" s="217"/>
      <c r="O22" s="241" t="str">
        <f>IF(Q22 = "", "", COUNT(Q$4:$Q22))</f>
        <v/>
      </c>
      <c r="P22" s="241" t="str">
        <f t="shared" si="0"/>
        <v/>
      </c>
      <c r="Q22" s="242" t="str">
        <f t="shared" si="1"/>
        <v/>
      </c>
      <c r="R22" s="243" t="str">
        <f t="shared" si="5"/>
        <v/>
      </c>
      <c r="S22" s="244" t="str">
        <f t="shared" si="2"/>
        <v/>
      </c>
      <c r="T22" s="245" t="str">
        <f t="shared" si="6"/>
        <v/>
      </c>
      <c r="U22" s="246" t="str">
        <f t="shared" si="3"/>
        <v/>
      </c>
      <c r="V22" s="8"/>
      <c r="W22" s="386"/>
      <c r="X22" s="262"/>
      <c r="Y22" s="340"/>
      <c r="Z22" s="340"/>
      <c r="AA22" s="340"/>
      <c r="AB22" s="340"/>
      <c r="AC22" s="340"/>
      <c r="AD22" s="382"/>
      <c r="AR22" t="str">
        <f t="shared" ref="AR22:AR85" si="11">IF(O22&gt;0, O22, "")</f>
        <v/>
      </c>
      <c r="AS22" t="str">
        <f t="shared" si="10"/>
        <v/>
      </c>
    </row>
    <row r="23" spans="1:45" ht="15" customHeight="1" x14ac:dyDescent="0.3">
      <c r="A23" s="231"/>
      <c r="B23" s="235"/>
      <c r="C23" s="214"/>
      <c r="D23" s="214"/>
      <c r="E23" s="214"/>
      <c r="F23" s="214"/>
      <c r="G23" s="222"/>
      <c r="H23" s="221"/>
      <c r="I23" s="213"/>
      <c r="J23" s="213"/>
      <c r="K23" s="215"/>
      <c r="L23" s="216"/>
      <c r="M23" s="217"/>
      <c r="O23" s="241" t="str">
        <f>IF(Q23 = "", "", COUNT(Q$4:$Q23))</f>
        <v/>
      </c>
      <c r="P23" s="241" t="str">
        <f t="shared" si="0"/>
        <v/>
      </c>
      <c r="Q23" s="242" t="str">
        <f t="shared" si="1"/>
        <v/>
      </c>
      <c r="R23" s="243" t="str">
        <f t="shared" si="5"/>
        <v/>
      </c>
      <c r="S23" s="244" t="str">
        <f t="shared" si="2"/>
        <v/>
      </c>
      <c r="T23" s="245" t="str">
        <f t="shared" si="6"/>
        <v/>
      </c>
      <c r="U23" s="246" t="str">
        <f t="shared" si="3"/>
        <v/>
      </c>
      <c r="V23" s="8"/>
      <c r="W23" s="386"/>
      <c r="X23" s="262"/>
      <c r="Y23" s="340"/>
      <c r="Z23" s="340"/>
      <c r="AA23" s="340"/>
      <c r="AB23" s="340"/>
      <c r="AC23" s="340"/>
      <c r="AD23" s="382"/>
      <c r="AR23" t="str">
        <f t="shared" si="11"/>
        <v/>
      </c>
      <c r="AS23" t="str">
        <f t="shared" si="10"/>
        <v/>
      </c>
    </row>
    <row r="24" spans="1:45" ht="15" customHeight="1" x14ac:dyDescent="0.3">
      <c r="A24" s="231"/>
      <c r="B24" s="235"/>
      <c r="C24" s="214"/>
      <c r="D24" s="214"/>
      <c r="E24" s="214"/>
      <c r="F24" s="214"/>
      <c r="G24" s="222"/>
      <c r="H24" s="221"/>
      <c r="I24" s="213"/>
      <c r="J24" s="213"/>
      <c r="K24" s="215"/>
      <c r="L24" s="216"/>
      <c r="M24" s="217"/>
      <c r="O24" s="241" t="str">
        <f>IF(Q24 = "", "", COUNT(Q$4:$Q24))</f>
        <v/>
      </c>
      <c r="P24" s="241" t="str">
        <f t="shared" si="0"/>
        <v/>
      </c>
      <c r="Q24" s="242" t="str">
        <f t="shared" si="1"/>
        <v/>
      </c>
      <c r="R24" s="243" t="str">
        <f t="shared" si="5"/>
        <v/>
      </c>
      <c r="S24" s="244" t="str">
        <f t="shared" si="2"/>
        <v/>
      </c>
      <c r="T24" s="245" t="str">
        <f t="shared" si="6"/>
        <v/>
      </c>
      <c r="U24" s="246" t="str">
        <f t="shared" si="3"/>
        <v/>
      </c>
      <c r="V24" s="8"/>
      <c r="W24" s="386"/>
      <c r="X24" s="262"/>
      <c r="Y24" s="340"/>
      <c r="Z24" s="340"/>
      <c r="AA24" s="340"/>
      <c r="AB24" s="340"/>
      <c r="AC24" s="340"/>
      <c r="AD24" s="382"/>
      <c r="AR24" t="str">
        <f t="shared" si="11"/>
        <v/>
      </c>
      <c r="AS24" t="str">
        <f t="shared" si="10"/>
        <v/>
      </c>
    </row>
    <row r="25" spans="1:45" x14ac:dyDescent="0.3">
      <c r="A25" s="231"/>
      <c r="B25" s="235"/>
      <c r="C25" s="214"/>
      <c r="D25" s="214"/>
      <c r="E25" s="214"/>
      <c r="F25" s="214"/>
      <c r="G25" s="222"/>
      <c r="H25" s="221"/>
      <c r="I25" s="213"/>
      <c r="J25" s="213"/>
      <c r="K25" s="215"/>
      <c r="L25" s="216"/>
      <c r="M25" s="217"/>
      <c r="O25" s="241" t="str">
        <f>IF(Q25 = "", "", COUNT(Q$4:$Q25))</f>
        <v/>
      </c>
      <c r="P25" s="241" t="str">
        <f t="shared" si="0"/>
        <v/>
      </c>
      <c r="Q25" s="242" t="str">
        <f t="shared" si="1"/>
        <v/>
      </c>
      <c r="R25" s="243" t="str">
        <f t="shared" si="5"/>
        <v/>
      </c>
      <c r="S25" s="244" t="str">
        <f t="shared" si="2"/>
        <v/>
      </c>
      <c r="T25" s="245" t="str">
        <f t="shared" si="6"/>
        <v/>
      </c>
      <c r="U25" s="246" t="str">
        <f t="shared" si="3"/>
        <v/>
      </c>
      <c r="V25" s="8"/>
      <c r="W25" s="386"/>
      <c r="X25" s="260" t="s">
        <v>47</v>
      </c>
      <c r="Y25" s="340" t="s">
        <v>146</v>
      </c>
      <c r="Z25" s="340"/>
      <c r="AA25" s="340"/>
      <c r="AB25" s="340"/>
      <c r="AC25" s="340"/>
      <c r="AD25" s="382"/>
      <c r="AR25" t="str">
        <f t="shared" si="11"/>
        <v/>
      </c>
      <c r="AS25" t="str">
        <f t="shared" si="10"/>
        <v/>
      </c>
    </row>
    <row r="26" spans="1:45" x14ac:dyDescent="0.3">
      <c r="A26" s="231"/>
      <c r="B26" s="235"/>
      <c r="C26" s="214"/>
      <c r="D26" s="214"/>
      <c r="E26" s="214"/>
      <c r="F26" s="214"/>
      <c r="G26" s="222"/>
      <c r="H26" s="221"/>
      <c r="I26" s="213"/>
      <c r="J26" s="213"/>
      <c r="K26" s="215"/>
      <c r="L26" s="216"/>
      <c r="M26" s="217"/>
      <c r="O26" s="241" t="str">
        <f>IF(Q26 = "", "", COUNT(Q$4:$Q26))</f>
        <v/>
      </c>
      <c r="P26" s="241" t="str">
        <f t="shared" si="0"/>
        <v/>
      </c>
      <c r="Q26" s="242" t="str">
        <f t="shared" si="1"/>
        <v/>
      </c>
      <c r="R26" s="243" t="str">
        <f t="shared" si="5"/>
        <v/>
      </c>
      <c r="S26" s="244" t="str">
        <f t="shared" si="2"/>
        <v/>
      </c>
      <c r="T26" s="245" t="str">
        <f t="shared" si="6"/>
        <v/>
      </c>
      <c r="U26" s="246" t="str">
        <f t="shared" si="3"/>
        <v/>
      </c>
      <c r="V26" s="8"/>
      <c r="W26" s="386"/>
      <c r="X26" s="262"/>
      <c r="Y26" s="340"/>
      <c r="Z26" s="340"/>
      <c r="AA26" s="340"/>
      <c r="AB26" s="340"/>
      <c r="AC26" s="340"/>
      <c r="AD26" s="382"/>
      <c r="AR26" t="str">
        <f t="shared" si="11"/>
        <v/>
      </c>
      <c r="AS26" t="str">
        <f t="shared" si="10"/>
        <v/>
      </c>
    </row>
    <row r="27" spans="1:45" x14ac:dyDescent="0.3">
      <c r="A27" s="231"/>
      <c r="B27" s="235"/>
      <c r="C27" s="214"/>
      <c r="D27" s="214"/>
      <c r="E27" s="214"/>
      <c r="F27" s="214"/>
      <c r="G27" s="222"/>
      <c r="H27" s="221"/>
      <c r="I27" s="213"/>
      <c r="J27" s="213"/>
      <c r="K27" s="215"/>
      <c r="L27" s="216"/>
      <c r="M27" s="217"/>
      <c r="O27" s="241" t="str">
        <f>IF(Q27 = "", "", COUNT(Q$4:$Q27))</f>
        <v/>
      </c>
      <c r="P27" s="241" t="str">
        <f t="shared" si="0"/>
        <v/>
      </c>
      <c r="Q27" s="242" t="str">
        <f t="shared" si="1"/>
        <v/>
      </c>
      <c r="R27" s="243" t="str">
        <f t="shared" si="5"/>
        <v/>
      </c>
      <c r="S27" s="244" t="str">
        <f t="shared" si="2"/>
        <v/>
      </c>
      <c r="T27" s="245" t="str">
        <f t="shared" si="6"/>
        <v/>
      </c>
      <c r="U27" s="246" t="str">
        <f t="shared" si="3"/>
        <v/>
      </c>
      <c r="V27" s="8"/>
      <c r="W27" s="386"/>
      <c r="X27" s="260" t="s">
        <v>47</v>
      </c>
      <c r="Y27" s="340" t="s">
        <v>139</v>
      </c>
      <c r="Z27" s="340"/>
      <c r="AA27" s="340"/>
      <c r="AB27" s="340"/>
      <c r="AC27" s="340"/>
      <c r="AD27" s="382"/>
      <c r="AR27" t="str">
        <f t="shared" si="11"/>
        <v/>
      </c>
      <c r="AS27" t="str">
        <f t="shared" si="10"/>
        <v/>
      </c>
    </row>
    <row r="28" spans="1:45" ht="15" customHeight="1" x14ac:dyDescent="0.3">
      <c r="A28" s="231"/>
      <c r="B28" s="235"/>
      <c r="C28" s="214"/>
      <c r="D28" s="214"/>
      <c r="E28" s="214"/>
      <c r="F28" s="214"/>
      <c r="G28" s="222"/>
      <c r="H28" s="221"/>
      <c r="I28" s="213"/>
      <c r="J28" s="213"/>
      <c r="K28" s="215"/>
      <c r="L28" s="216"/>
      <c r="M28" s="217"/>
      <c r="O28" s="241" t="str">
        <f>IF(Q28 = "", "", COUNT(Q$4:$Q28))</f>
        <v/>
      </c>
      <c r="P28" s="241" t="str">
        <f t="shared" si="0"/>
        <v/>
      </c>
      <c r="Q28" s="242" t="str">
        <f t="shared" si="1"/>
        <v/>
      </c>
      <c r="R28" s="243" t="str">
        <f t="shared" si="5"/>
        <v/>
      </c>
      <c r="S28" s="244" t="str">
        <f t="shared" si="2"/>
        <v/>
      </c>
      <c r="T28" s="245" t="str">
        <f t="shared" si="6"/>
        <v/>
      </c>
      <c r="U28" s="246" t="str">
        <f t="shared" si="3"/>
        <v/>
      </c>
      <c r="V28" s="8"/>
      <c r="W28" s="386"/>
      <c r="X28" s="262"/>
      <c r="Y28" s="340"/>
      <c r="Z28" s="340"/>
      <c r="AA28" s="340"/>
      <c r="AB28" s="340"/>
      <c r="AC28" s="340"/>
      <c r="AD28" s="382"/>
      <c r="AR28" t="str">
        <f t="shared" si="11"/>
        <v/>
      </c>
      <c r="AS28" t="str">
        <f t="shared" si="10"/>
        <v/>
      </c>
    </row>
    <row r="29" spans="1:45" x14ac:dyDescent="0.3">
      <c r="A29" s="231"/>
      <c r="B29" s="235"/>
      <c r="C29" s="214"/>
      <c r="D29" s="214"/>
      <c r="E29" s="214"/>
      <c r="F29" s="214"/>
      <c r="G29" s="222"/>
      <c r="H29" s="221"/>
      <c r="I29" s="213"/>
      <c r="J29" s="213"/>
      <c r="K29" s="215"/>
      <c r="L29" s="216"/>
      <c r="M29" s="217"/>
      <c r="O29" s="241" t="str">
        <f>IF(Q29 = "", "", COUNT(Q$4:$Q29))</f>
        <v/>
      </c>
      <c r="P29" s="241" t="str">
        <f t="shared" si="0"/>
        <v/>
      </c>
      <c r="Q29" s="242" t="str">
        <f t="shared" si="1"/>
        <v/>
      </c>
      <c r="R29" s="243" t="str">
        <f t="shared" si="5"/>
        <v/>
      </c>
      <c r="S29" s="244" t="str">
        <f t="shared" si="2"/>
        <v/>
      </c>
      <c r="T29" s="245" t="str">
        <f t="shared" si="6"/>
        <v/>
      </c>
      <c r="U29" s="246" t="str">
        <f t="shared" si="3"/>
        <v/>
      </c>
      <c r="V29" s="8"/>
      <c r="W29" s="387"/>
      <c r="X29" s="262"/>
      <c r="Y29" s="383"/>
      <c r="Z29" s="383"/>
      <c r="AA29" s="383"/>
      <c r="AB29" s="383"/>
      <c r="AC29" s="383"/>
      <c r="AD29" s="384"/>
      <c r="AR29" t="str">
        <f t="shared" si="11"/>
        <v/>
      </c>
      <c r="AS29" t="str">
        <f t="shared" si="10"/>
        <v/>
      </c>
    </row>
    <row r="30" spans="1:45" x14ac:dyDescent="0.3">
      <c r="A30" s="231"/>
      <c r="B30" s="235"/>
      <c r="C30" s="214"/>
      <c r="D30" s="214"/>
      <c r="E30" s="214"/>
      <c r="F30" s="214"/>
      <c r="G30" s="222"/>
      <c r="H30" s="221"/>
      <c r="I30" s="213"/>
      <c r="J30" s="213"/>
      <c r="K30" s="215"/>
      <c r="L30" s="216"/>
      <c r="M30" s="217"/>
      <c r="O30" s="241" t="str">
        <f>IF(Q30 = "", "", COUNT(Q$4:$Q30))</f>
        <v/>
      </c>
      <c r="P30" s="241" t="str">
        <f t="shared" si="0"/>
        <v/>
      </c>
      <c r="Q30" s="242" t="str">
        <f t="shared" si="1"/>
        <v/>
      </c>
      <c r="R30" s="243" t="str">
        <f t="shared" si="5"/>
        <v/>
      </c>
      <c r="S30" s="244" t="str">
        <f t="shared" si="2"/>
        <v/>
      </c>
      <c r="T30" s="245" t="str">
        <f t="shared" si="6"/>
        <v/>
      </c>
      <c r="U30" s="246" t="str">
        <f t="shared" si="3"/>
        <v/>
      </c>
      <c r="V30" s="8"/>
      <c r="W30" s="407">
        <v>2</v>
      </c>
      <c r="X30" s="417" t="s">
        <v>144</v>
      </c>
      <c r="Y30" s="417"/>
      <c r="Z30" s="417"/>
      <c r="AA30" s="417"/>
      <c r="AB30" s="417"/>
      <c r="AC30" s="417"/>
      <c r="AD30" s="418"/>
      <c r="AR30" t="str">
        <f t="shared" si="11"/>
        <v/>
      </c>
      <c r="AS30" t="str">
        <f t="shared" si="10"/>
        <v/>
      </c>
    </row>
    <row r="31" spans="1:45" x14ac:dyDescent="0.3">
      <c r="A31" s="231"/>
      <c r="B31" s="235"/>
      <c r="C31" s="214"/>
      <c r="D31" s="214"/>
      <c r="E31" s="214"/>
      <c r="F31" s="214"/>
      <c r="G31" s="222"/>
      <c r="H31" s="221"/>
      <c r="I31" s="213"/>
      <c r="J31" s="213"/>
      <c r="K31" s="215"/>
      <c r="L31" s="216"/>
      <c r="M31" s="217"/>
      <c r="O31" s="241" t="str">
        <f>IF(Q31 = "", "", COUNT(Q$4:$Q31))</f>
        <v/>
      </c>
      <c r="P31" s="241" t="str">
        <f t="shared" si="0"/>
        <v/>
      </c>
      <c r="Q31" s="242" t="str">
        <f t="shared" si="1"/>
        <v/>
      </c>
      <c r="R31" s="243" t="str">
        <f t="shared" si="5"/>
        <v/>
      </c>
      <c r="S31" s="244" t="str">
        <f t="shared" si="2"/>
        <v/>
      </c>
      <c r="T31" s="245" t="str">
        <f t="shared" si="6"/>
        <v/>
      </c>
      <c r="U31" s="246" t="str">
        <f t="shared" si="3"/>
        <v/>
      </c>
      <c r="V31" s="8"/>
      <c r="W31" s="415"/>
      <c r="X31" s="419"/>
      <c r="Y31" s="419"/>
      <c r="Z31" s="419"/>
      <c r="AA31" s="419"/>
      <c r="AB31" s="419"/>
      <c r="AC31" s="419"/>
      <c r="AD31" s="420"/>
      <c r="AR31" t="str">
        <f t="shared" si="11"/>
        <v/>
      </c>
      <c r="AS31" t="str">
        <f t="shared" si="10"/>
        <v/>
      </c>
    </row>
    <row r="32" spans="1:45" x14ac:dyDescent="0.3">
      <c r="A32" s="231"/>
      <c r="B32" s="235"/>
      <c r="C32" s="214"/>
      <c r="D32" s="214"/>
      <c r="E32" s="214"/>
      <c r="F32" s="214"/>
      <c r="G32" s="222"/>
      <c r="H32" s="221"/>
      <c r="I32" s="213"/>
      <c r="J32" s="213"/>
      <c r="K32" s="215"/>
      <c r="L32" s="216"/>
      <c r="M32" s="217"/>
      <c r="O32" s="241" t="str">
        <f>IF(Q32 = "", "", COUNT(Q$4:$Q32))</f>
        <v/>
      </c>
      <c r="P32" s="241" t="str">
        <f t="shared" si="0"/>
        <v/>
      </c>
      <c r="Q32" s="242" t="str">
        <f t="shared" si="1"/>
        <v/>
      </c>
      <c r="R32" s="243" t="str">
        <f t="shared" si="5"/>
        <v/>
      </c>
      <c r="S32" s="244" t="str">
        <f t="shared" si="2"/>
        <v/>
      </c>
      <c r="T32" s="245" t="str">
        <f t="shared" si="6"/>
        <v/>
      </c>
      <c r="U32" s="246" t="str">
        <f t="shared" si="3"/>
        <v/>
      </c>
      <c r="V32" s="8"/>
      <c r="W32" s="416"/>
      <c r="X32" s="421"/>
      <c r="Y32" s="421"/>
      <c r="Z32" s="421"/>
      <c r="AA32" s="421"/>
      <c r="AB32" s="421"/>
      <c r="AC32" s="421"/>
      <c r="AD32" s="422"/>
      <c r="AR32" t="str">
        <f t="shared" si="11"/>
        <v/>
      </c>
      <c r="AS32" t="str">
        <f t="shared" si="10"/>
        <v/>
      </c>
    </row>
    <row r="33" spans="1:45" x14ac:dyDescent="0.3">
      <c r="A33" s="231"/>
      <c r="B33" s="235"/>
      <c r="C33" s="214"/>
      <c r="D33" s="214"/>
      <c r="E33" s="214"/>
      <c r="F33" s="214"/>
      <c r="G33" s="222"/>
      <c r="H33" s="221"/>
      <c r="I33" s="213"/>
      <c r="J33" s="213"/>
      <c r="K33" s="215"/>
      <c r="L33" s="216"/>
      <c r="M33" s="217"/>
      <c r="O33" s="241" t="str">
        <f>IF(Q33 = "", "", COUNT(Q$4:$Q33))</f>
        <v/>
      </c>
      <c r="P33" s="241" t="str">
        <f t="shared" si="0"/>
        <v/>
      </c>
      <c r="Q33" s="242" t="str">
        <f t="shared" si="1"/>
        <v/>
      </c>
      <c r="R33" s="243" t="str">
        <f t="shared" si="5"/>
        <v/>
      </c>
      <c r="S33" s="244" t="str">
        <f t="shared" si="2"/>
        <v/>
      </c>
      <c r="T33" s="245" t="str">
        <f t="shared" si="6"/>
        <v/>
      </c>
      <c r="U33" s="246" t="str">
        <f t="shared" si="3"/>
        <v/>
      </c>
      <c r="V33" s="8"/>
      <c r="W33" s="407">
        <v>3</v>
      </c>
      <c r="X33" s="404" t="s">
        <v>145</v>
      </c>
      <c r="Y33" s="405"/>
      <c r="Z33" s="405"/>
      <c r="AA33" s="405"/>
      <c r="AB33" s="405"/>
      <c r="AC33" s="405"/>
      <c r="AD33" s="406"/>
      <c r="AR33" t="str">
        <f t="shared" si="11"/>
        <v/>
      </c>
      <c r="AS33" t="str">
        <f t="shared" si="10"/>
        <v/>
      </c>
    </row>
    <row r="34" spans="1:45" x14ac:dyDescent="0.3">
      <c r="A34" s="231"/>
      <c r="B34" s="235"/>
      <c r="C34" s="214"/>
      <c r="D34" s="214"/>
      <c r="E34" s="214"/>
      <c r="F34" s="214"/>
      <c r="G34" s="222"/>
      <c r="H34" s="221"/>
      <c r="I34" s="213"/>
      <c r="J34" s="213"/>
      <c r="K34" s="215"/>
      <c r="L34" s="216"/>
      <c r="M34" s="217"/>
      <c r="O34" s="241" t="str">
        <f>IF(Q34 = "", "", COUNT(Q$4:$Q34))</f>
        <v/>
      </c>
      <c r="P34" s="241" t="str">
        <f t="shared" si="0"/>
        <v/>
      </c>
      <c r="Q34" s="242" t="str">
        <f t="shared" si="1"/>
        <v/>
      </c>
      <c r="R34" s="243" t="str">
        <f t="shared" si="5"/>
        <v/>
      </c>
      <c r="S34" s="244" t="str">
        <f t="shared" si="2"/>
        <v/>
      </c>
      <c r="T34" s="245" t="str">
        <f t="shared" si="6"/>
        <v/>
      </c>
      <c r="U34" s="246" t="str">
        <f t="shared" si="3"/>
        <v/>
      </c>
      <c r="V34" s="8"/>
      <c r="W34" s="415"/>
      <c r="X34" s="272" t="s">
        <v>47</v>
      </c>
      <c r="Y34" s="16" t="s">
        <v>149</v>
      </c>
      <c r="Z34" s="16"/>
      <c r="AA34" s="16"/>
      <c r="AB34" s="16"/>
      <c r="AC34" s="16"/>
      <c r="AD34" s="21"/>
      <c r="AR34" t="str">
        <f t="shared" si="11"/>
        <v/>
      </c>
      <c r="AS34" t="str">
        <f t="shared" si="10"/>
        <v/>
      </c>
    </row>
    <row r="35" spans="1:45" x14ac:dyDescent="0.3">
      <c r="A35" s="231"/>
      <c r="B35" s="235"/>
      <c r="C35" s="214"/>
      <c r="D35" s="214"/>
      <c r="E35" s="214"/>
      <c r="F35" s="214"/>
      <c r="G35" s="222"/>
      <c r="H35" s="221"/>
      <c r="I35" s="213"/>
      <c r="J35" s="213"/>
      <c r="K35" s="215"/>
      <c r="L35" s="216"/>
      <c r="M35" s="217"/>
      <c r="O35" s="241" t="str">
        <f>IF(Q35 = "", "", COUNT(Q$4:$Q35))</f>
        <v/>
      </c>
      <c r="P35" s="241" t="str">
        <f t="shared" si="0"/>
        <v/>
      </c>
      <c r="Q35" s="242" t="str">
        <f t="shared" si="1"/>
        <v/>
      </c>
      <c r="R35" s="243" t="str">
        <f t="shared" si="5"/>
        <v/>
      </c>
      <c r="S35" s="244" t="str">
        <f t="shared" si="2"/>
        <v/>
      </c>
      <c r="T35" s="245" t="str">
        <f t="shared" si="6"/>
        <v/>
      </c>
      <c r="U35" s="246" t="str">
        <f t="shared" si="3"/>
        <v/>
      </c>
      <c r="V35" s="8"/>
      <c r="W35" s="415"/>
      <c r="X35" s="272" t="s">
        <v>47</v>
      </c>
      <c r="Y35" s="16" t="s">
        <v>150</v>
      </c>
      <c r="Z35" s="16"/>
      <c r="AA35" s="16"/>
      <c r="AB35" s="16"/>
      <c r="AC35" s="16"/>
      <c r="AD35" s="21"/>
      <c r="AR35" t="str">
        <f t="shared" si="11"/>
        <v/>
      </c>
      <c r="AS35" t="str">
        <f t="shared" si="10"/>
        <v/>
      </c>
    </row>
    <row r="36" spans="1:45" x14ac:dyDescent="0.3">
      <c r="A36" s="231"/>
      <c r="B36" s="235"/>
      <c r="C36" s="214"/>
      <c r="D36" s="214"/>
      <c r="E36" s="214"/>
      <c r="F36" s="214"/>
      <c r="G36" s="222"/>
      <c r="H36" s="221"/>
      <c r="I36" s="213"/>
      <c r="J36" s="213"/>
      <c r="K36" s="215"/>
      <c r="L36" s="216"/>
      <c r="M36" s="217"/>
      <c r="O36" s="241" t="str">
        <f>IF(Q36 = "", "", COUNT(Q$4:$Q36))</f>
        <v/>
      </c>
      <c r="P36" s="241" t="str">
        <f t="shared" si="0"/>
        <v/>
      </c>
      <c r="Q36" s="242" t="str">
        <f t="shared" si="1"/>
        <v/>
      </c>
      <c r="R36" s="243" t="str">
        <f t="shared" si="5"/>
        <v/>
      </c>
      <c r="S36" s="244" t="str">
        <f t="shared" si="2"/>
        <v/>
      </c>
      <c r="T36" s="245" t="str">
        <f t="shared" si="6"/>
        <v/>
      </c>
      <c r="U36" s="246" t="str">
        <f t="shared" si="3"/>
        <v/>
      </c>
      <c r="V36" s="8"/>
      <c r="W36" s="415"/>
      <c r="X36" s="272" t="s">
        <v>47</v>
      </c>
      <c r="Y36" s="16" t="s">
        <v>61</v>
      </c>
      <c r="Z36" s="16"/>
      <c r="AA36" s="16"/>
      <c r="AB36" s="16"/>
      <c r="AC36" s="16"/>
      <c r="AD36" s="21"/>
      <c r="AR36" t="str">
        <f t="shared" si="11"/>
        <v/>
      </c>
      <c r="AS36" t="str">
        <f t="shared" si="10"/>
        <v/>
      </c>
    </row>
    <row r="37" spans="1:45" ht="14.4" customHeight="1" x14ac:dyDescent="0.3">
      <c r="A37" s="231"/>
      <c r="B37" s="235"/>
      <c r="C37" s="214"/>
      <c r="D37" s="214"/>
      <c r="E37" s="214"/>
      <c r="F37" s="214"/>
      <c r="G37" s="222"/>
      <c r="H37" s="221"/>
      <c r="I37" s="213"/>
      <c r="J37" s="213"/>
      <c r="K37" s="215"/>
      <c r="L37" s="216"/>
      <c r="M37" s="217"/>
      <c r="O37" s="241" t="str">
        <f>IF(Q37 = "", "", COUNT(Q$4:$Q37))</f>
        <v/>
      </c>
      <c r="P37" s="241" t="str">
        <f t="shared" si="0"/>
        <v/>
      </c>
      <c r="Q37" s="242" t="str">
        <f t="shared" si="1"/>
        <v/>
      </c>
      <c r="R37" s="243" t="str">
        <f t="shared" si="5"/>
        <v/>
      </c>
      <c r="S37" s="244" t="str">
        <f t="shared" si="2"/>
        <v/>
      </c>
      <c r="T37" s="245" t="str">
        <f t="shared" si="6"/>
        <v/>
      </c>
      <c r="U37" s="246" t="str">
        <f t="shared" si="3"/>
        <v/>
      </c>
      <c r="V37" s="8"/>
      <c r="W37" s="415"/>
      <c r="X37" s="272" t="s">
        <v>47</v>
      </c>
      <c r="Y37" s="423" t="s">
        <v>233</v>
      </c>
      <c r="Z37" s="423"/>
      <c r="AA37" s="423"/>
      <c r="AB37" s="423"/>
      <c r="AC37" s="423"/>
      <c r="AD37" s="424"/>
      <c r="AR37" t="str">
        <f t="shared" si="11"/>
        <v/>
      </c>
      <c r="AS37" t="str">
        <f t="shared" si="10"/>
        <v/>
      </c>
    </row>
    <row r="38" spans="1:45" x14ac:dyDescent="0.3">
      <c r="A38" s="231"/>
      <c r="B38" s="235"/>
      <c r="C38" s="214"/>
      <c r="D38" s="214"/>
      <c r="E38" s="214"/>
      <c r="F38" s="214"/>
      <c r="G38" s="222"/>
      <c r="H38" s="221"/>
      <c r="I38" s="213"/>
      <c r="J38" s="213"/>
      <c r="K38" s="215"/>
      <c r="L38" s="216"/>
      <c r="M38" s="217"/>
      <c r="O38" s="241" t="str">
        <f>IF(Q38 = "", "", COUNT(Q$4:$Q38))</f>
        <v/>
      </c>
      <c r="P38" s="241" t="str">
        <f t="shared" si="0"/>
        <v/>
      </c>
      <c r="Q38" s="242" t="str">
        <f t="shared" si="1"/>
        <v/>
      </c>
      <c r="R38" s="243" t="str">
        <f t="shared" si="5"/>
        <v/>
      </c>
      <c r="S38" s="244" t="str">
        <f t="shared" si="2"/>
        <v/>
      </c>
      <c r="T38" s="245" t="str">
        <f t="shared" si="6"/>
        <v/>
      </c>
      <c r="U38" s="246" t="str">
        <f t="shared" si="3"/>
        <v/>
      </c>
      <c r="V38" s="8"/>
      <c r="W38" s="415"/>
      <c r="X38" s="273"/>
      <c r="Y38" s="423"/>
      <c r="Z38" s="423"/>
      <c r="AA38" s="423"/>
      <c r="AB38" s="423"/>
      <c r="AC38" s="423"/>
      <c r="AD38" s="424"/>
      <c r="AR38" t="str">
        <f t="shared" si="11"/>
        <v/>
      </c>
      <c r="AS38" t="str">
        <f t="shared" si="10"/>
        <v/>
      </c>
    </row>
    <row r="39" spans="1:45" x14ac:dyDescent="0.3">
      <c r="A39" s="231"/>
      <c r="B39" s="235"/>
      <c r="C39" s="214"/>
      <c r="D39" s="214"/>
      <c r="E39" s="214"/>
      <c r="F39" s="214"/>
      <c r="G39" s="222"/>
      <c r="H39" s="221"/>
      <c r="I39" s="213"/>
      <c r="J39" s="213"/>
      <c r="K39" s="215"/>
      <c r="L39" s="216"/>
      <c r="M39" s="217"/>
      <c r="O39" s="241" t="str">
        <f>IF(Q39 = "", "", COUNT(Q$4:$Q39))</f>
        <v/>
      </c>
      <c r="P39" s="241" t="str">
        <f t="shared" si="0"/>
        <v/>
      </c>
      <c r="Q39" s="242" t="str">
        <f t="shared" si="1"/>
        <v/>
      </c>
      <c r="R39" s="243" t="str">
        <f t="shared" si="5"/>
        <v/>
      </c>
      <c r="S39" s="244" t="str">
        <f t="shared" si="2"/>
        <v/>
      </c>
      <c r="T39" s="245" t="str">
        <f t="shared" si="6"/>
        <v/>
      </c>
      <c r="U39" s="246" t="str">
        <f t="shared" si="3"/>
        <v/>
      </c>
      <c r="V39" s="8"/>
      <c r="W39" s="415"/>
      <c r="X39" s="273"/>
      <c r="Y39" s="423"/>
      <c r="Z39" s="423"/>
      <c r="AA39" s="423"/>
      <c r="AB39" s="423"/>
      <c r="AC39" s="423"/>
      <c r="AD39" s="424"/>
      <c r="AR39" t="str">
        <f t="shared" si="11"/>
        <v/>
      </c>
      <c r="AS39" t="str">
        <f t="shared" si="10"/>
        <v/>
      </c>
    </row>
    <row r="40" spans="1:45" x14ac:dyDescent="0.3">
      <c r="A40" s="231"/>
      <c r="B40" s="235"/>
      <c r="C40" s="214"/>
      <c r="D40" s="214"/>
      <c r="E40" s="214"/>
      <c r="F40" s="214"/>
      <c r="G40" s="222"/>
      <c r="H40" s="221"/>
      <c r="I40" s="213"/>
      <c r="J40" s="213"/>
      <c r="K40" s="215"/>
      <c r="L40" s="216"/>
      <c r="M40" s="217"/>
      <c r="O40" s="241" t="str">
        <f>IF(Q40 = "", "", COUNT(Q$4:$Q40))</f>
        <v/>
      </c>
      <c r="P40" s="241" t="str">
        <f t="shared" si="0"/>
        <v/>
      </c>
      <c r="Q40" s="242" t="str">
        <f t="shared" si="1"/>
        <v/>
      </c>
      <c r="R40" s="243" t="str">
        <f t="shared" si="5"/>
        <v/>
      </c>
      <c r="S40" s="244" t="str">
        <f t="shared" si="2"/>
        <v/>
      </c>
      <c r="T40" s="245" t="str">
        <f t="shared" si="6"/>
        <v/>
      </c>
      <c r="U40" s="246" t="str">
        <f t="shared" si="3"/>
        <v/>
      </c>
      <c r="V40" s="8"/>
      <c r="W40" s="416"/>
      <c r="X40" s="274"/>
      <c r="Y40" s="425"/>
      <c r="Z40" s="425"/>
      <c r="AA40" s="425"/>
      <c r="AB40" s="425"/>
      <c r="AC40" s="425"/>
      <c r="AD40" s="426"/>
      <c r="AR40" t="str">
        <f t="shared" si="11"/>
        <v/>
      </c>
      <c r="AS40" t="str">
        <f t="shared" si="10"/>
        <v/>
      </c>
    </row>
    <row r="41" spans="1:45" x14ac:dyDescent="0.3">
      <c r="A41" s="231"/>
      <c r="B41" s="235"/>
      <c r="C41" s="214"/>
      <c r="D41" s="214"/>
      <c r="E41" s="214"/>
      <c r="F41" s="214"/>
      <c r="G41" s="222"/>
      <c r="H41" s="221"/>
      <c r="I41" s="213"/>
      <c r="J41" s="213"/>
      <c r="K41" s="215"/>
      <c r="L41" s="216"/>
      <c r="M41" s="217"/>
      <c r="O41" s="241" t="str">
        <f>IF(Q41 = "", "", COUNT(Q$4:$Q41))</f>
        <v/>
      </c>
      <c r="P41" s="241" t="str">
        <f t="shared" si="0"/>
        <v/>
      </c>
      <c r="Q41" s="242" t="str">
        <f t="shared" si="1"/>
        <v/>
      </c>
      <c r="R41" s="243" t="str">
        <f t="shared" si="5"/>
        <v/>
      </c>
      <c r="S41" s="244" t="str">
        <f t="shared" si="2"/>
        <v/>
      </c>
      <c r="T41" s="245" t="str">
        <f t="shared" si="6"/>
        <v/>
      </c>
      <c r="U41" s="246" t="str">
        <f t="shared" si="3"/>
        <v/>
      </c>
      <c r="V41" s="8"/>
      <c r="W41" s="407">
        <v>4</v>
      </c>
      <c r="X41" s="409" t="s">
        <v>117</v>
      </c>
      <c r="Y41" s="409"/>
      <c r="Z41" s="409"/>
      <c r="AA41" s="409"/>
      <c r="AB41" s="409"/>
      <c r="AC41" s="409"/>
      <c r="AD41" s="410"/>
      <c r="AR41" t="str">
        <f t="shared" si="11"/>
        <v/>
      </c>
      <c r="AS41" t="str">
        <f t="shared" si="10"/>
        <v/>
      </c>
    </row>
    <row r="42" spans="1:45" ht="15" thickBot="1" x14ac:dyDescent="0.35">
      <c r="A42" s="231"/>
      <c r="B42" s="235"/>
      <c r="C42" s="214"/>
      <c r="D42" s="214"/>
      <c r="E42" s="214"/>
      <c r="F42" s="214"/>
      <c r="G42" s="222"/>
      <c r="H42" s="221"/>
      <c r="I42" s="213"/>
      <c r="J42" s="213"/>
      <c r="K42" s="215"/>
      <c r="L42" s="216"/>
      <c r="M42" s="217"/>
      <c r="O42" s="241" t="str">
        <f>IF(Q42 = "", "", COUNT(Q$4:$Q42))</f>
        <v/>
      </c>
      <c r="P42" s="241" t="str">
        <f t="shared" si="0"/>
        <v/>
      </c>
      <c r="Q42" s="242" t="str">
        <f t="shared" si="1"/>
        <v/>
      </c>
      <c r="R42" s="243" t="str">
        <f t="shared" si="5"/>
        <v/>
      </c>
      <c r="S42" s="244" t="str">
        <f t="shared" si="2"/>
        <v/>
      </c>
      <c r="T42" s="245" t="str">
        <f t="shared" si="6"/>
        <v/>
      </c>
      <c r="U42" s="246" t="str">
        <f t="shared" si="3"/>
        <v/>
      </c>
      <c r="V42" s="8"/>
      <c r="W42" s="408"/>
      <c r="X42" s="411"/>
      <c r="Y42" s="411"/>
      <c r="Z42" s="411"/>
      <c r="AA42" s="411"/>
      <c r="AB42" s="411"/>
      <c r="AC42" s="411"/>
      <c r="AD42" s="412"/>
      <c r="AR42" t="str">
        <f t="shared" si="11"/>
        <v/>
      </c>
      <c r="AS42" t="str">
        <f t="shared" si="10"/>
        <v/>
      </c>
    </row>
    <row r="43" spans="1:45" x14ac:dyDescent="0.3">
      <c r="A43" s="231"/>
      <c r="B43" s="235"/>
      <c r="C43" s="214"/>
      <c r="D43" s="214"/>
      <c r="E43" s="214"/>
      <c r="F43" s="214"/>
      <c r="G43" s="222"/>
      <c r="H43" s="221"/>
      <c r="I43" s="213"/>
      <c r="J43" s="213"/>
      <c r="K43" s="215"/>
      <c r="L43" s="216"/>
      <c r="M43" s="217"/>
      <c r="O43" s="241" t="str">
        <f>IF(Q43 = "", "", COUNT(Q$4:$Q43))</f>
        <v/>
      </c>
      <c r="P43" s="241" t="str">
        <f t="shared" si="0"/>
        <v/>
      </c>
      <c r="Q43" s="242" t="str">
        <f t="shared" si="1"/>
        <v/>
      </c>
      <c r="R43" s="243" t="str">
        <f t="shared" si="5"/>
        <v/>
      </c>
      <c r="S43" s="244" t="str">
        <f t="shared" si="2"/>
        <v/>
      </c>
      <c r="T43" s="245" t="str">
        <f t="shared" si="6"/>
        <v/>
      </c>
      <c r="U43" s="246" t="str">
        <f t="shared" si="3"/>
        <v/>
      </c>
      <c r="V43" s="8"/>
      <c r="AR43" t="str">
        <f t="shared" si="11"/>
        <v/>
      </c>
      <c r="AS43" t="str">
        <f t="shared" si="10"/>
        <v/>
      </c>
    </row>
    <row r="44" spans="1:45" x14ac:dyDescent="0.3">
      <c r="A44" s="231"/>
      <c r="B44" s="235"/>
      <c r="C44" s="214"/>
      <c r="D44" s="214"/>
      <c r="E44" s="214"/>
      <c r="F44" s="214"/>
      <c r="G44" s="222"/>
      <c r="H44" s="221"/>
      <c r="I44" s="213"/>
      <c r="J44" s="213"/>
      <c r="K44" s="215"/>
      <c r="L44" s="216"/>
      <c r="M44" s="217"/>
      <c r="O44" s="241" t="str">
        <f>IF(Q44 = "", "", COUNT(Q$4:$Q44))</f>
        <v/>
      </c>
      <c r="P44" s="241" t="str">
        <f t="shared" si="0"/>
        <v/>
      </c>
      <c r="Q44" s="242" t="str">
        <f t="shared" si="1"/>
        <v/>
      </c>
      <c r="R44" s="243" t="str">
        <f t="shared" si="5"/>
        <v/>
      </c>
      <c r="S44" s="244" t="str">
        <f t="shared" si="2"/>
        <v/>
      </c>
      <c r="T44" s="245" t="str">
        <f t="shared" si="6"/>
        <v/>
      </c>
      <c r="U44" s="246" t="str">
        <f t="shared" si="3"/>
        <v/>
      </c>
      <c r="V44" s="8"/>
      <c r="AR44" t="str">
        <f t="shared" si="11"/>
        <v/>
      </c>
      <c r="AS44" t="str">
        <f t="shared" si="10"/>
        <v/>
      </c>
    </row>
    <row r="45" spans="1:45" x14ac:dyDescent="0.3">
      <c r="A45" s="231"/>
      <c r="B45" s="235"/>
      <c r="C45" s="214"/>
      <c r="D45" s="214"/>
      <c r="E45" s="214"/>
      <c r="F45" s="214"/>
      <c r="G45" s="222"/>
      <c r="H45" s="221"/>
      <c r="I45" s="213"/>
      <c r="J45" s="213"/>
      <c r="K45" s="215"/>
      <c r="L45" s="216"/>
      <c r="M45" s="217"/>
      <c r="O45" s="241" t="str">
        <f>IF(Q45 = "", "", COUNT(Q$4:$Q45))</f>
        <v/>
      </c>
      <c r="P45" s="241" t="str">
        <f t="shared" si="0"/>
        <v/>
      </c>
      <c r="Q45" s="242" t="str">
        <f t="shared" si="1"/>
        <v/>
      </c>
      <c r="R45" s="243" t="str">
        <f t="shared" si="5"/>
        <v/>
      </c>
      <c r="S45" s="244" t="str">
        <f t="shared" si="2"/>
        <v/>
      </c>
      <c r="T45" s="245" t="str">
        <f t="shared" si="6"/>
        <v/>
      </c>
      <c r="U45" s="246" t="str">
        <f t="shared" si="3"/>
        <v/>
      </c>
      <c r="V45" s="8"/>
      <c r="AR45" t="str">
        <f t="shared" si="11"/>
        <v/>
      </c>
      <c r="AS45" t="str">
        <f t="shared" si="10"/>
        <v/>
      </c>
    </row>
    <row r="46" spans="1:45" x14ac:dyDescent="0.3">
      <c r="A46" s="231"/>
      <c r="B46" s="235"/>
      <c r="C46" s="214"/>
      <c r="D46" s="214"/>
      <c r="E46" s="214"/>
      <c r="F46" s="214"/>
      <c r="G46" s="222"/>
      <c r="H46" s="221"/>
      <c r="I46" s="213"/>
      <c r="J46" s="213"/>
      <c r="K46" s="215"/>
      <c r="L46" s="216"/>
      <c r="M46" s="217"/>
      <c r="O46" s="241" t="str">
        <f>IF(Q46 = "", "", COUNT(Q$4:$Q46))</f>
        <v/>
      </c>
      <c r="P46" s="241" t="str">
        <f t="shared" si="0"/>
        <v/>
      </c>
      <c r="Q46" s="242" t="str">
        <f t="shared" si="1"/>
        <v/>
      </c>
      <c r="R46" s="243" t="str">
        <f t="shared" si="5"/>
        <v/>
      </c>
      <c r="S46" s="244" t="str">
        <f t="shared" si="2"/>
        <v/>
      </c>
      <c r="T46" s="245" t="str">
        <f t="shared" si="6"/>
        <v/>
      </c>
      <c r="U46" s="246" t="str">
        <f t="shared" si="3"/>
        <v/>
      </c>
      <c r="V46" s="8"/>
      <c r="AR46" t="str">
        <f t="shared" si="11"/>
        <v/>
      </c>
      <c r="AS46" t="str">
        <f t="shared" si="10"/>
        <v/>
      </c>
    </row>
    <row r="47" spans="1:45" x14ac:dyDescent="0.3">
      <c r="A47" s="231"/>
      <c r="B47" s="235"/>
      <c r="C47" s="214"/>
      <c r="D47" s="214"/>
      <c r="E47" s="214"/>
      <c r="F47" s="214"/>
      <c r="G47" s="222"/>
      <c r="H47" s="221"/>
      <c r="I47" s="213"/>
      <c r="J47" s="213"/>
      <c r="K47" s="215"/>
      <c r="L47" s="216"/>
      <c r="M47" s="217"/>
      <c r="O47" s="241" t="str">
        <f>IF(Q47 = "", "", COUNT(Q$4:$Q47))</f>
        <v/>
      </c>
      <c r="P47" s="241" t="str">
        <f t="shared" si="0"/>
        <v/>
      </c>
      <c r="Q47" s="242" t="str">
        <f t="shared" si="1"/>
        <v/>
      </c>
      <c r="R47" s="243" t="str">
        <f t="shared" si="5"/>
        <v/>
      </c>
      <c r="S47" s="244" t="str">
        <f t="shared" si="2"/>
        <v/>
      </c>
      <c r="T47" s="245" t="str">
        <f t="shared" si="6"/>
        <v/>
      </c>
      <c r="U47" s="246" t="str">
        <f t="shared" si="3"/>
        <v/>
      </c>
      <c r="V47" s="8"/>
      <c r="AR47" t="str">
        <f t="shared" si="11"/>
        <v/>
      </c>
      <c r="AS47" t="str">
        <f t="shared" si="10"/>
        <v/>
      </c>
    </row>
    <row r="48" spans="1:45" x14ac:dyDescent="0.3">
      <c r="A48" s="231"/>
      <c r="B48" s="235"/>
      <c r="C48" s="214"/>
      <c r="D48" s="214"/>
      <c r="E48" s="214"/>
      <c r="F48" s="214"/>
      <c r="G48" s="222"/>
      <c r="H48" s="221"/>
      <c r="I48" s="213"/>
      <c r="J48" s="213"/>
      <c r="K48" s="215"/>
      <c r="L48" s="216"/>
      <c r="M48" s="217"/>
      <c r="O48" s="241" t="str">
        <f>IF(Q48 = "", "", COUNT(Q$4:$Q48))</f>
        <v/>
      </c>
      <c r="P48" s="241" t="str">
        <f t="shared" si="0"/>
        <v/>
      </c>
      <c r="Q48" s="242" t="str">
        <f t="shared" si="1"/>
        <v/>
      </c>
      <c r="R48" s="243" t="str">
        <f t="shared" si="5"/>
        <v/>
      </c>
      <c r="S48" s="244" t="str">
        <f t="shared" si="2"/>
        <v/>
      </c>
      <c r="T48" s="245" t="str">
        <f t="shared" si="6"/>
        <v/>
      </c>
      <c r="U48" s="246" t="str">
        <f t="shared" si="3"/>
        <v/>
      </c>
      <c r="V48" s="8"/>
      <c r="AR48" t="str">
        <f t="shared" si="11"/>
        <v/>
      </c>
      <c r="AS48" t="str">
        <f t="shared" si="10"/>
        <v/>
      </c>
    </row>
    <row r="49" spans="1:45" x14ac:dyDescent="0.3">
      <c r="A49" s="231"/>
      <c r="B49" s="235"/>
      <c r="C49" s="214"/>
      <c r="D49" s="214"/>
      <c r="E49" s="214"/>
      <c r="F49" s="214"/>
      <c r="G49" s="222"/>
      <c r="H49" s="221"/>
      <c r="I49" s="213"/>
      <c r="J49" s="213"/>
      <c r="K49" s="215"/>
      <c r="L49" s="216"/>
      <c r="M49" s="217"/>
      <c r="O49" s="241" t="str">
        <f>IF(Q49 = "", "", COUNT(Q$4:$Q49))</f>
        <v/>
      </c>
      <c r="P49" s="241" t="str">
        <f t="shared" si="0"/>
        <v/>
      </c>
      <c r="Q49" s="242" t="str">
        <f t="shared" si="1"/>
        <v/>
      </c>
      <c r="R49" s="243" t="str">
        <f t="shared" si="5"/>
        <v/>
      </c>
      <c r="S49" s="244" t="str">
        <f t="shared" si="2"/>
        <v/>
      </c>
      <c r="T49" s="245" t="str">
        <f t="shared" si="6"/>
        <v/>
      </c>
      <c r="U49" s="246" t="str">
        <f t="shared" si="3"/>
        <v/>
      </c>
      <c r="V49" s="8"/>
      <c r="AR49" t="str">
        <f t="shared" si="11"/>
        <v/>
      </c>
      <c r="AS49" t="str">
        <f t="shared" si="10"/>
        <v/>
      </c>
    </row>
    <row r="50" spans="1:45" x14ac:dyDescent="0.3">
      <c r="A50" s="231"/>
      <c r="B50" s="235"/>
      <c r="C50" s="214"/>
      <c r="D50" s="214"/>
      <c r="E50" s="214"/>
      <c r="F50" s="214"/>
      <c r="G50" s="222"/>
      <c r="H50" s="221"/>
      <c r="I50" s="213"/>
      <c r="J50" s="213"/>
      <c r="K50" s="215"/>
      <c r="L50" s="216"/>
      <c r="M50" s="217"/>
      <c r="O50" s="241" t="str">
        <f>IF(Q50 = "", "", COUNT(Q$4:$Q50))</f>
        <v/>
      </c>
      <c r="P50" s="241" t="str">
        <f t="shared" si="0"/>
        <v/>
      </c>
      <c r="Q50" s="242" t="str">
        <f t="shared" si="1"/>
        <v/>
      </c>
      <c r="R50" s="243" t="str">
        <f t="shared" si="5"/>
        <v/>
      </c>
      <c r="S50" s="244" t="str">
        <f t="shared" si="2"/>
        <v/>
      </c>
      <c r="T50" s="245" t="str">
        <f t="shared" si="6"/>
        <v/>
      </c>
      <c r="U50" s="246" t="str">
        <f t="shared" si="3"/>
        <v/>
      </c>
      <c r="V50" s="8"/>
      <c r="AR50" t="str">
        <f t="shared" si="11"/>
        <v/>
      </c>
      <c r="AS50" t="str">
        <f t="shared" si="10"/>
        <v/>
      </c>
    </row>
    <row r="51" spans="1:45" x14ac:dyDescent="0.3">
      <c r="A51" s="231"/>
      <c r="B51" s="235"/>
      <c r="C51" s="214"/>
      <c r="D51" s="214"/>
      <c r="E51" s="214"/>
      <c r="F51" s="214"/>
      <c r="G51" s="222"/>
      <c r="H51" s="221"/>
      <c r="I51" s="213"/>
      <c r="J51" s="213"/>
      <c r="K51" s="215"/>
      <c r="L51" s="216"/>
      <c r="M51" s="217"/>
      <c r="O51" s="241" t="str">
        <f>IF(Q51 = "", "", COUNT(Q$4:$Q51))</f>
        <v/>
      </c>
      <c r="P51" s="241" t="str">
        <f t="shared" si="0"/>
        <v/>
      </c>
      <c r="Q51" s="242" t="str">
        <f t="shared" si="1"/>
        <v/>
      </c>
      <c r="R51" s="243" t="str">
        <f t="shared" si="5"/>
        <v/>
      </c>
      <c r="S51" s="244" t="str">
        <f t="shared" si="2"/>
        <v/>
      </c>
      <c r="T51" s="245" t="str">
        <f t="shared" si="6"/>
        <v/>
      </c>
      <c r="U51" s="246" t="str">
        <f t="shared" si="3"/>
        <v/>
      </c>
      <c r="V51" s="8"/>
      <c r="AR51" t="str">
        <f t="shared" si="11"/>
        <v/>
      </c>
      <c r="AS51" t="str">
        <f t="shared" si="10"/>
        <v/>
      </c>
    </row>
    <row r="52" spans="1:45" x14ac:dyDescent="0.3">
      <c r="A52" s="231"/>
      <c r="B52" s="235"/>
      <c r="C52" s="214"/>
      <c r="D52" s="214"/>
      <c r="E52" s="214"/>
      <c r="F52" s="214"/>
      <c r="G52" s="222"/>
      <c r="H52" s="221"/>
      <c r="I52" s="213"/>
      <c r="J52" s="213"/>
      <c r="K52" s="215"/>
      <c r="L52" s="216"/>
      <c r="M52" s="217"/>
      <c r="O52" s="241" t="str">
        <f>IF(Q52 = "", "", COUNT(Q$4:$Q52))</f>
        <v/>
      </c>
      <c r="P52" s="241" t="str">
        <f t="shared" si="0"/>
        <v/>
      </c>
      <c r="Q52" s="242" t="str">
        <f t="shared" si="1"/>
        <v/>
      </c>
      <c r="R52" s="243" t="str">
        <f t="shared" si="5"/>
        <v/>
      </c>
      <c r="S52" s="244" t="str">
        <f t="shared" si="2"/>
        <v/>
      </c>
      <c r="T52" s="245" t="str">
        <f t="shared" si="6"/>
        <v/>
      </c>
      <c r="U52" s="246" t="str">
        <f t="shared" si="3"/>
        <v/>
      </c>
      <c r="V52" s="8"/>
      <c r="AR52" t="str">
        <f t="shared" si="11"/>
        <v/>
      </c>
      <c r="AS52" t="str">
        <f t="shared" si="10"/>
        <v/>
      </c>
    </row>
    <row r="53" spans="1:45" x14ac:dyDescent="0.3">
      <c r="A53" s="231"/>
      <c r="B53" s="235"/>
      <c r="C53" s="214"/>
      <c r="D53" s="214"/>
      <c r="E53" s="214"/>
      <c r="F53" s="214"/>
      <c r="G53" s="222"/>
      <c r="H53" s="221"/>
      <c r="I53" s="213"/>
      <c r="J53" s="213"/>
      <c r="K53" s="215"/>
      <c r="L53" s="216"/>
      <c r="M53" s="217"/>
      <c r="O53" s="241" t="str">
        <f>IF(Q53 = "", "", COUNT(Q$4:$Q53))</f>
        <v/>
      </c>
      <c r="P53" s="241" t="str">
        <f t="shared" si="0"/>
        <v/>
      </c>
      <c r="Q53" s="242" t="str">
        <f t="shared" si="1"/>
        <v/>
      </c>
      <c r="R53" s="243" t="str">
        <f t="shared" si="5"/>
        <v/>
      </c>
      <c r="S53" s="244" t="str">
        <f t="shared" si="2"/>
        <v/>
      </c>
      <c r="T53" s="245" t="str">
        <f t="shared" si="6"/>
        <v/>
      </c>
      <c r="U53" s="246" t="str">
        <f t="shared" si="3"/>
        <v/>
      </c>
      <c r="V53" s="8"/>
      <c r="AR53" t="str">
        <f t="shared" si="11"/>
        <v/>
      </c>
      <c r="AS53" t="str">
        <f t="shared" si="10"/>
        <v/>
      </c>
    </row>
    <row r="54" spans="1:45" x14ac:dyDescent="0.3">
      <c r="A54" s="231"/>
      <c r="B54" s="235"/>
      <c r="C54" s="214"/>
      <c r="D54" s="214"/>
      <c r="E54" s="214"/>
      <c r="F54" s="214"/>
      <c r="G54" s="222"/>
      <c r="H54" s="221"/>
      <c r="I54" s="213"/>
      <c r="J54" s="213"/>
      <c r="K54" s="215"/>
      <c r="L54" s="216"/>
      <c r="M54" s="217"/>
      <c r="O54" s="241" t="str">
        <f>IF(Q54 = "", "", COUNT(Q$4:$Q54))</f>
        <v/>
      </c>
      <c r="P54" s="241" t="str">
        <f t="shared" si="0"/>
        <v/>
      </c>
      <c r="Q54" s="242" t="str">
        <f t="shared" si="1"/>
        <v/>
      </c>
      <c r="R54" s="243" t="str">
        <f t="shared" si="5"/>
        <v/>
      </c>
      <c r="S54" s="244" t="str">
        <f t="shared" si="2"/>
        <v/>
      </c>
      <c r="T54" s="245" t="str">
        <f t="shared" si="6"/>
        <v/>
      </c>
      <c r="U54" s="246" t="str">
        <f t="shared" si="3"/>
        <v/>
      </c>
      <c r="V54" s="8"/>
      <c r="AR54" t="str">
        <f t="shared" si="11"/>
        <v/>
      </c>
      <c r="AS54" t="str">
        <f t="shared" si="10"/>
        <v/>
      </c>
    </row>
    <row r="55" spans="1:45" x14ac:dyDescent="0.3">
      <c r="A55" s="231"/>
      <c r="B55" s="235"/>
      <c r="C55" s="214"/>
      <c r="D55" s="214"/>
      <c r="E55" s="214"/>
      <c r="F55" s="214"/>
      <c r="G55" s="222"/>
      <c r="H55" s="221"/>
      <c r="I55" s="213"/>
      <c r="J55" s="213"/>
      <c r="K55" s="215"/>
      <c r="L55" s="216"/>
      <c r="M55" s="217"/>
      <c r="O55" s="241" t="str">
        <f>IF(Q55 = "", "", COUNT(Q$4:$Q55))</f>
        <v/>
      </c>
      <c r="P55" s="241" t="str">
        <f t="shared" si="0"/>
        <v/>
      </c>
      <c r="Q55" s="242" t="str">
        <f t="shared" si="1"/>
        <v/>
      </c>
      <c r="R55" s="243" t="str">
        <f t="shared" si="5"/>
        <v/>
      </c>
      <c r="S55" s="244" t="str">
        <f t="shared" si="2"/>
        <v/>
      </c>
      <c r="T55" s="245" t="str">
        <f t="shared" si="6"/>
        <v/>
      </c>
      <c r="U55" s="246" t="str">
        <f t="shared" si="3"/>
        <v/>
      </c>
      <c r="V55" s="8"/>
      <c r="AR55" t="str">
        <f t="shared" si="11"/>
        <v/>
      </c>
      <c r="AS55" t="str">
        <f t="shared" si="10"/>
        <v/>
      </c>
    </row>
    <row r="56" spans="1:45" x14ac:dyDescent="0.3">
      <c r="A56" s="231"/>
      <c r="B56" s="235"/>
      <c r="C56" s="214"/>
      <c r="D56" s="214"/>
      <c r="E56" s="214"/>
      <c r="F56" s="214"/>
      <c r="G56" s="222"/>
      <c r="H56" s="221"/>
      <c r="I56" s="213"/>
      <c r="J56" s="213"/>
      <c r="K56" s="215"/>
      <c r="L56" s="216"/>
      <c r="M56" s="217"/>
      <c r="O56" s="241" t="str">
        <f>IF(Q56 = "", "", COUNT(Q$4:$Q56))</f>
        <v/>
      </c>
      <c r="P56" s="241" t="str">
        <f t="shared" si="0"/>
        <v/>
      </c>
      <c r="Q56" s="242" t="str">
        <f t="shared" si="1"/>
        <v/>
      </c>
      <c r="R56" s="243" t="str">
        <f t="shared" si="5"/>
        <v/>
      </c>
      <c r="S56" s="244" t="str">
        <f t="shared" si="2"/>
        <v/>
      </c>
      <c r="T56" s="245" t="str">
        <f t="shared" si="6"/>
        <v/>
      </c>
      <c r="U56" s="246" t="str">
        <f t="shared" si="3"/>
        <v/>
      </c>
      <c r="V56" s="8"/>
      <c r="AR56" t="str">
        <f t="shared" si="11"/>
        <v/>
      </c>
      <c r="AS56" t="str">
        <f t="shared" si="10"/>
        <v/>
      </c>
    </row>
    <row r="57" spans="1:45" x14ac:dyDescent="0.3">
      <c r="A57" s="231"/>
      <c r="B57" s="235"/>
      <c r="C57" s="214"/>
      <c r="D57" s="214"/>
      <c r="E57" s="214"/>
      <c r="F57" s="214"/>
      <c r="G57" s="222"/>
      <c r="H57" s="221"/>
      <c r="I57" s="213"/>
      <c r="J57" s="213"/>
      <c r="K57" s="215"/>
      <c r="L57" s="216"/>
      <c r="M57" s="217"/>
      <c r="O57" s="241" t="str">
        <f>IF(Q57 = "", "", COUNT(Q$4:$Q57))</f>
        <v/>
      </c>
      <c r="P57" s="241" t="str">
        <f t="shared" si="0"/>
        <v/>
      </c>
      <c r="Q57" s="242" t="str">
        <f t="shared" si="1"/>
        <v/>
      </c>
      <c r="R57" s="243" t="str">
        <f t="shared" si="5"/>
        <v/>
      </c>
      <c r="S57" s="244" t="str">
        <f t="shared" si="2"/>
        <v/>
      </c>
      <c r="T57" s="245" t="str">
        <f t="shared" si="6"/>
        <v/>
      </c>
      <c r="U57" s="246" t="str">
        <f t="shared" si="3"/>
        <v/>
      </c>
      <c r="V57" s="8"/>
      <c r="AR57" t="str">
        <f t="shared" si="11"/>
        <v/>
      </c>
      <c r="AS57" t="str">
        <f t="shared" si="10"/>
        <v/>
      </c>
    </row>
    <row r="58" spans="1:45" x14ac:dyDescent="0.3">
      <c r="A58" s="231"/>
      <c r="B58" s="235"/>
      <c r="C58" s="214"/>
      <c r="D58" s="214"/>
      <c r="E58" s="214"/>
      <c r="F58" s="214"/>
      <c r="G58" s="222"/>
      <c r="H58" s="221"/>
      <c r="I58" s="213"/>
      <c r="J58" s="213"/>
      <c r="K58" s="215"/>
      <c r="L58" s="216"/>
      <c r="M58" s="217"/>
      <c r="O58" s="241" t="str">
        <f>IF(Q58 = "", "", COUNT(Q$4:$Q58))</f>
        <v/>
      </c>
      <c r="P58" s="241" t="str">
        <f t="shared" si="0"/>
        <v/>
      </c>
      <c r="Q58" s="242" t="str">
        <f t="shared" si="1"/>
        <v/>
      </c>
      <c r="R58" s="243" t="str">
        <f t="shared" si="5"/>
        <v/>
      </c>
      <c r="S58" s="244" t="str">
        <f t="shared" si="2"/>
        <v/>
      </c>
      <c r="T58" s="245" t="str">
        <f t="shared" si="6"/>
        <v/>
      </c>
      <c r="U58" s="246" t="str">
        <f t="shared" si="3"/>
        <v/>
      </c>
      <c r="V58" s="8"/>
      <c r="AR58" t="str">
        <f t="shared" si="11"/>
        <v/>
      </c>
      <c r="AS58" t="str">
        <f t="shared" si="10"/>
        <v/>
      </c>
    </row>
    <row r="59" spans="1:45" x14ac:dyDescent="0.3">
      <c r="A59" s="231"/>
      <c r="B59" s="235"/>
      <c r="C59" s="214"/>
      <c r="D59" s="214"/>
      <c r="E59" s="214"/>
      <c r="F59" s="214"/>
      <c r="G59" s="222"/>
      <c r="H59" s="221"/>
      <c r="I59" s="213"/>
      <c r="J59" s="213"/>
      <c r="K59" s="215"/>
      <c r="L59" s="216"/>
      <c r="M59" s="217"/>
      <c r="O59" s="241" t="str">
        <f>IF(Q59 = "", "", COUNT(Q$4:$Q59))</f>
        <v/>
      </c>
      <c r="P59" s="241" t="str">
        <f t="shared" si="0"/>
        <v/>
      </c>
      <c r="Q59" s="242" t="str">
        <f t="shared" si="1"/>
        <v/>
      </c>
      <c r="R59" s="243" t="str">
        <f t="shared" si="5"/>
        <v/>
      </c>
      <c r="S59" s="244" t="str">
        <f t="shared" si="2"/>
        <v/>
      </c>
      <c r="T59" s="245" t="str">
        <f t="shared" si="6"/>
        <v/>
      </c>
      <c r="U59" s="246" t="str">
        <f t="shared" si="3"/>
        <v/>
      </c>
      <c r="V59" s="8"/>
      <c r="AR59" t="str">
        <f t="shared" si="11"/>
        <v/>
      </c>
      <c r="AS59" t="str">
        <f t="shared" si="10"/>
        <v/>
      </c>
    </row>
    <row r="60" spans="1:45" x14ac:dyDescent="0.3">
      <c r="A60" s="231"/>
      <c r="B60" s="235"/>
      <c r="C60" s="214"/>
      <c r="D60" s="214"/>
      <c r="E60" s="214"/>
      <c r="F60" s="214"/>
      <c r="G60" s="222"/>
      <c r="H60" s="221"/>
      <c r="I60" s="213"/>
      <c r="J60" s="213"/>
      <c r="K60" s="215"/>
      <c r="L60" s="216"/>
      <c r="M60" s="217"/>
      <c r="O60" s="241" t="str">
        <f>IF(Q60 = "", "", COUNT(Q$4:$Q60))</f>
        <v/>
      </c>
      <c r="P60" s="241" t="str">
        <f t="shared" si="0"/>
        <v/>
      </c>
      <c r="Q60" s="242" t="str">
        <f t="shared" si="1"/>
        <v/>
      </c>
      <c r="R60" s="243" t="str">
        <f t="shared" si="5"/>
        <v/>
      </c>
      <c r="S60" s="244" t="str">
        <f t="shared" si="2"/>
        <v/>
      </c>
      <c r="T60" s="245" t="str">
        <f t="shared" si="6"/>
        <v/>
      </c>
      <c r="U60" s="246" t="str">
        <f t="shared" si="3"/>
        <v/>
      </c>
      <c r="V60" s="8"/>
      <c r="AR60" t="str">
        <f t="shared" si="11"/>
        <v/>
      </c>
      <c r="AS60" t="str">
        <f t="shared" si="10"/>
        <v/>
      </c>
    </row>
    <row r="61" spans="1:45" x14ac:dyDescent="0.3">
      <c r="A61" s="231"/>
      <c r="B61" s="235"/>
      <c r="C61" s="214"/>
      <c r="D61" s="214"/>
      <c r="E61" s="214"/>
      <c r="F61" s="214"/>
      <c r="G61" s="222"/>
      <c r="H61" s="221"/>
      <c r="I61" s="213"/>
      <c r="J61" s="213"/>
      <c r="K61" s="215"/>
      <c r="L61" s="216"/>
      <c r="M61" s="217"/>
      <c r="O61" s="241" t="str">
        <f>IF(Q61 = "", "", COUNT(Q$4:$Q61))</f>
        <v/>
      </c>
      <c r="P61" s="241" t="str">
        <f t="shared" si="0"/>
        <v/>
      </c>
      <c r="Q61" s="242" t="str">
        <f t="shared" si="1"/>
        <v/>
      </c>
      <c r="R61" s="243" t="str">
        <f t="shared" si="5"/>
        <v/>
      </c>
      <c r="S61" s="244" t="str">
        <f t="shared" si="2"/>
        <v/>
      </c>
      <c r="T61" s="245" t="str">
        <f t="shared" si="6"/>
        <v/>
      </c>
      <c r="U61" s="246" t="str">
        <f t="shared" si="3"/>
        <v/>
      </c>
      <c r="V61" s="8"/>
      <c r="AR61" t="str">
        <f t="shared" si="11"/>
        <v/>
      </c>
      <c r="AS61" t="str">
        <f t="shared" si="10"/>
        <v/>
      </c>
    </row>
    <row r="62" spans="1:45" x14ac:dyDescent="0.3">
      <c r="A62" s="231"/>
      <c r="B62" s="235"/>
      <c r="C62" s="214"/>
      <c r="D62" s="214"/>
      <c r="E62" s="214"/>
      <c r="F62" s="214"/>
      <c r="G62" s="222"/>
      <c r="H62" s="221"/>
      <c r="I62" s="213"/>
      <c r="J62" s="213"/>
      <c r="K62" s="215"/>
      <c r="L62" s="216"/>
      <c r="M62" s="217"/>
      <c r="O62" s="241" t="str">
        <f>IF(Q62 = "", "", COUNT(Q$4:$Q62))</f>
        <v/>
      </c>
      <c r="P62" s="241" t="str">
        <f t="shared" si="0"/>
        <v/>
      </c>
      <c r="Q62" s="242" t="str">
        <f t="shared" si="1"/>
        <v/>
      </c>
      <c r="R62" s="243" t="str">
        <f t="shared" si="5"/>
        <v/>
      </c>
      <c r="S62" s="244" t="str">
        <f t="shared" si="2"/>
        <v/>
      </c>
      <c r="T62" s="245" t="str">
        <f t="shared" si="6"/>
        <v/>
      </c>
      <c r="U62" s="246" t="str">
        <f t="shared" si="3"/>
        <v/>
      </c>
      <c r="V62" s="8"/>
      <c r="AR62" t="str">
        <f t="shared" si="11"/>
        <v/>
      </c>
      <c r="AS62" t="str">
        <f t="shared" si="10"/>
        <v/>
      </c>
    </row>
    <row r="63" spans="1:45" x14ac:dyDescent="0.3">
      <c r="A63" s="231"/>
      <c r="B63" s="235"/>
      <c r="C63" s="214"/>
      <c r="D63" s="214"/>
      <c r="E63" s="214"/>
      <c r="F63" s="214"/>
      <c r="G63" s="222"/>
      <c r="H63" s="221"/>
      <c r="I63" s="213"/>
      <c r="J63" s="213"/>
      <c r="K63" s="215"/>
      <c r="L63" s="216"/>
      <c r="M63" s="217"/>
      <c r="O63" s="241" t="str">
        <f>IF(Q63 = "", "", COUNT(Q$4:$Q63))</f>
        <v/>
      </c>
      <c r="P63" s="241" t="str">
        <f t="shared" si="0"/>
        <v/>
      </c>
      <c r="Q63" s="242" t="str">
        <f t="shared" si="1"/>
        <v/>
      </c>
      <c r="R63" s="243" t="str">
        <f t="shared" si="5"/>
        <v/>
      </c>
      <c r="S63" s="244" t="str">
        <f t="shared" si="2"/>
        <v/>
      </c>
      <c r="T63" s="245" t="str">
        <f t="shared" si="6"/>
        <v/>
      </c>
      <c r="U63" s="246" t="str">
        <f t="shared" si="3"/>
        <v/>
      </c>
      <c r="V63" s="8"/>
      <c r="AR63" t="str">
        <f t="shared" si="11"/>
        <v/>
      </c>
      <c r="AS63" t="str">
        <f t="shared" si="10"/>
        <v/>
      </c>
    </row>
    <row r="64" spans="1:45" x14ac:dyDescent="0.3">
      <c r="A64" s="231"/>
      <c r="B64" s="235"/>
      <c r="C64" s="214"/>
      <c r="D64" s="214"/>
      <c r="E64" s="214"/>
      <c r="F64" s="214"/>
      <c r="G64" s="222"/>
      <c r="H64" s="221"/>
      <c r="I64" s="213"/>
      <c r="J64" s="213"/>
      <c r="K64" s="215"/>
      <c r="L64" s="216"/>
      <c r="M64" s="217"/>
      <c r="O64" s="241" t="str">
        <f>IF(Q64 = "", "", COUNT(Q$4:$Q64))</f>
        <v/>
      </c>
      <c r="P64" s="241" t="str">
        <f t="shared" si="0"/>
        <v/>
      </c>
      <c r="Q64" s="242" t="str">
        <f t="shared" si="1"/>
        <v/>
      </c>
      <c r="R64" s="243" t="str">
        <f t="shared" si="5"/>
        <v/>
      </c>
      <c r="S64" s="244" t="str">
        <f t="shared" si="2"/>
        <v/>
      </c>
      <c r="T64" s="245" t="str">
        <f t="shared" si="6"/>
        <v/>
      </c>
      <c r="U64" s="246" t="str">
        <f t="shared" si="3"/>
        <v/>
      </c>
      <c r="V64" s="8"/>
      <c r="AR64" t="str">
        <f t="shared" si="11"/>
        <v/>
      </c>
      <c r="AS64" t="str">
        <f t="shared" si="10"/>
        <v/>
      </c>
    </row>
    <row r="65" spans="1:45" x14ac:dyDescent="0.3">
      <c r="A65" s="231"/>
      <c r="B65" s="235"/>
      <c r="C65" s="214"/>
      <c r="D65" s="214"/>
      <c r="E65" s="214"/>
      <c r="F65" s="214"/>
      <c r="G65" s="222"/>
      <c r="H65" s="221"/>
      <c r="I65" s="213"/>
      <c r="J65" s="213"/>
      <c r="K65" s="215"/>
      <c r="L65" s="216"/>
      <c r="M65" s="217"/>
      <c r="O65" s="241" t="str">
        <f>IF(Q65 = "", "", COUNT(Q$4:$Q65))</f>
        <v/>
      </c>
      <c r="P65" s="241" t="str">
        <f t="shared" si="0"/>
        <v/>
      </c>
      <c r="Q65" s="242" t="str">
        <f t="shared" si="1"/>
        <v/>
      </c>
      <c r="R65" s="243" t="str">
        <f t="shared" si="5"/>
        <v/>
      </c>
      <c r="S65" s="244" t="str">
        <f t="shared" si="2"/>
        <v/>
      </c>
      <c r="T65" s="245" t="str">
        <f t="shared" si="6"/>
        <v/>
      </c>
      <c r="U65" s="246" t="str">
        <f t="shared" si="3"/>
        <v/>
      </c>
      <c r="V65" s="8"/>
      <c r="AR65" t="str">
        <f t="shared" si="11"/>
        <v/>
      </c>
      <c r="AS65" t="str">
        <f t="shared" si="10"/>
        <v/>
      </c>
    </row>
    <row r="66" spans="1:45" x14ac:dyDescent="0.3">
      <c r="A66" s="231"/>
      <c r="B66" s="235"/>
      <c r="C66" s="214"/>
      <c r="D66" s="214"/>
      <c r="E66" s="214"/>
      <c r="F66" s="214"/>
      <c r="G66" s="222"/>
      <c r="H66" s="221"/>
      <c r="I66" s="213"/>
      <c r="J66" s="213"/>
      <c r="K66" s="215"/>
      <c r="L66" s="216"/>
      <c r="M66" s="217"/>
      <c r="O66" s="241" t="str">
        <f>IF(Q66 = "", "", COUNT(Q$4:$Q66))</f>
        <v/>
      </c>
      <c r="P66" s="241" t="str">
        <f t="shared" si="0"/>
        <v/>
      </c>
      <c r="Q66" s="242" t="str">
        <f t="shared" si="1"/>
        <v/>
      </c>
      <c r="R66" s="243" t="str">
        <f t="shared" si="5"/>
        <v/>
      </c>
      <c r="S66" s="244" t="str">
        <f t="shared" si="2"/>
        <v/>
      </c>
      <c r="T66" s="245" t="str">
        <f t="shared" si="6"/>
        <v/>
      </c>
      <c r="U66" s="246" t="str">
        <f t="shared" si="3"/>
        <v/>
      </c>
      <c r="V66" s="8"/>
      <c r="AR66" t="str">
        <f t="shared" si="11"/>
        <v/>
      </c>
      <c r="AS66" t="str">
        <f t="shared" si="10"/>
        <v/>
      </c>
    </row>
    <row r="67" spans="1:45" x14ac:dyDescent="0.3">
      <c r="A67" s="231"/>
      <c r="B67" s="235"/>
      <c r="C67" s="214"/>
      <c r="D67" s="214"/>
      <c r="E67" s="214"/>
      <c r="F67" s="214"/>
      <c r="G67" s="222"/>
      <c r="H67" s="221"/>
      <c r="I67" s="213"/>
      <c r="J67" s="213"/>
      <c r="K67" s="215"/>
      <c r="L67" s="216"/>
      <c r="M67" s="217"/>
      <c r="O67" s="241" t="str">
        <f>IF(Q67 = "", "", COUNT(Q$4:$Q67))</f>
        <v/>
      </c>
      <c r="P67" s="241" t="str">
        <f t="shared" si="0"/>
        <v/>
      </c>
      <c r="Q67" s="242" t="str">
        <f t="shared" si="1"/>
        <v/>
      </c>
      <c r="R67" s="243" t="str">
        <f t="shared" si="5"/>
        <v/>
      </c>
      <c r="S67" s="244" t="str">
        <f t="shared" si="2"/>
        <v/>
      </c>
      <c r="T67" s="245" t="str">
        <f t="shared" si="6"/>
        <v/>
      </c>
      <c r="U67" s="246" t="str">
        <f t="shared" si="3"/>
        <v/>
      </c>
      <c r="V67" s="8"/>
      <c r="AR67" t="str">
        <f t="shared" si="11"/>
        <v/>
      </c>
      <c r="AS67" t="str">
        <f t="shared" si="10"/>
        <v/>
      </c>
    </row>
    <row r="68" spans="1:45" x14ac:dyDescent="0.3">
      <c r="A68" s="231"/>
      <c r="B68" s="235"/>
      <c r="C68" s="214"/>
      <c r="D68" s="214"/>
      <c r="E68" s="214"/>
      <c r="F68" s="214"/>
      <c r="G68" s="222"/>
      <c r="H68" s="221"/>
      <c r="I68" s="213"/>
      <c r="J68" s="213"/>
      <c r="K68" s="215"/>
      <c r="L68" s="216"/>
      <c r="M68" s="217"/>
      <c r="O68" s="241" t="str">
        <f>IF(Q68 = "", "", COUNT(Q$4:$Q68))</f>
        <v/>
      </c>
      <c r="P68" s="241" t="str">
        <f t="shared" ref="P68:P131" si="12">IF(C68 &gt; 0, YEAR(B68), "")</f>
        <v/>
      </c>
      <c r="Q68" s="242" t="str">
        <f t="shared" ref="Q68:Q131" si="13">IF(A68="", "", IF(G68="",1,IF(G68="O",1,IF(G68="C",8.4,IF(G68="B",8.4,IF(G68="A",76.8,IF(G68="K",76.8,"ERR")))))))</f>
        <v/>
      </c>
      <c r="R68" s="243" t="str">
        <f t="shared" si="5"/>
        <v/>
      </c>
      <c r="S68" s="244" t="str">
        <f t="shared" ref="S68:S131" si="14">IF(IF(L68&lt;&gt;"",G68,"")=0, "O", IF(L68&lt;&gt;"",G68,""))</f>
        <v/>
      </c>
      <c r="T68" s="245" t="str">
        <f t="shared" si="6"/>
        <v/>
      </c>
      <c r="U68" s="246" t="str">
        <f t="shared" ref="U68:U131" si="15">IF(IF(M68&lt;&gt;"",G68,"")=0, "O", IF(M68&lt;&gt;"",G68,""))</f>
        <v/>
      </c>
      <c r="V68" s="8"/>
      <c r="AR68" t="str">
        <f t="shared" si="11"/>
        <v/>
      </c>
      <c r="AS68" t="str">
        <f t="shared" si="10"/>
        <v/>
      </c>
    </row>
    <row r="69" spans="1:45" x14ac:dyDescent="0.3">
      <c r="A69" s="231"/>
      <c r="B69" s="235"/>
      <c r="C69" s="214"/>
      <c r="D69" s="214"/>
      <c r="E69" s="214"/>
      <c r="F69" s="214"/>
      <c r="G69" s="222"/>
      <c r="H69" s="221"/>
      <c r="I69" s="213"/>
      <c r="J69" s="213"/>
      <c r="K69" s="215"/>
      <c r="L69" s="216"/>
      <c r="M69" s="217"/>
      <c r="O69" s="241" t="str">
        <f>IF(Q69 = "", "", COUNT(Q$4:$Q69))</f>
        <v/>
      </c>
      <c r="P69" s="241" t="str">
        <f t="shared" si="12"/>
        <v/>
      </c>
      <c r="Q69" s="242" t="str">
        <f t="shared" si="13"/>
        <v/>
      </c>
      <c r="R69" s="243" t="str">
        <f t="shared" ref="R69:R132" si="16">IF(L69&lt;&gt;"",Q69,"")</f>
        <v/>
      </c>
      <c r="S69" s="244" t="str">
        <f t="shared" si="14"/>
        <v/>
      </c>
      <c r="T69" s="245" t="str">
        <f t="shared" ref="T69:T132" si="17">IF(M69&lt;&gt;"",Q69,"")</f>
        <v/>
      </c>
      <c r="U69" s="246" t="str">
        <f t="shared" si="15"/>
        <v/>
      </c>
      <c r="V69" s="8"/>
      <c r="AR69" t="str">
        <f t="shared" si="11"/>
        <v/>
      </c>
      <c r="AS69" t="str">
        <f t="shared" si="10"/>
        <v/>
      </c>
    </row>
    <row r="70" spans="1:45" x14ac:dyDescent="0.3">
      <c r="A70" s="231"/>
      <c r="B70" s="235"/>
      <c r="C70" s="214"/>
      <c r="D70" s="214"/>
      <c r="E70" s="214"/>
      <c r="F70" s="214"/>
      <c r="G70" s="222"/>
      <c r="H70" s="221"/>
      <c r="I70" s="213"/>
      <c r="J70" s="213"/>
      <c r="K70" s="215"/>
      <c r="L70" s="216"/>
      <c r="M70" s="217"/>
      <c r="O70" s="241" t="str">
        <f>IF(Q70 = "", "", COUNT(Q$4:$Q70))</f>
        <v/>
      </c>
      <c r="P70" s="241" t="str">
        <f t="shared" si="12"/>
        <v/>
      </c>
      <c r="Q70" s="242" t="str">
        <f t="shared" si="13"/>
        <v/>
      </c>
      <c r="R70" s="243" t="str">
        <f t="shared" si="16"/>
        <v/>
      </c>
      <c r="S70" s="244" t="str">
        <f t="shared" si="14"/>
        <v/>
      </c>
      <c r="T70" s="245" t="str">
        <f t="shared" si="17"/>
        <v/>
      </c>
      <c r="U70" s="246" t="str">
        <f t="shared" si="15"/>
        <v/>
      </c>
      <c r="V70" s="8"/>
      <c r="AR70" t="str">
        <f t="shared" si="11"/>
        <v/>
      </c>
      <c r="AS70" t="str">
        <f t="shared" si="10"/>
        <v/>
      </c>
    </row>
    <row r="71" spans="1:45" x14ac:dyDescent="0.3">
      <c r="A71" s="231"/>
      <c r="B71" s="235"/>
      <c r="C71" s="214"/>
      <c r="D71" s="214"/>
      <c r="E71" s="214"/>
      <c r="F71" s="214"/>
      <c r="G71" s="222"/>
      <c r="H71" s="221"/>
      <c r="I71" s="213"/>
      <c r="J71" s="213"/>
      <c r="K71" s="215"/>
      <c r="L71" s="216"/>
      <c r="M71" s="217"/>
      <c r="O71" s="241" t="str">
        <f>IF(Q71 = "", "", COUNT(Q$4:$Q71))</f>
        <v/>
      </c>
      <c r="P71" s="241" t="str">
        <f t="shared" si="12"/>
        <v/>
      </c>
      <c r="Q71" s="242" t="str">
        <f t="shared" si="13"/>
        <v/>
      </c>
      <c r="R71" s="243" t="str">
        <f t="shared" si="16"/>
        <v/>
      </c>
      <c r="S71" s="244" t="str">
        <f t="shared" si="14"/>
        <v/>
      </c>
      <c r="T71" s="245" t="str">
        <f t="shared" si="17"/>
        <v/>
      </c>
      <c r="U71" s="246" t="str">
        <f t="shared" si="15"/>
        <v/>
      </c>
      <c r="V71" s="8"/>
      <c r="AR71" t="str">
        <f t="shared" si="11"/>
        <v/>
      </c>
      <c r="AS71" t="str">
        <f t="shared" si="10"/>
        <v/>
      </c>
    </row>
    <row r="72" spans="1:45" x14ac:dyDescent="0.3">
      <c r="A72" s="231"/>
      <c r="B72" s="235"/>
      <c r="C72" s="214"/>
      <c r="D72" s="214"/>
      <c r="E72" s="214"/>
      <c r="F72" s="214"/>
      <c r="G72" s="222"/>
      <c r="H72" s="221"/>
      <c r="I72" s="213"/>
      <c r="J72" s="213"/>
      <c r="K72" s="215"/>
      <c r="L72" s="216"/>
      <c r="M72" s="217"/>
      <c r="O72" s="241" t="str">
        <f>IF(Q72 = "", "", COUNT(Q$4:$Q72))</f>
        <v/>
      </c>
      <c r="P72" s="241" t="str">
        <f t="shared" si="12"/>
        <v/>
      </c>
      <c r="Q72" s="242" t="str">
        <f t="shared" si="13"/>
        <v/>
      </c>
      <c r="R72" s="243" t="str">
        <f t="shared" si="16"/>
        <v/>
      </c>
      <c r="S72" s="244" t="str">
        <f t="shared" si="14"/>
        <v/>
      </c>
      <c r="T72" s="245" t="str">
        <f t="shared" si="17"/>
        <v/>
      </c>
      <c r="U72" s="246" t="str">
        <f t="shared" si="15"/>
        <v/>
      </c>
      <c r="V72" s="8"/>
      <c r="AR72" t="str">
        <f t="shared" si="11"/>
        <v/>
      </c>
      <c r="AS72" t="str">
        <f t="shared" si="10"/>
        <v/>
      </c>
    </row>
    <row r="73" spans="1:45" x14ac:dyDescent="0.3">
      <c r="A73" s="231"/>
      <c r="B73" s="235"/>
      <c r="C73" s="214"/>
      <c r="D73" s="214"/>
      <c r="E73" s="214"/>
      <c r="F73" s="214"/>
      <c r="G73" s="222"/>
      <c r="H73" s="221"/>
      <c r="I73" s="213"/>
      <c r="J73" s="213"/>
      <c r="K73" s="215"/>
      <c r="L73" s="216"/>
      <c r="M73" s="217"/>
      <c r="O73" s="241" t="str">
        <f>IF(Q73 = "", "", COUNT(Q$4:$Q73))</f>
        <v/>
      </c>
      <c r="P73" s="241" t="str">
        <f t="shared" si="12"/>
        <v/>
      </c>
      <c r="Q73" s="242" t="str">
        <f t="shared" si="13"/>
        <v/>
      </c>
      <c r="R73" s="243" t="str">
        <f t="shared" si="16"/>
        <v/>
      </c>
      <c r="S73" s="244" t="str">
        <f t="shared" si="14"/>
        <v/>
      </c>
      <c r="T73" s="245" t="str">
        <f t="shared" si="17"/>
        <v/>
      </c>
      <c r="U73" s="246" t="str">
        <f t="shared" si="15"/>
        <v/>
      </c>
      <c r="V73" s="8"/>
      <c r="AR73" t="str">
        <f t="shared" si="11"/>
        <v/>
      </c>
      <c r="AS73" t="str">
        <f t="shared" si="10"/>
        <v/>
      </c>
    </row>
    <row r="74" spans="1:45" x14ac:dyDescent="0.3">
      <c r="A74" s="231"/>
      <c r="B74" s="235"/>
      <c r="C74" s="214"/>
      <c r="D74" s="214"/>
      <c r="E74" s="214"/>
      <c r="F74" s="214"/>
      <c r="G74" s="222"/>
      <c r="H74" s="221"/>
      <c r="I74" s="213"/>
      <c r="J74" s="213"/>
      <c r="K74" s="215"/>
      <c r="L74" s="216"/>
      <c r="M74" s="217"/>
      <c r="O74" s="241" t="str">
        <f>IF(Q74 = "", "", COUNT(Q$4:$Q74))</f>
        <v/>
      </c>
      <c r="P74" s="241" t="str">
        <f t="shared" si="12"/>
        <v/>
      </c>
      <c r="Q74" s="242" t="str">
        <f t="shared" si="13"/>
        <v/>
      </c>
      <c r="R74" s="243" t="str">
        <f t="shared" si="16"/>
        <v/>
      </c>
      <c r="S74" s="244" t="str">
        <f t="shared" si="14"/>
        <v/>
      </c>
      <c r="T74" s="245" t="str">
        <f t="shared" si="17"/>
        <v/>
      </c>
      <c r="U74" s="246" t="str">
        <f t="shared" si="15"/>
        <v/>
      </c>
      <c r="V74" s="8"/>
      <c r="AR74" t="str">
        <f t="shared" si="11"/>
        <v/>
      </c>
      <c r="AS74" t="str">
        <f t="shared" si="10"/>
        <v/>
      </c>
    </row>
    <row r="75" spans="1:45" x14ac:dyDescent="0.3">
      <c r="A75" s="231"/>
      <c r="B75" s="235"/>
      <c r="C75" s="214"/>
      <c r="D75" s="214"/>
      <c r="E75" s="214"/>
      <c r="F75" s="214"/>
      <c r="G75" s="222"/>
      <c r="H75" s="221"/>
      <c r="I75" s="213"/>
      <c r="J75" s="213"/>
      <c r="K75" s="215"/>
      <c r="L75" s="216"/>
      <c r="M75" s="217"/>
      <c r="O75" s="241" t="str">
        <f>IF(Q75 = "", "", COUNT(Q$4:$Q75))</f>
        <v/>
      </c>
      <c r="P75" s="241" t="str">
        <f t="shared" si="12"/>
        <v/>
      </c>
      <c r="Q75" s="242" t="str">
        <f t="shared" si="13"/>
        <v/>
      </c>
      <c r="R75" s="243" t="str">
        <f t="shared" si="16"/>
        <v/>
      </c>
      <c r="S75" s="244" t="str">
        <f t="shared" si="14"/>
        <v/>
      </c>
      <c r="T75" s="245" t="str">
        <f t="shared" si="17"/>
        <v/>
      </c>
      <c r="U75" s="246" t="str">
        <f t="shared" si="15"/>
        <v/>
      </c>
      <c r="V75" s="8"/>
      <c r="AR75" t="str">
        <f t="shared" si="11"/>
        <v/>
      </c>
      <c r="AS75" t="str">
        <f t="shared" si="10"/>
        <v/>
      </c>
    </row>
    <row r="76" spans="1:45" x14ac:dyDescent="0.3">
      <c r="A76" s="231"/>
      <c r="B76" s="235"/>
      <c r="C76" s="214"/>
      <c r="D76" s="214"/>
      <c r="E76" s="214"/>
      <c r="F76" s="214"/>
      <c r="G76" s="222"/>
      <c r="H76" s="221"/>
      <c r="I76" s="213"/>
      <c r="J76" s="213"/>
      <c r="K76" s="215"/>
      <c r="L76" s="216"/>
      <c r="M76" s="217"/>
      <c r="O76" s="241" t="str">
        <f>IF(Q76 = "", "", COUNT(Q$4:$Q76))</f>
        <v/>
      </c>
      <c r="P76" s="241" t="str">
        <f t="shared" si="12"/>
        <v/>
      </c>
      <c r="Q76" s="242" t="str">
        <f t="shared" si="13"/>
        <v/>
      </c>
      <c r="R76" s="243" t="str">
        <f t="shared" si="16"/>
        <v/>
      </c>
      <c r="S76" s="244" t="str">
        <f t="shared" si="14"/>
        <v/>
      </c>
      <c r="T76" s="245" t="str">
        <f t="shared" si="17"/>
        <v/>
      </c>
      <c r="U76" s="246" t="str">
        <f t="shared" si="15"/>
        <v/>
      </c>
      <c r="V76" s="8"/>
      <c r="AR76" t="str">
        <f t="shared" si="11"/>
        <v/>
      </c>
      <c r="AS76" t="str">
        <f t="shared" si="10"/>
        <v/>
      </c>
    </row>
    <row r="77" spans="1:45" x14ac:dyDescent="0.3">
      <c r="A77" s="231"/>
      <c r="B77" s="235"/>
      <c r="C77" s="214"/>
      <c r="D77" s="214"/>
      <c r="E77" s="214"/>
      <c r="F77" s="214"/>
      <c r="G77" s="222"/>
      <c r="H77" s="221"/>
      <c r="I77" s="213"/>
      <c r="J77" s="213"/>
      <c r="K77" s="215"/>
      <c r="L77" s="216"/>
      <c r="M77" s="217"/>
      <c r="O77" s="241" t="str">
        <f>IF(Q77 = "", "", COUNT(Q$4:$Q77))</f>
        <v/>
      </c>
      <c r="P77" s="241" t="str">
        <f t="shared" si="12"/>
        <v/>
      </c>
      <c r="Q77" s="242" t="str">
        <f t="shared" si="13"/>
        <v/>
      </c>
      <c r="R77" s="243" t="str">
        <f t="shared" si="16"/>
        <v/>
      </c>
      <c r="S77" s="244" t="str">
        <f t="shared" si="14"/>
        <v/>
      </c>
      <c r="T77" s="245" t="str">
        <f t="shared" si="17"/>
        <v/>
      </c>
      <c r="U77" s="246" t="str">
        <f t="shared" si="15"/>
        <v/>
      </c>
      <c r="V77" s="8"/>
      <c r="AR77" t="str">
        <f t="shared" si="11"/>
        <v/>
      </c>
      <c r="AS77" t="str">
        <f t="shared" si="10"/>
        <v/>
      </c>
    </row>
    <row r="78" spans="1:45" x14ac:dyDescent="0.3">
      <c r="A78" s="231"/>
      <c r="B78" s="235"/>
      <c r="C78" s="214"/>
      <c r="D78" s="214"/>
      <c r="E78" s="214"/>
      <c r="F78" s="214"/>
      <c r="G78" s="222"/>
      <c r="H78" s="221"/>
      <c r="I78" s="213"/>
      <c r="J78" s="213"/>
      <c r="K78" s="215"/>
      <c r="L78" s="216"/>
      <c r="M78" s="217"/>
      <c r="O78" s="241" t="str">
        <f>IF(Q78 = "", "", COUNT(Q$4:$Q78))</f>
        <v/>
      </c>
      <c r="P78" s="241" t="str">
        <f t="shared" si="12"/>
        <v/>
      </c>
      <c r="Q78" s="242" t="str">
        <f t="shared" si="13"/>
        <v/>
      </c>
      <c r="R78" s="243" t="str">
        <f t="shared" si="16"/>
        <v/>
      </c>
      <c r="S78" s="244" t="str">
        <f t="shared" si="14"/>
        <v/>
      </c>
      <c r="T78" s="245" t="str">
        <f t="shared" si="17"/>
        <v/>
      </c>
      <c r="U78" s="246" t="str">
        <f t="shared" si="15"/>
        <v/>
      </c>
      <c r="V78" s="8"/>
      <c r="AR78" t="str">
        <f t="shared" si="11"/>
        <v/>
      </c>
      <c r="AS78" t="str">
        <f t="shared" si="10"/>
        <v/>
      </c>
    </row>
    <row r="79" spans="1:45" x14ac:dyDescent="0.3">
      <c r="A79" s="231"/>
      <c r="B79" s="235"/>
      <c r="C79" s="214"/>
      <c r="D79" s="214"/>
      <c r="E79" s="214"/>
      <c r="F79" s="214"/>
      <c r="G79" s="222"/>
      <c r="H79" s="221"/>
      <c r="I79" s="213"/>
      <c r="J79" s="213"/>
      <c r="K79" s="215"/>
      <c r="L79" s="216"/>
      <c r="M79" s="217"/>
      <c r="O79" s="241" t="str">
        <f>IF(Q79 = "", "", COUNT(Q$4:$Q79))</f>
        <v/>
      </c>
      <c r="P79" s="241" t="str">
        <f t="shared" si="12"/>
        <v/>
      </c>
      <c r="Q79" s="242" t="str">
        <f t="shared" si="13"/>
        <v/>
      </c>
      <c r="R79" s="243" t="str">
        <f t="shared" si="16"/>
        <v/>
      </c>
      <c r="S79" s="244" t="str">
        <f t="shared" si="14"/>
        <v/>
      </c>
      <c r="T79" s="245" t="str">
        <f t="shared" si="17"/>
        <v/>
      </c>
      <c r="U79" s="246" t="str">
        <f t="shared" si="15"/>
        <v/>
      </c>
      <c r="V79" s="8"/>
      <c r="AR79" t="str">
        <f t="shared" si="11"/>
        <v/>
      </c>
      <c r="AS79" t="str">
        <f t="shared" si="10"/>
        <v/>
      </c>
    </row>
    <row r="80" spans="1:45" x14ac:dyDescent="0.3">
      <c r="A80" s="231"/>
      <c r="B80" s="235"/>
      <c r="C80" s="214"/>
      <c r="D80" s="214"/>
      <c r="E80" s="214"/>
      <c r="F80" s="214"/>
      <c r="G80" s="222"/>
      <c r="H80" s="221"/>
      <c r="I80" s="213"/>
      <c r="J80" s="213"/>
      <c r="K80" s="215"/>
      <c r="L80" s="216"/>
      <c r="M80" s="217"/>
      <c r="O80" s="241" t="str">
        <f>IF(Q80 = "", "", COUNT(Q$4:$Q80))</f>
        <v/>
      </c>
      <c r="P80" s="241" t="str">
        <f t="shared" si="12"/>
        <v/>
      </c>
      <c r="Q80" s="242" t="str">
        <f t="shared" si="13"/>
        <v/>
      </c>
      <c r="R80" s="243" t="str">
        <f t="shared" si="16"/>
        <v/>
      </c>
      <c r="S80" s="244" t="str">
        <f t="shared" si="14"/>
        <v/>
      </c>
      <c r="T80" s="245" t="str">
        <f t="shared" si="17"/>
        <v/>
      </c>
      <c r="U80" s="246" t="str">
        <f t="shared" si="15"/>
        <v/>
      </c>
      <c r="V80" s="8"/>
      <c r="AR80" t="str">
        <f t="shared" si="11"/>
        <v/>
      </c>
      <c r="AS80" t="str">
        <f t="shared" si="10"/>
        <v/>
      </c>
    </row>
    <row r="81" spans="1:45" x14ac:dyDescent="0.3">
      <c r="A81" s="231"/>
      <c r="B81" s="235"/>
      <c r="C81" s="214"/>
      <c r="D81" s="214"/>
      <c r="E81" s="214"/>
      <c r="F81" s="214"/>
      <c r="G81" s="222"/>
      <c r="H81" s="221"/>
      <c r="I81" s="213"/>
      <c r="J81" s="213"/>
      <c r="K81" s="215"/>
      <c r="L81" s="216"/>
      <c r="M81" s="217"/>
      <c r="O81" s="241" t="str">
        <f>IF(Q81 = "", "", COUNT(Q$4:$Q81))</f>
        <v/>
      </c>
      <c r="P81" s="241" t="str">
        <f t="shared" si="12"/>
        <v/>
      </c>
      <c r="Q81" s="242" t="str">
        <f t="shared" si="13"/>
        <v/>
      </c>
      <c r="R81" s="243" t="str">
        <f t="shared" si="16"/>
        <v/>
      </c>
      <c r="S81" s="244" t="str">
        <f t="shared" si="14"/>
        <v/>
      </c>
      <c r="T81" s="245" t="str">
        <f t="shared" si="17"/>
        <v/>
      </c>
      <c r="U81" s="246" t="str">
        <f t="shared" si="15"/>
        <v/>
      </c>
      <c r="V81" s="8"/>
      <c r="AR81" t="str">
        <f t="shared" si="11"/>
        <v/>
      </c>
      <c r="AS81" t="str">
        <f t="shared" si="10"/>
        <v/>
      </c>
    </row>
    <row r="82" spans="1:45" x14ac:dyDescent="0.3">
      <c r="A82" s="231"/>
      <c r="B82" s="235"/>
      <c r="C82" s="214"/>
      <c r="D82" s="214"/>
      <c r="E82" s="214"/>
      <c r="F82" s="214"/>
      <c r="G82" s="222"/>
      <c r="H82" s="221"/>
      <c r="I82" s="213"/>
      <c r="J82" s="213"/>
      <c r="K82" s="215"/>
      <c r="L82" s="216"/>
      <c r="M82" s="217"/>
      <c r="O82" s="241" t="str">
        <f>IF(Q82 = "", "", COUNT(Q$4:$Q82))</f>
        <v/>
      </c>
      <c r="P82" s="241" t="str">
        <f t="shared" si="12"/>
        <v/>
      </c>
      <c r="Q82" s="242" t="str">
        <f t="shared" si="13"/>
        <v/>
      </c>
      <c r="R82" s="243" t="str">
        <f t="shared" si="16"/>
        <v/>
      </c>
      <c r="S82" s="244" t="str">
        <f t="shared" si="14"/>
        <v/>
      </c>
      <c r="T82" s="245" t="str">
        <f t="shared" si="17"/>
        <v/>
      </c>
      <c r="U82" s="246" t="str">
        <f t="shared" si="15"/>
        <v/>
      </c>
      <c r="V82" s="8"/>
      <c r="AR82" t="str">
        <f t="shared" si="11"/>
        <v/>
      </c>
      <c r="AS82" t="str">
        <f t="shared" si="10"/>
        <v/>
      </c>
    </row>
    <row r="83" spans="1:45" x14ac:dyDescent="0.3">
      <c r="A83" s="231"/>
      <c r="B83" s="235"/>
      <c r="C83" s="214"/>
      <c r="D83" s="214"/>
      <c r="E83" s="214"/>
      <c r="F83" s="214"/>
      <c r="G83" s="222"/>
      <c r="H83" s="221"/>
      <c r="I83" s="213"/>
      <c r="J83" s="213"/>
      <c r="K83" s="215"/>
      <c r="L83" s="216"/>
      <c r="M83" s="217"/>
      <c r="O83" s="241" t="str">
        <f>IF(Q83 = "", "", COUNT(Q$4:$Q83))</f>
        <v/>
      </c>
      <c r="P83" s="241" t="str">
        <f t="shared" si="12"/>
        <v/>
      </c>
      <c r="Q83" s="242" t="str">
        <f t="shared" si="13"/>
        <v/>
      </c>
      <c r="R83" s="243" t="str">
        <f t="shared" si="16"/>
        <v/>
      </c>
      <c r="S83" s="244" t="str">
        <f t="shared" si="14"/>
        <v/>
      </c>
      <c r="T83" s="245" t="str">
        <f t="shared" si="17"/>
        <v/>
      </c>
      <c r="U83" s="246" t="str">
        <f t="shared" si="15"/>
        <v/>
      </c>
      <c r="V83" s="8"/>
      <c r="AR83" t="str">
        <f t="shared" si="11"/>
        <v/>
      </c>
      <c r="AS83" t="str">
        <f t="shared" si="10"/>
        <v/>
      </c>
    </row>
    <row r="84" spans="1:45" x14ac:dyDescent="0.3">
      <c r="A84" s="231"/>
      <c r="B84" s="235"/>
      <c r="C84" s="214"/>
      <c r="D84" s="214"/>
      <c r="E84" s="214"/>
      <c r="F84" s="214"/>
      <c r="G84" s="222"/>
      <c r="H84" s="221"/>
      <c r="I84" s="213"/>
      <c r="J84" s="213"/>
      <c r="K84" s="215"/>
      <c r="L84" s="216"/>
      <c r="M84" s="217"/>
      <c r="O84" s="241" t="str">
        <f>IF(Q84 = "", "", COUNT(Q$4:$Q84))</f>
        <v/>
      </c>
      <c r="P84" s="241" t="str">
        <f t="shared" si="12"/>
        <v/>
      </c>
      <c r="Q84" s="242" t="str">
        <f t="shared" si="13"/>
        <v/>
      </c>
      <c r="R84" s="243" t="str">
        <f t="shared" si="16"/>
        <v/>
      </c>
      <c r="S84" s="244" t="str">
        <f t="shared" si="14"/>
        <v/>
      </c>
      <c r="T84" s="245" t="str">
        <f t="shared" si="17"/>
        <v/>
      </c>
      <c r="U84" s="246" t="str">
        <f t="shared" si="15"/>
        <v/>
      </c>
      <c r="V84" s="8"/>
      <c r="AR84" t="str">
        <f t="shared" si="11"/>
        <v/>
      </c>
      <c r="AS84" t="str">
        <f t="shared" si="10"/>
        <v/>
      </c>
    </row>
    <row r="85" spans="1:45" x14ac:dyDescent="0.3">
      <c r="A85" s="231"/>
      <c r="B85" s="235"/>
      <c r="C85" s="214"/>
      <c r="D85" s="214"/>
      <c r="E85" s="214"/>
      <c r="F85" s="214"/>
      <c r="G85" s="222"/>
      <c r="H85" s="221"/>
      <c r="I85" s="213"/>
      <c r="J85" s="213"/>
      <c r="K85" s="215"/>
      <c r="L85" s="216"/>
      <c r="M85" s="217"/>
      <c r="O85" s="241" t="str">
        <f>IF(Q85 = "", "", COUNT(Q$4:$Q85))</f>
        <v/>
      </c>
      <c r="P85" s="241" t="str">
        <f t="shared" si="12"/>
        <v/>
      </c>
      <c r="Q85" s="242" t="str">
        <f t="shared" si="13"/>
        <v/>
      </c>
      <c r="R85" s="243" t="str">
        <f t="shared" si="16"/>
        <v/>
      </c>
      <c r="S85" s="244" t="str">
        <f t="shared" si="14"/>
        <v/>
      </c>
      <c r="T85" s="245" t="str">
        <f t="shared" si="17"/>
        <v/>
      </c>
      <c r="U85" s="246" t="str">
        <f t="shared" si="15"/>
        <v/>
      </c>
      <c r="V85" s="8"/>
      <c r="AR85" t="str">
        <f t="shared" si="11"/>
        <v/>
      </c>
      <c r="AS85" t="str">
        <f t="shared" ref="AS85:AS148" si="18">IF(OR(L85="Y",M85="Y"),"Y","")</f>
        <v/>
      </c>
    </row>
    <row r="86" spans="1:45" x14ac:dyDescent="0.3">
      <c r="A86" s="231"/>
      <c r="B86" s="235"/>
      <c r="C86" s="214"/>
      <c r="D86" s="214"/>
      <c r="E86" s="214"/>
      <c r="F86" s="214"/>
      <c r="G86" s="222"/>
      <c r="H86" s="221"/>
      <c r="I86" s="213"/>
      <c r="J86" s="213"/>
      <c r="K86" s="215"/>
      <c r="L86" s="216"/>
      <c r="M86" s="217"/>
      <c r="O86" s="241" t="str">
        <f>IF(Q86 = "", "", COUNT(Q$4:$Q86))</f>
        <v/>
      </c>
      <c r="P86" s="241" t="str">
        <f t="shared" si="12"/>
        <v/>
      </c>
      <c r="Q86" s="242" t="str">
        <f t="shared" si="13"/>
        <v/>
      </c>
      <c r="R86" s="243" t="str">
        <f t="shared" si="16"/>
        <v/>
      </c>
      <c r="S86" s="244" t="str">
        <f t="shared" si="14"/>
        <v/>
      </c>
      <c r="T86" s="245" t="str">
        <f t="shared" si="17"/>
        <v/>
      </c>
      <c r="U86" s="246" t="str">
        <f t="shared" si="15"/>
        <v/>
      </c>
      <c r="V86" s="8"/>
      <c r="AR86" t="str">
        <f t="shared" ref="AR86:AR149" si="19">IF(O86&gt;0, O86, "")</f>
        <v/>
      </c>
      <c r="AS86" t="str">
        <f t="shared" si="18"/>
        <v/>
      </c>
    </row>
    <row r="87" spans="1:45" x14ac:dyDescent="0.3">
      <c r="A87" s="231"/>
      <c r="B87" s="235"/>
      <c r="C87" s="214"/>
      <c r="D87" s="214"/>
      <c r="E87" s="214"/>
      <c r="F87" s="214"/>
      <c r="G87" s="222"/>
      <c r="H87" s="221"/>
      <c r="I87" s="213"/>
      <c r="J87" s="213"/>
      <c r="K87" s="215"/>
      <c r="L87" s="216"/>
      <c r="M87" s="217"/>
      <c r="O87" s="241" t="str">
        <f>IF(Q87 = "", "", COUNT(Q$4:$Q87))</f>
        <v/>
      </c>
      <c r="P87" s="241" t="str">
        <f t="shared" si="12"/>
        <v/>
      </c>
      <c r="Q87" s="242" t="str">
        <f t="shared" si="13"/>
        <v/>
      </c>
      <c r="R87" s="243" t="str">
        <f t="shared" si="16"/>
        <v/>
      </c>
      <c r="S87" s="244" t="str">
        <f t="shared" si="14"/>
        <v/>
      </c>
      <c r="T87" s="245" t="str">
        <f t="shared" si="17"/>
        <v/>
      </c>
      <c r="U87" s="246" t="str">
        <f t="shared" si="15"/>
        <v/>
      </c>
      <c r="V87" s="8"/>
      <c r="AR87" t="str">
        <f t="shared" si="19"/>
        <v/>
      </c>
      <c r="AS87" t="str">
        <f t="shared" si="18"/>
        <v/>
      </c>
    </row>
    <row r="88" spans="1:45" x14ac:dyDescent="0.3">
      <c r="A88" s="231"/>
      <c r="B88" s="235"/>
      <c r="C88" s="214"/>
      <c r="D88" s="214"/>
      <c r="E88" s="214"/>
      <c r="F88" s="214"/>
      <c r="G88" s="222"/>
      <c r="H88" s="221"/>
      <c r="I88" s="213"/>
      <c r="J88" s="213"/>
      <c r="K88" s="215"/>
      <c r="L88" s="216"/>
      <c r="M88" s="217"/>
      <c r="O88" s="241" t="str">
        <f>IF(Q88 = "", "", COUNT(Q$4:$Q88))</f>
        <v/>
      </c>
      <c r="P88" s="241" t="str">
        <f t="shared" si="12"/>
        <v/>
      </c>
      <c r="Q88" s="242" t="str">
        <f t="shared" si="13"/>
        <v/>
      </c>
      <c r="R88" s="243" t="str">
        <f t="shared" si="16"/>
        <v/>
      </c>
      <c r="S88" s="244" t="str">
        <f t="shared" si="14"/>
        <v/>
      </c>
      <c r="T88" s="245" t="str">
        <f t="shared" si="17"/>
        <v/>
      </c>
      <c r="U88" s="246" t="str">
        <f t="shared" si="15"/>
        <v/>
      </c>
      <c r="V88" s="8"/>
      <c r="AR88" t="str">
        <f t="shared" si="19"/>
        <v/>
      </c>
      <c r="AS88" t="str">
        <f t="shared" si="18"/>
        <v/>
      </c>
    </row>
    <row r="89" spans="1:45" x14ac:dyDescent="0.3">
      <c r="A89" s="231"/>
      <c r="B89" s="235"/>
      <c r="C89" s="214"/>
      <c r="D89" s="214"/>
      <c r="E89" s="214"/>
      <c r="F89" s="214"/>
      <c r="G89" s="222"/>
      <c r="H89" s="221"/>
      <c r="I89" s="213"/>
      <c r="J89" s="213"/>
      <c r="K89" s="215"/>
      <c r="L89" s="216"/>
      <c r="M89" s="217"/>
      <c r="O89" s="241" t="str">
        <f>IF(Q89 = "", "", COUNT(Q$4:$Q89))</f>
        <v/>
      </c>
      <c r="P89" s="241" t="str">
        <f t="shared" si="12"/>
        <v/>
      </c>
      <c r="Q89" s="242" t="str">
        <f t="shared" si="13"/>
        <v/>
      </c>
      <c r="R89" s="243" t="str">
        <f t="shared" si="16"/>
        <v/>
      </c>
      <c r="S89" s="244" t="str">
        <f t="shared" si="14"/>
        <v/>
      </c>
      <c r="T89" s="245" t="str">
        <f t="shared" si="17"/>
        <v/>
      </c>
      <c r="U89" s="246" t="str">
        <f t="shared" si="15"/>
        <v/>
      </c>
      <c r="V89" s="8"/>
      <c r="AR89" t="str">
        <f t="shared" si="19"/>
        <v/>
      </c>
      <c r="AS89" t="str">
        <f t="shared" si="18"/>
        <v/>
      </c>
    </row>
    <row r="90" spans="1:45" x14ac:dyDescent="0.3">
      <c r="A90" s="231"/>
      <c r="B90" s="235"/>
      <c r="C90" s="214"/>
      <c r="D90" s="214"/>
      <c r="E90" s="214"/>
      <c r="F90" s="214"/>
      <c r="G90" s="222"/>
      <c r="H90" s="221"/>
      <c r="I90" s="213"/>
      <c r="J90" s="213"/>
      <c r="K90" s="215"/>
      <c r="L90" s="216"/>
      <c r="M90" s="217"/>
      <c r="O90" s="241" t="str">
        <f>IF(Q90 = "", "", COUNT(Q$4:$Q90))</f>
        <v/>
      </c>
      <c r="P90" s="241" t="str">
        <f t="shared" si="12"/>
        <v/>
      </c>
      <c r="Q90" s="242" t="str">
        <f t="shared" si="13"/>
        <v/>
      </c>
      <c r="R90" s="243" t="str">
        <f t="shared" si="16"/>
        <v/>
      </c>
      <c r="S90" s="244" t="str">
        <f t="shared" si="14"/>
        <v/>
      </c>
      <c r="T90" s="245" t="str">
        <f t="shared" si="17"/>
        <v/>
      </c>
      <c r="U90" s="246" t="str">
        <f t="shared" si="15"/>
        <v/>
      </c>
      <c r="V90" s="8"/>
      <c r="AR90" t="str">
        <f t="shared" si="19"/>
        <v/>
      </c>
      <c r="AS90" t="str">
        <f t="shared" si="18"/>
        <v/>
      </c>
    </row>
    <row r="91" spans="1:45" x14ac:dyDescent="0.3">
      <c r="A91" s="231"/>
      <c r="B91" s="235"/>
      <c r="C91" s="214"/>
      <c r="D91" s="214"/>
      <c r="E91" s="214"/>
      <c r="F91" s="214"/>
      <c r="G91" s="222"/>
      <c r="H91" s="221"/>
      <c r="I91" s="213"/>
      <c r="J91" s="213"/>
      <c r="K91" s="215"/>
      <c r="L91" s="216"/>
      <c r="M91" s="217"/>
      <c r="O91" s="241" t="str">
        <f>IF(Q91 = "", "", COUNT(Q$4:$Q91))</f>
        <v/>
      </c>
      <c r="P91" s="241" t="str">
        <f t="shared" si="12"/>
        <v/>
      </c>
      <c r="Q91" s="242" t="str">
        <f t="shared" si="13"/>
        <v/>
      </c>
      <c r="R91" s="243" t="str">
        <f t="shared" si="16"/>
        <v/>
      </c>
      <c r="S91" s="244" t="str">
        <f t="shared" si="14"/>
        <v/>
      </c>
      <c r="T91" s="245" t="str">
        <f t="shared" si="17"/>
        <v/>
      </c>
      <c r="U91" s="246" t="str">
        <f t="shared" si="15"/>
        <v/>
      </c>
      <c r="V91" s="8"/>
      <c r="AR91" t="str">
        <f t="shared" si="19"/>
        <v/>
      </c>
      <c r="AS91" t="str">
        <f t="shared" si="18"/>
        <v/>
      </c>
    </row>
    <row r="92" spans="1:45" x14ac:dyDescent="0.3">
      <c r="A92" s="231"/>
      <c r="B92" s="235"/>
      <c r="C92" s="214"/>
      <c r="D92" s="214"/>
      <c r="E92" s="214"/>
      <c r="F92" s="214"/>
      <c r="G92" s="222"/>
      <c r="H92" s="221"/>
      <c r="I92" s="213"/>
      <c r="J92" s="213"/>
      <c r="K92" s="215"/>
      <c r="L92" s="216"/>
      <c r="M92" s="217"/>
      <c r="O92" s="241" t="str">
        <f>IF(Q92 = "", "", COUNT(Q$4:$Q92))</f>
        <v/>
      </c>
      <c r="P92" s="241" t="str">
        <f t="shared" si="12"/>
        <v/>
      </c>
      <c r="Q92" s="242" t="str">
        <f t="shared" si="13"/>
        <v/>
      </c>
      <c r="R92" s="243" t="str">
        <f t="shared" si="16"/>
        <v/>
      </c>
      <c r="S92" s="244" t="str">
        <f t="shared" si="14"/>
        <v/>
      </c>
      <c r="T92" s="245" t="str">
        <f t="shared" si="17"/>
        <v/>
      </c>
      <c r="U92" s="246" t="str">
        <f t="shared" si="15"/>
        <v/>
      </c>
      <c r="V92" s="8"/>
      <c r="AR92" t="str">
        <f t="shared" si="19"/>
        <v/>
      </c>
      <c r="AS92" t="str">
        <f t="shared" si="18"/>
        <v/>
      </c>
    </row>
    <row r="93" spans="1:45" x14ac:dyDescent="0.3">
      <c r="A93" s="231"/>
      <c r="B93" s="235"/>
      <c r="C93" s="214"/>
      <c r="D93" s="214"/>
      <c r="E93" s="214"/>
      <c r="F93" s="214"/>
      <c r="G93" s="222"/>
      <c r="H93" s="221"/>
      <c r="I93" s="213"/>
      <c r="J93" s="213"/>
      <c r="K93" s="215"/>
      <c r="L93" s="216"/>
      <c r="M93" s="217"/>
      <c r="O93" s="241" t="str">
        <f>IF(Q93 = "", "", COUNT(Q$4:$Q93))</f>
        <v/>
      </c>
      <c r="P93" s="241" t="str">
        <f t="shared" si="12"/>
        <v/>
      </c>
      <c r="Q93" s="242" t="str">
        <f t="shared" si="13"/>
        <v/>
      </c>
      <c r="R93" s="243" t="str">
        <f t="shared" si="16"/>
        <v/>
      </c>
      <c r="S93" s="244" t="str">
        <f t="shared" si="14"/>
        <v/>
      </c>
      <c r="T93" s="245" t="str">
        <f t="shared" si="17"/>
        <v/>
      </c>
      <c r="U93" s="246" t="str">
        <f t="shared" si="15"/>
        <v/>
      </c>
      <c r="V93" s="8"/>
      <c r="AR93" t="str">
        <f t="shared" si="19"/>
        <v/>
      </c>
      <c r="AS93" t="str">
        <f t="shared" si="18"/>
        <v/>
      </c>
    </row>
    <row r="94" spans="1:45" x14ac:dyDescent="0.3">
      <c r="A94" s="231"/>
      <c r="B94" s="235"/>
      <c r="C94" s="214"/>
      <c r="D94" s="214"/>
      <c r="E94" s="214"/>
      <c r="F94" s="214"/>
      <c r="G94" s="222"/>
      <c r="H94" s="221"/>
      <c r="I94" s="213"/>
      <c r="J94" s="213"/>
      <c r="K94" s="215"/>
      <c r="L94" s="216"/>
      <c r="M94" s="217"/>
      <c r="O94" s="241" t="str">
        <f>IF(Q94 = "", "", COUNT(Q$4:$Q94))</f>
        <v/>
      </c>
      <c r="P94" s="241" t="str">
        <f t="shared" si="12"/>
        <v/>
      </c>
      <c r="Q94" s="242" t="str">
        <f t="shared" si="13"/>
        <v/>
      </c>
      <c r="R94" s="243" t="str">
        <f t="shared" si="16"/>
        <v/>
      </c>
      <c r="S94" s="244" t="str">
        <f t="shared" si="14"/>
        <v/>
      </c>
      <c r="T94" s="245" t="str">
        <f t="shared" si="17"/>
        <v/>
      </c>
      <c r="U94" s="246" t="str">
        <f t="shared" si="15"/>
        <v/>
      </c>
      <c r="V94" s="8"/>
      <c r="AR94" t="str">
        <f t="shared" si="19"/>
        <v/>
      </c>
      <c r="AS94" t="str">
        <f t="shared" si="18"/>
        <v/>
      </c>
    </row>
    <row r="95" spans="1:45" x14ac:dyDescent="0.3">
      <c r="A95" s="231"/>
      <c r="B95" s="235"/>
      <c r="C95" s="214"/>
      <c r="D95" s="214"/>
      <c r="E95" s="214"/>
      <c r="F95" s="214"/>
      <c r="G95" s="222"/>
      <c r="H95" s="221"/>
      <c r="I95" s="213"/>
      <c r="J95" s="213"/>
      <c r="K95" s="215"/>
      <c r="L95" s="216"/>
      <c r="M95" s="217"/>
      <c r="O95" s="241" t="str">
        <f>IF(Q95 = "", "", COUNT(Q$4:$Q95))</f>
        <v/>
      </c>
      <c r="P95" s="241" t="str">
        <f t="shared" si="12"/>
        <v/>
      </c>
      <c r="Q95" s="242" t="str">
        <f t="shared" si="13"/>
        <v/>
      </c>
      <c r="R95" s="243" t="str">
        <f t="shared" si="16"/>
        <v/>
      </c>
      <c r="S95" s="244" t="str">
        <f t="shared" si="14"/>
        <v/>
      </c>
      <c r="T95" s="245" t="str">
        <f t="shared" si="17"/>
        <v/>
      </c>
      <c r="U95" s="246" t="str">
        <f t="shared" si="15"/>
        <v/>
      </c>
      <c r="V95" s="8"/>
      <c r="AR95" t="str">
        <f t="shared" si="19"/>
        <v/>
      </c>
      <c r="AS95" t="str">
        <f t="shared" si="18"/>
        <v/>
      </c>
    </row>
    <row r="96" spans="1:45" x14ac:dyDescent="0.3">
      <c r="A96" s="231"/>
      <c r="B96" s="235"/>
      <c r="C96" s="214"/>
      <c r="D96" s="214"/>
      <c r="E96" s="214"/>
      <c r="F96" s="214"/>
      <c r="G96" s="222"/>
      <c r="H96" s="221"/>
      <c r="I96" s="213"/>
      <c r="J96" s="213"/>
      <c r="K96" s="215"/>
      <c r="L96" s="216"/>
      <c r="M96" s="217"/>
      <c r="O96" s="241" t="str">
        <f>IF(Q96 = "", "", COUNT(Q$4:$Q96))</f>
        <v/>
      </c>
      <c r="P96" s="241" t="str">
        <f t="shared" si="12"/>
        <v/>
      </c>
      <c r="Q96" s="242" t="str">
        <f t="shared" si="13"/>
        <v/>
      </c>
      <c r="R96" s="243" t="str">
        <f t="shared" si="16"/>
        <v/>
      </c>
      <c r="S96" s="244" t="str">
        <f t="shared" si="14"/>
        <v/>
      </c>
      <c r="T96" s="245" t="str">
        <f t="shared" si="17"/>
        <v/>
      </c>
      <c r="U96" s="246" t="str">
        <f t="shared" si="15"/>
        <v/>
      </c>
      <c r="V96" s="8"/>
      <c r="AR96" t="str">
        <f t="shared" si="19"/>
        <v/>
      </c>
      <c r="AS96" t="str">
        <f t="shared" si="18"/>
        <v/>
      </c>
    </row>
    <row r="97" spans="1:45" x14ac:dyDescent="0.3">
      <c r="A97" s="231"/>
      <c r="B97" s="235"/>
      <c r="C97" s="214"/>
      <c r="D97" s="214"/>
      <c r="E97" s="214"/>
      <c r="F97" s="214"/>
      <c r="G97" s="222"/>
      <c r="H97" s="221"/>
      <c r="I97" s="213"/>
      <c r="J97" s="213"/>
      <c r="K97" s="215"/>
      <c r="L97" s="216"/>
      <c r="M97" s="217"/>
      <c r="O97" s="241" t="str">
        <f>IF(Q97 = "", "", COUNT(Q$4:$Q97))</f>
        <v/>
      </c>
      <c r="P97" s="241" t="str">
        <f t="shared" si="12"/>
        <v/>
      </c>
      <c r="Q97" s="242" t="str">
        <f t="shared" si="13"/>
        <v/>
      </c>
      <c r="R97" s="243" t="str">
        <f t="shared" si="16"/>
        <v/>
      </c>
      <c r="S97" s="244" t="str">
        <f t="shared" si="14"/>
        <v/>
      </c>
      <c r="T97" s="245" t="str">
        <f t="shared" si="17"/>
        <v/>
      </c>
      <c r="U97" s="246" t="str">
        <f t="shared" si="15"/>
        <v/>
      </c>
      <c r="V97" s="8"/>
      <c r="AR97" t="str">
        <f t="shared" si="19"/>
        <v/>
      </c>
      <c r="AS97" t="str">
        <f t="shared" si="18"/>
        <v/>
      </c>
    </row>
    <row r="98" spans="1:45" x14ac:dyDescent="0.3">
      <c r="A98" s="231"/>
      <c r="B98" s="235"/>
      <c r="C98" s="214"/>
      <c r="D98" s="214"/>
      <c r="E98" s="214"/>
      <c r="F98" s="214"/>
      <c r="G98" s="222"/>
      <c r="H98" s="221"/>
      <c r="I98" s="213"/>
      <c r="J98" s="213"/>
      <c r="K98" s="215"/>
      <c r="L98" s="216"/>
      <c r="M98" s="217"/>
      <c r="O98" s="241" t="str">
        <f>IF(Q98 = "", "", COUNT(Q$4:$Q98))</f>
        <v/>
      </c>
      <c r="P98" s="241" t="str">
        <f t="shared" si="12"/>
        <v/>
      </c>
      <c r="Q98" s="242" t="str">
        <f t="shared" si="13"/>
        <v/>
      </c>
      <c r="R98" s="243" t="str">
        <f t="shared" si="16"/>
        <v/>
      </c>
      <c r="S98" s="244" t="str">
        <f t="shared" si="14"/>
        <v/>
      </c>
      <c r="T98" s="245" t="str">
        <f t="shared" si="17"/>
        <v/>
      </c>
      <c r="U98" s="246" t="str">
        <f t="shared" si="15"/>
        <v/>
      </c>
      <c r="V98" s="8"/>
      <c r="AR98" t="str">
        <f t="shared" si="19"/>
        <v/>
      </c>
      <c r="AS98" t="str">
        <f t="shared" si="18"/>
        <v/>
      </c>
    </row>
    <row r="99" spans="1:45" x14ac:dyDescent="0.3">
      <c r="A99" s="231"/>
      <c r="B99" s="235"/>
      <c r="C99" s="214"/>
      <c r="D99" s="214"/>
      <c r="E99" s="214"/>
      <c r="F99" s="214"/>
      <c r="G99" s="222"/>
      <c r="H99" s="221"/>
      <c r="I99" s="213"/>
      <c r="J99" s="213"/>
      <c r="K99" s="215"/>
      <c r="L99" s="216"/>
      <c r="M99" s="217"/>
      <c r="O99" s="241" t="str">
        <f>IF(Q99 = "", "", COUNT(Q$4:$Q99))</f>
        <v/>
      </c>
      <c r="P99" s="241" t="str">
        <f t="shared" si="12"/>
        <v/>
      </c>
      <c r="Q99" s="242" t="str">
        <f t="shared" si="13"/>
        <v/>
      </c>
      <c r="R99" s="243" t="str">
        <f t="shared" si="16"/>
        <v/>
      </c>
      <c r="S99" s="244" t="str">
        <f t="shared" si="14"/>
        <v/>
      </c>
      <c r="T99" s="245" t="str">
        <f t="shared" si="17"/>
        <v/>
      </c>
      <c r="U99" s="246" t="str">
        <f t="shared" si="15"/>
        <v/>
      </c>
      <c r="V99" s="8"/>
      <c r="AR99" t="str">
        <f t="shared" si="19"/>
        <v/>
      </c>
      <c r="AS99" t="str">
        <f t="shared" si="18"/>
        <v/>
      </c>
    </row>
    <row r="100" spans="1:45" x14ac:dyDescent="0.3">
      <c r="A100" s="231"/>
      <c r="B100" s="235"/>
      <c r="C100" s="214"/>
      <c r="D100" s="214"/>
      <c r="E100" s="214"/>
      <c r="F100" s="214"/>
      <c r="G100" s="222"/>
      <c r="H100" s="221"/>
      <c r="I100" s="213"/>
      <c r="J100" s="213"/>
      <c r="K100" s="215"/>
      <c r="L100" s="216"/>
      <c r="M100" s="217"/>
      <c r="O100" s="241" t="str">
        <f>IF(Q100 = "", "", COUNT(Q$4:$Q100))</f>
        <v/>
      </c>
      <c r="P100" s="241" t="str">
        <f t="shared" si="12"/>
        <v/>
      </c>
      <c r="Q100" s="242" t="str">
        <f t="shared" si="13"/>
        <v/>
      </c>
      <c r="R100" s="243" t="str">
        <f t="shared" si="16"/>
        <v/>
      </c>
      <c r="S100" s="244" t="str">
        <f t="shared" si="14"/>
        <v/>
      </c>
      <c r="T100" s="245" t="str">
        <f t="shared" si="17"/>
        <v/>
      </c>
      <c r="U100" s="246" t="str">
        <f t="shared" si="15"/>
        <v/>
      </c>
      <c r="V100" s="8"/>
      <c r="AR100" t="str">
        <f t="shared" si="19"/>
        <v/>
      </c>
      <c r="AS100" t="str">
        <f t="shared" si="18"/>
        <v/>
      </c>
    </row>
    <row r="101" spans="1:45" x14ac:dyDescent="0.3">
      <c r="A101" s="231"/>
      <c r="B101" s="235"/>
      <c r="C101" s="214"/>
      <c r="D101" s="214"/>
      <c r="E101" s="214"/>
      <c r="F101" s="214"/>
      <c r="G101" s="222"/>
      <c r="H101" s="221"/>
      <c r="I101" s="213"/>
      <c r="J101" s="213"/>
      <c r="K101" s="215"/>
      <c r="L101" s="216"/>
      <c r="M101" s="217"/>
      <c r="O101" s="241" t="str">
        <f>IF(Q101 = "", "", COUNT(Q$4:$Q101))</f>
        <v/>
      </c>
      <c r="P101" s="241" t="str">
        <f t="shared" si="12"/>
        <v/>
      </c>
      <c r="Q101" s="242" t="str">
        <f t="shared" si="13"/>
        <v/>
      </c>
      <c r="R101" s="243" t="str">
        <f t="shared" si="16"/>
        <v/>
      </c>
      <c r="S101" s="244" t="str">
        <f t="shared" si="14"/>
        <v/>
      </c>
      <c r="T101" s="245" t="str">
        <f t="shared" si="17"/>
        <v/>
      </c>
      <c r="U101" s="246" t="str">
        <f t="shared" si="15"/>
        <v/>
      </c>
      <c r="V101" s="8"/>
      <c r="AR101" t="str">
        <f t="shared" si="19"/>
        <v/>
      </c>
      <c r="AS101" t="str">
        <f t="shared" si="18"/>
        <v/>
      </c>
    </row>
    <row r="102" spans="1:45" x14ac:dyDescent="0.3">
      <c r="A102" s="231"/>
      <c r="B102" s="235"/>
      <c r="C102" s="214"/>
      <c r="D102" s="214"/>
      <c r="E102" s="214"/>
      <c r="F102" s="214"/>
      <c r="G102" s="222"/>
      <c r="H102" s="221"/>
      <c r="I102" s="213"/>
      <c r="J102" s="213"/>
      <c r="K102" s="215"/>
      <c r="L102" s="216"/>
      <c r="M102" s="217"/>
      <c r="O102" s="241" t="str">
        <f>IF(Q102 = "", "", COUNT(Q$4:$Q102))</f>
        <v/>
      </c>
      <c r="P102" s="241" t="str">
        <f t="shared" si="12"/>
        <v/>
      </c>
      <c r="Q102" s="242" t="str">
        <f t="shared" si="13"/>
        <v/>
      </c>
      <c r="R102" s="243" t="str">
        <f t="shared" si="16"/>
        <v/>
      </c>
      <c r="S102" s="244" t="str">
        <f t="shared" si="14"/>
        <v/>
      </c>
      <c r="T102" s="245" t="str">
        <f t="shared" si="17"/>
        <v/>
      </c>
      <c r="U102" s="246" t="str">
        <f t="shared" si="15"/>
        <v/>
      </c>
      <c r="V102" s="8"/>
      <c r="AR102" t="str">
        <f t="shared" si="19"/>
        <v/>
      </c>
      <c r="AS102" t="str">
        <f t="shared" si="18"/>
        <v/>
      </c>
    </row>
    <row r="103" spans="1:45" x14ac:dyDescent="0.3">
      <c r="A103" s="231"/>
      <c r="B103" s="235"/>
      <c r="C103" s="214"/>
      <c r="D103" s="214"/>
      <c r="E103" s="214"/>
      <c r="F103" s="214"/>
      <c r="G103" s="222"/>
      <c r="H103" s="221"/>
      <c r="I103" s="213"/>
      <c r="J103" s="213"/>
      <c r="K103" s="215"/>
      <c r="L103" s="216"/>
      <c r="M103" s="217"/>
      <c r="O103" s="241" t="str">
        <f>IF(Q103 = "", "", COUNT(Q$4:$Q103))</f>
        <v/>
      </c>
      <c r="P103" s="241" t="str">
        <f t="shared" si="12"/>
        <v/>
      </c>
      <c r="Q103" s="242" t="str">
        <f t="shared" si="13"/>
        <v/>
      </c>
      <c r="R103" s="243" t="str">
        <f t="shared" si="16"/>
        <v/>
      </c>
      <c r="S103" s="244" t="str">
        <f t="shared" si="14"/>
        <v/>
      </c>
      <c r="T103" s="245" t="str">
        <f t="shared" si="17"/>
        <v/>
      </c>
      <c r="U103" s="246" t="str">
        <f t="shared" si="15"/>
        <v/>
      </c>
      <c r="V103" s="8"/>
      <c r="AR103" t="str">
        <f t="shared" si="19"/>
        <v/>
      </c>
      <c r="AS103" t="str">
        <f t="shared" si="18"/>
        <v/>
      </c>
    </row>
    <row r="104" spans="1:45" x14ac:dyDescent="0.3">
      <c r="A104" s="231"/>
      <c r="B104" s="235"/>
      <c r="C104" s="214"/>
      <c r="D104" s="214"/>
      <c r="E104" s="214"/>
      <c r="F104" s="214"/>
      <c r="G104" s="222"/>
      <c r="H104" s="221"/>
      <c r="I104" s="213"/>
      <c r="J104" s="213"/>
      <c r="K104" s="215"/>
      <c r="L104" s="216"/>
      <c r="M104" s="217"/>
      <c r="O104" s="241" t="str">
        <f>IF(Q104 = "", "", COUNT(Q$4:$Q104))</f>
        <v/>
      </c>
      <c r="P104" s="241" t="str">
        <f t="shared" si="12"/>
        <v/>
      </c>
      <c r="Q104" s="242" t="str">
        <f t="shared" si="13"/>
        <v/>
      </c>
      <c r="R104" s="243" t="str">
        <f t="shared" si="16"/>
        <v/>
      </c>
      <c r="S104" s="244" t="str">
        <f t="shared" si="14"/>
        <v/>
      </c>
      <c r="T104" s="245" t="str">
        <f t="shared" si="17"/>
        <v/>
      </c>
      <c r="U104" s="246" t="str">
        <f t="shared" si="15"/>
        <v/>
      </c>
      <c r="V104" s="8"/>
      <c r="AR104" t="str">
        <f t="shared" si="19"/>
        <v/>
      </c>
      <c r="AS104" t="str">
        <f t="shared" si="18"/>
        <v/>
      </c>
    </row>
    <row r="105" spans="1:45" x14ac:dyDescent="0.3">
      <c r="A105" s="231"/>
      <c r="B105" s="235"/>
      <c r="C105" s="214"/>
      <c r="D105" s="214"/>
      <c r="E105" s="214"/>
      <c r="F105" s="214"/>
      <c r="G105" s="222"/>
      <c r="H105" s="221"/>
      <c r="I105" s="213"/>
      <c r="J105" s="213"/>
      <c r="K105" s="215"/>
      <c r="L105" s="216"/>
      <c r="M105" s="217"/>
      <c r="O105" s="241" t="str">
        <f>IF(Q105 = "", "", COUNT(Q$4:$Q105))</f>
        <v/>
      </c>
      <c r="P105" s="241" t="str">
        <f t="shared" si="12"/>
        <v/>
      </c>
      <c r="Q105" s="242" t="str">
        <f t="shared" si="13"/>
        <v/>
      </c>
      <c r="R105" s="243" t="str">
        <f t="shared" si="16"/>
        <v/>
      </c>
      <c r="S105" s="244" t="str">
        <f t="shared" si="14"/>
        <v/>
      </c>
      <c r="T105" s="245" t="str">
        <f t="shared" si="17"/>
        <v/>
      </c>
      <c r="U105" s="246" t="str">
        <f t="shared" si="15"/>
        <v/>
      </c>
      <c r="V105" s="8"/>
      <c r="AR105" t="str">
        <f t="shared" si="19"/>
        <v/>
      </c>
      <c r="AS105" t="str">
        <f t="shared" si="18"/>
        <v/>
      </c>
    </row>
    <row r="106" spans="1:45" x14ac:dyDescent="0.3">
      <c r="A106" s="231"/>
      <c r="B106" s="235"/>
      <c r="C106" s="214"/>
      <c r="D106" s="214"/>
      <c r="E106" s="214"/>
      <c r="F106" s="214"/>
      <c r="G106" s="222"/>
      <c r="H106" s="221"/>
      <c r="I106" s="213"/>
      <c r="J106" s="213"/>
      <c r="K106" s="215"/>
      <c r="L106" s="216"/>
      <c r="M106" s="217"/>
      <c r="O106" s="241" t="str">
        <f>IF(Q106 = "", "", COUNT(Q$4:$Q106))</f>
        <v/>
      </c>
      <c r="P106" s="241" t="str">
        <f t="shared" si="12"/>
        <v/>
      </c>
      <c r="Q106" s="242" t="str">
        <f t="shared" si="13"/>
        <v/>
      </c>
      <c r="R106" s="243" t="str">
        <f t="shared" si="16"/>
        <v/>
      </c>
      <c r="S106" s="244" t="str">
        <f t="shared" si="14"/>
        <v/>
      </c>
      <c r="T106" s="245" t="str">
        <f t="shared" si="17"/>
        <v/>
      </c>
      <c r="U106" s="246" t="str">
        <f t="shared" si="15"/>
        <v/>
      </c>
      <c r="V106" s="8"/>
      <c r="AR106" t="str">
        <f t="shared" si="19"/>
        <v/>
      </c>
      <c r="AS106" t="str">
        <f t="shared" si="18"/>
        <v/>
      </c>
    </row>
    <row r="107" spans="1:45" x14ac:dyDescent="0.3">
      <c r="A107" s="231"/>
      <c r="B107" s="235"/>
      <c r="C107" s="214"/>
      <c r="D107" s="214"/>
      <c r="E107" s="214"/>
      <c r="F107" s="214"/>
      <c r="G107" s="222"/>
      <c r="H107" s="221"/>
      <c r="I107" s="213"/>
      <c r="J107" s="213"/>
      <c r="K107" s="215"/>
      <c r="L107" s="216"/>
      <c r="M107" s="217"/>
      <c r="O107" s="241" t="str">
        <f>IF(Q107 = "", "", COUNT(Q$4:$Q107))</f>
        <v/>
      </c>
      <c r="P107" s="241" t="str">
        <f t="shared" si="12"/>
        <v/>
      </c>
      <c r="Q107" s="242" t="str">
        <f t="shared" si="13"/>
        <v/>
      </c>
      <c r="R107" s="243" t="str">
        <f t="shared" si="16"/>
        <v/>
      </c>
      <c r="S107" s="244" t="str">
        <f t="shared" si="14"/>
        <v/>
      </c>
      <c r="T107" s="245" t="str">
        <f t="shared" si="17"/>
        <v/>
      </c>
      <c r="U107" s="246" t="str">
        <f t="shared" si="15"/>
        <v/>
      </c>
      <c r="V107" s="8"/>
      <c r="AR107" t="str">
        <f t="shared" si="19"/>
        <v/>
      </c>
      <c r="AS107" t="str">
        <f t="shared" si="18"/>
        <v/>
      </c>
    </row>
    <row r="108" spans="1:45" x14ac:dyDescent="0.3">
      <c r="A108" s="231"/>
      <c r="B108" s="235"/>
      <c r="C108" s="214"/>
      <c r="D108" s="214"/>
      <c r="E108" s="214"/>
      <c r="F108" s="214"/>
      <c r="G108" s="222"/>
      <c r="H108" s="221"/>
      <c r="I108" s="213"/>
      <c r="J108" s="213"/>
      <c r="K108" s="215"/>
      <c r="L108" s="216"/>
      <c r="M108" s="217"/>
      <c r="O108" s="241" t="str">
        <f>IF(Q108 = "", "", COUNT(Q$4:$Q108))</f>
        <v/>
      </c>
      <c r="P108" s="241" t="str">
        <f t="shared" si="12"/>
        <v/>
      </c>
      <c r="Q108" s="242" t="str">
        <f t="shared" si="13"/>
        <v/>
      </c>
      <c r="R108" s="243" t="str">
        <f t="shared" si="16"/>
        <v/>
      </c>
      <c r="S108" s="244" t="str">
        <f t="shared" si="14"/>
        <v/>
      </c>
      <c r="T108" s="245" t="str">
        <f t="shared" si="17"/>
        <v/>
      </c>
      <c r="U108" s="246" t="str">
        <f t="shared" si="15"/>
        <v/>
      </c>
      <c r="V108" s="8"/>
      <c r="AR108" t="str">
        <f t="shared" si="19"/>
        <v/>
      </c>
      <c r="AS108" t="str">
        <f t="shared" si="18"/>
        <v/>
      </c>
    </row>
    <row r="109" spans="1:45" x14ac:dyDescent="0.3">
      <c r="A109" s="231"/>
      <c r="B109" s="235"/>
      <c r="C109" s="214"/>
      <c r="D109" s="214"/>
      <c r="E109" s="214"/>
      <c r="F109" s="214"/>
      <c r="G109" s="222"/>
      <c r="H109" s="221"/>
      <c r="I109" s="213"/>
      <c r="J109" s="213"/>
      <c r="K109" s="215"/>
      <c r="L109" s="216"/>
      <c r="M109" s="217"/>
      <c r="O109" s="241" t="str">
        <f>IF(Q109 = "", "", COUNT(Q$4:$Q109))</f>
        <v/>
      </c>
      <c r="P109" s="241" t="str">
        <f t="shared" si="12"/>
        <v/>
      </c>
      <c r="Q109" s="242" t="str">
        <f t="shared" si="13"/>
        <v/>
      </c>
      <c r="R109" s="243" t="str">
        <f t="shared" si="16"/>
        <v/>
      </c>
      <c r="S109" s="244" t="str">
        <f t="shared" si="14"/>
        <v/>
      </c>
      <c r="T109" s="245" t="str">
        <f t="shared" si="17"/>
        <v/>
      </c>
      <c r="U109" s="246" t="str">
        <f t="shared" si="15"/>
        <v/>
      </c>
      <c r="V109" s="8"/>
      <c r="AR109" t="str">
        <f t="shared" si="19"/>
        <v/>
      </c>
      <c r="AS109" t="str">
        <f t="shared" si="18"/>
        <v/>
      </c>
    </row>
    <row r="110" spans="1:45" x14ac:dyDescent="0.3">
      <c r="A110" s="231"/>
      <c r="B110" s="235"/>
      <c r="C110" s="214"/>
      <c r="D110" s="214"/>
      <c r="E110" s="214"/>
      <c r="F110" s="214"/>
      <c r="G110" s="222"/>
      <c r="H110" s="221"/>
      <c r="I110" s="213"/>
      <c r="J110" s="213"/>
      <c r="K110" s="215"/>
      <c r="L110" s="216"/>
      <c r="M110" s="217"/>
      <c r="O110" s="241" t="str">
        <f>IF(Q110 = "", "", COUNT(Q$4:$Q110))</f>
        <v/>
      </c>
      <c r="P110" s="241" t="str">
        <f t="shared" si="12"/>
        <v/>
      </c>
      <c r="Q110" s="242" t="str">
        <f t="shared" si="13"/>
        <v/>
      </c>
      <c r="R110" s="243" t="str">
        <f t="shared" si="16"/>
        <v/>
      </c>
      <c r="S110" s="244" t="str">
        <f t="shared" si="14"/>
        <v/>
      </c>
      <c r="T110" s="245" t="str">
        <f t="shared" si="17"/>
        <v/>
      </c>
      <c r="U110" s="246" t="str">
        <f t="shared" si="15"/>
        <v/>
      </c>
      <c r="V110" s="8"/>
      <c r="AR110" t="str">
        <f t="shared" si="19"/>
        <v/>
      </c>
      <c r="AS110" t="str">
        <f t="shared" si="18"/>
        <v/>
      </c>
    </row>
    <row r="111" spans="1:45" x14ac:dyDescent="0.3">
      <c r="A111" s="231"/>
      <c r="B111" s="235"/>
      <c r="C111" s="214"/>
      <c r="D111" s="214"/>
      <c r="E111" s="214"/>
      <c r="F111" s="214"/>
      <c r="G111" s="222"/>
      <c r="H111" s="221"/>
      <c r="I111" s="213"/>
      <c r="J111" s="213"/>
      <c r="K111" s="215"/>
      <c r="L111" s="216"/>
      <c r="M111" s="217"/>
      <c r="O111" s="241" t="str">
        <f>IF(Q111 = "", "", COUNT(Q$4:$Q111))</f>
        <v/>
      </c>
      <c r="P111" s="241" t="str">
        <f t="shared" si="12"/>
        <v/>
      </c>
      <c r="Q111" s="242" t="str">
        <f t="shared" si="13"/>
        <v/>
      </c>
      <c r="R111" s="243" t="str">
        <f t="shared" si="16"/>
        <v/>
      </c>
      <c r="S111" s="244" t="str">
        <f t="shared" si="14"/>
        <v/>
      </c>
      <c r="T111" s="245" t="str">
        <f t="shared" si="17"/>
        <v/>
      </c>
      <c r="U111" s="246" t="str">
        <f t="shared" si="15"/>
        <v/>
      </c>
      <c r="V111" s="8"/>
      <c r="AR111" t="str">
        <f t="shared" si="19"/>
        <v/>
      </c>
      <c r="AS111" t="str">
        <f t="shared" si="18"/>
        <v/>
      </c>
    </row>
    <row r="112" spans="1:45" x14ac:dyDescent="0.3">
      <c r="A112" s="231"/>
      <c r="B112" s="235"/>
      <c r="C112" s="214"/>
      <c r="D112" s="214"/>
      <c r="E112" s="214"/>
      <c r="F112" s="214"/>
      <c r="G112" s="222"/>
      <c r="H112" s="221"/>
      <c r="I112" s="213"/>
      <c r="J112" s="213"/>
      <c r="K112" s="215"/>
      <c r="L112" s="216"/>
      <c r="M112" s="217"/>
      <c r="O112" s="241" t="str">
        <f>IF(Q112 = "", "", COUNT(Q$4:$Q112))</f>
        <v/>
      </c>
      <c r="P112" s="241" t="str">
        <f t="shared" si="12"/>
        <v/>
      </c>
      <c r="Q112" s="242" t="str">
        <f t="shared" si="13"/>
        <v/>
      </c>
      <c r="R112" s="243" t="str">
        <f t="shared" si="16"/>
        <v/>
      </c>
      <c r="S112" s="244" t="str">
        <f t="shared" si="14"/>
        <v/>
      </c>
      <c r="T112" s="245" t="str">
        <f t="shared" si="17"/>
        <v/>
      </c>
      <c r="U112" s="246" t="str">
        <f t="shared" si="15"/>
        <v/>
      </c>
      <c r="V112" s="8"/>
      <c r="AR112" t="str">
        <f t="shared" si="19"/>
        <v/>
      </c>
      <c r="AS112" t="str">
        <f t="shared" si="18"/>
        <v/>
      </c>
    </row>
    <row r="113" spans="1:45" x14ac:dyDescent="0.3">
      <c r="A113" s="231"/>
      <c r="B113" s="235"/>
      <c r="C113" s="214"/>
      <c r="D113" s="214"/>
      <c r="E113" s="214"/>
      <c r="F113" s="214"/>
      <c r="G113" s="222"/>
      <c r="H113" s="221"/>
      <c r="I113" s="213"/>
      <c r="J113" s="213"/>
      <c r="K113" s="215"/>
      <c r="L113" s="216"/>
      <c r="M113" s="217"/>
      <c r="O113" s="241" t="str">
        <f>IF(Q113 = "", "", COUNT(Q$4:$Q113))</f>
        <v/>
      </c>
      <c r="P113" s="241" t="str">
        <f t="shared" si="12"/>
        <v/>
      </c>
      <c r="Q113" s="242" t="str">
        <f t="shared" si="13"/>
        <v/>
      </c>
      <c r="R113" s="243" t="str">
        <f t="shared" si="16"/>
        <v/>
      </c>
      <c r="S113" s="244" t="str">
        <f t="shared" si="14"/>
        <v/>
      </c>
      <c r="T113" s="245" t="str">
        <f t="shared" si="17"/>
        <v/>
      </c>
      <c r="U113" s="246" t="str">
        <f t="shared" si="15"/>
        <v/>
      </c>
      <c r="V113" s="8"/>
      <c r="AR113" t="str">
        <f t="shared" si="19"/>
        <v/>
      </c>
      <c r="AS113" t="str">
        <f t="shared" si="18"/>
        <v/>
      </c>
    </row>
    <row r="114" spans="1:45" x14ac:dyDescent="0.3">
      <c r="A114" s="231"/>
      <c r="B114" s="235"/>
      <c r="C114" s="214"/>
      <c r="D114" s="214"/>
      <c r="E114" s="214"/>
      <c r="F114" s="214"/>
      <c r="G114" s="222"/>
      <c r="H114" s="221"/>
      <c r="I114" s="213"/>
      <c r="J114" s="213"/>
      <c r="K114" s="215"/>
      <c r="L114" s="216"/>
      <c r="M114" s="217"/>
      <c r="O114" s="241" t="str">
        <f>IF(Q114 = "", "", COUNT(Q$4:$Q114))</f>
        <v/>
      </c>
      <c r="P114" s="241" t="str">
        <f t="shared" si="12"/>
        <v/>
      </c>
      <c r="Q114" s="242" t="str">
        <f t="shared" si="13"/>
        <v/>
      </c>
      <c r="R114" s="243" t="str">
        <f t="shared" si="16"/>
        <v/>
      </c>
      <c r="S114" s="244" t="str">
        <f t="shared" si="14"/>
        <v/>
      </c>
      <c r="T114" s="245" t="str">
        <f t="shared" si="17"/>
        <v/>
      </c>
      <c r="U114" s="246" t="str">
        <f t="shared" si="15"/>
        <v/>
      </c>
      <c r="V114" s="8"/>
      <c r="AR114" t="str">
        <f t="shared" si="19"/>
        <v/>
      </c>
      <c r="AS114" t="str">
        <f t="shared" si="18"/>
        <v/>
      </c>
    </row>
    <row r="115" spans="1:45" x14ac:dyDescent="0.3">
      <c r="A115" s="231"/>
      <c r="B115" s="235"/>
      <c r="C115" s="214"/>
      <c r="D115" s="214"/>
      <c r="E115" s="214"/>
      <c r="F115" s="214"/>
      <c r="G115" s="222"/>
      <c r="H115" s="221"/>
      <c r="I115" s="213"/>
      <c r="J115" s="213"/>
      <c r="K115" s="215"/>
      <c r="L115" s="216"/>
      <c r="M115" s="217"/>
      <c r="O115" s="241" t="str">
        <f>IF(Q115 = "", "", COUNT(Q$4:$Q115))</f>
        <v/>
      </c>
      <c r="P115" s="241" t="str">
        <f t="shared" si="12"/>
        <v/>
      </c>
      <c r="Q115" s="242" t="str">
        <f t="shared" si="13"/>
        <v/>
      </c>
      <c r="R115" s="243" t="str">
        <f t="shared" si="16"/>
        <v/>
      </c>
      <c r="S115" s="244" t="str">
        <f t="shared" si="14"/>
        <v/>
      </c>
      <c r="T115" s="245" t="str">
        <f t="shared" si="17"/>
        <v/>
      </c>
      <c r="U115" s="246" t="str">
        <f t="shared" si="15"/>
        <v/>
      </c>
      <c r="V115" s="8"/>
      <c r="AR115" t="str">
        <f t="shared" si="19"/>
        <v/>
      </c>
      <c r="AS115" t="str">
        <f t="shared" si="18"/>
        <v/>
      </c>
    </row>
    <row r="116" spans="1:45" x14ac:dyDescent="0.3">
      <c r="A116" s="231"/>
      <c r="B116" s="235"/>
      <c r="C116" s="214"/>
      <c r="D116" s="214"/>
      <c r="E116" s="214"/>
      <c r="F116" s="214"/>
      <c r="G116" s="222"/>
      <c r="H116" s="221"/>
      <c r="I116" s="213"/>
      <c r="J116" s="213"/>
      <c r="K116" s="215"/>
      <c r="L116" s="216"/>
      <c r="M116" s="217"/>
      <c r="O116" s="241" t="str">
        <f>IF(Q116 = "", "", COUNT(Q$4:$Q116))</f>
        <v/>
      </c>
      <c r="P116" s="241" t="str">
        <f t="shared" si="12"/>
        <v/>
      </c>
      <c r="Q116" s="242" t="str">
        <f t="shared" si="13"/>
        <v/>
      </c>
      <c r="R116" s="243" t="str">
        <f t="shared" si="16"/>
        <v/>
      </c>
      <c r="S116" s="244" t="str">
        <f t="shared" si="14"/>
        <v/>
      </c>
      <c r="T116" s="245" t="str">
        <f t="shared" si="17"/>
        <v/>
      </c>
      <c r="U116" s="246" t="str">
        <f t="shared" si="15"/>
        <v/>
      </c>
      <c r="V116" s="8"/>
      <c r="AR116" t="str">
        <f t="shared" si="19"/>
        <v/>
      </c>
      <c r="AS116" t="str">
        <f t="shared" si="18"/>
        <v/>
      </c>
    </row>
    <row r="117" spans="1:45" x14ac:dyDescent="0.3">
      <c r="A117" s="231"/>
      <c r="B117" s="235"/>
      <c r="C117" s="214"/>
      <c r="D117" s="214"/>
      <c r="E117" s="214"/>
      <c r="F117" s="214"/>
      <c r="G117" s="222"/>
      <c r="H117" s="221"/>
      <c r="I117" s="213"/>
      <c r="J117" s="213"/>
      <c r="K117" s="215"/>
      <c r="L117" s="216"/>
      <c r="M117" s="217"/>
      <c r="O117" s="241" t="str">
        <f>IF(Q117 = "", "", COUNT(Q$4:$Q117))</f>
        <v/>
      </c>
      <c r="P117" s="241" t="str">
        <f t="shared" si="12"/>
        <v/>
      </c>
      <c r="Q117" s="242" t="str">
        <f t="shared" si="13"/>
        <v/>
      </c>
      <c r="R117" s="243" t="str">
        <f t="shared" si="16"/>
        <v/>
      </c>
      <c r="S117" s="244" t="str">
        <f t="shared" si="14"/>
        <v/>
      </c>
      <c r="T117" s="245" t="str">
        <f t="shared" si="17"/>
        <v/>
      </c>
      <c r="U117" s="246" t="str">
        <f t="shared" si="15"/>
        <v/>
      </c>
      <c r="V117" s="8"/>
      <c r="AR117" t="str">
        <f t="shared" si="19"/>
        <v/>
      </c>
      <c r="AS117" t="str">
        <f t="shared" si="18"/>
        <v/>
      </c>
    </row>
    <row r="118" spans="1:45" x14ac:dyDescent="0.3">
      <c r="A118" s="231"/>
      <c r="B118" s="235"/>
      <c r="C118" s="214"/>
      <c r="D118" s="214"/>
      <c r="E118" s="214"/>
      <c r="F118" s="214"/>
      <c r="G118" s="222"/>
      <c r="H118" s="221"/>
      <c r="I118" s="213"/>
      <c r="J118" s="213"/>
      <c r="K118" s="215"/>
      <c r="L118" s="216"/>
      <c r="M118" s="217"/>
      <c r="O118" s="241" t="str">
        <f>IF(Q118 = "", "", COUNT(Q$4:$Q118))</f>
        <v/>
      </c>
      <c r="P118" s="241" t="str">
        <f t="shared" si="12"/>
        <v/>
      </c>
      <c r="Q118" s="242" t="str">
        <f t="shared" si="13"/>
        <v/>
      </c>
      <c r="R118" s="243" t="str">
        <f t="shared" si="16"/>
        <v/>
      </c>
      <c r="S118" s="244" t="str">
        <f t="shared" si="14"/>
        <v/>
      </c>
      <c r="T118" s="245" t="str">
        <f t="shared" si="17"/>
        <v/>
      </c>
      <c r="U118" s="246" t="str">
        <f t="shared" si="15"/>
        <v/>
      </c>
      <c r="V118" s="8"/>
      <c r="AR118" t="str">
        <f t="shared" si="19"/>
        <v/>
      </c>
      <c r="AS118" t="str">
        <f t="shared" si="18"/>
        <v/>
      </c>
    </row>
    <row r="119" spans="1:45" x14ac:dyDescent="0.3">
      <c r="A119" s="231"/>
      <c r="B119" s="235"/>
      <c r="C119" s="214"/>
      <c r="D119" s="214"/>
      <c r="E119" s="214"/>
      <c r="F119" s="214"/>
      <c r="G119" s="222"/>
      <c r="H119" s="221"/>
      <c r="I119" s="213"/>
      <c r="J119" s="213"/>
      <c r="K119" s="215"/>
      <c r="L119" s="216"/>
      <c r="M119" s="217"/>
      <c r="O119" s="241" t="str">
        <f>IF(Q119 = "", "", COUNT(Q$4:$Q119))</f>
        <v/>
      </c>
      <c r="P119" s="241" t="str">
        <f t="shared" si="12"/>
        <v/>
      </c>
      <c r="Q119" s="242" t="str">
        <f t="shared" si="13"/>
        <v/>
      </c>
      <c r="R119" s="243" t="str">
        <f t="shared" si="16"/>
        <v/>
      </c>
      <c r="S119" s="244" t="str">
        <f t="shared" si="14"/>
        <v/>
      </c>
      <c r="T119" s="245" t="str">
        <f t="shared" si="17"/>
        <v/>
      </c>
      <c r="U119" s="246" t="str">
        <f t="shared" si="15"/>
        <v/>
      </c>
      <c r="V119" s="8"/>
      <c r="AR119" t="str">
        <f t="shared" si="19"/>
        <v/>
      </c>
      <c r="AS119" t="str">
        <f t="shared" si="18"/>
        <v/>
      </c>
    </row>
    <row r="120" spans="1:45" x14ac:dyDescent="0.3">
      <c r="A120" s="231"/>
      <c r="B120" s="235"/>
      <c r="C120" s="214"/>
      <c r="D120" s="214"/>
      <c r="E120" s="214"/>
      <c r="F120" s="214"/>
      <c r="G120" s="222"/>
      <c r="H120" s="221"/>
      <c r="I120" s="213"/>
      <c r="J120" s="213"/>
      <c r="K120" s="215"/>
      <c r="L120" s="216"/>
      <c r="M120" s="217"/>
      <c r="O120" s="241" t="str">
        <f>IF(Q120 = "", "", COUNT(Q$4:$Q120))</f>
        <v/>
      </c>
      <c r="P120" s="241" t="str">
        <f t="shared" si="12"/>
        <v/>
      </c>
      <c r="Q120" s="242" t="str">
        <f t="shared" si="13"/>
        <v/>
      </c>
      <c r="R120" s="243" t="str">
        <f t="shared" si="16"/>
        <v/>
      </c>
      <c r="S120" s="244" t="str">
        <f t="shared" si="14"/>
        <v/>
      </c>
      <c r="T120" s="245" t="str">
        <f t="shared" si="17"/>
        <v/>
      </c>
      <c r="U120" s="246" t="str">
        <f t="shared" si="15"/>
        <v/>
      </c>
      <c r="V120" s="8"/>
      <c r="AR120" t="str">
        <f t="shared" si="19"/>
        <v/>
      </c>
      <c r="AS120" t="str">
        <f t="shared" si="18"/>
        <v/>
      </c>
    </row>
    <row r="121" spans="1:45" x14ac:dyDescent="0.3">
      <c r="A121" s="231"/>
      <c r="B121" s="235"/>
      <c r="C121" s="214"/>
      <c r="D121" s="214"/>
      <c r="E121" s="214"/>
      <c r="F121" s="214"/>
      <c r="G121" s="222"/>
      <c r="H121" s="221"/>
      <c r="I121" s="213"/>
      <c r="J121" s="213"/>
      <c r="K121" s="215"/>
      <c r="L121" s="216"/>
      <c r="M121" s="217"/>
      <c r="O121" s="241" t="str">
        <f>IF(Q121 = "", "", COUNT(Q$4:$Q121))</f>
        <v/>
      </c>
      <c r="P121" s="241" t="str">
        <f t="shared" si="12"/>
        <v/>
      </c>
      <c r="Q121" s="242" t="str">
        <f t="shared" si="13"/>
        <v/>
      </c>
      <c r="R121" s="243" t="str">
        <f t="shared" si="16"/>
        <v/>
      </c>
      <c r="S121" s="244" t="str">
        <f t="shared" si="14"/>
        <v/>
      </c>
      <c r="T121" s="245" t="str">
        <f t="shared" si="17"/>
        <v/>
      </c>
      <c r="U121" s="246" t="str">
        <f t="shared" si="15"/>
        <v/>
      </c>
      <c r="V121" s="8"/>
      <c r="AR121" t="str">
        <f t="shared" si="19"/>
        <v/>
      </c>
      <c r="AS121" t="str">
        <f t="shared" si="18"/>
        <v/>
      </c>
    </row>
    <row r="122" spans="1:45" x14ac:dyDescent="0.3">
      <c r="A122" s="231"/>
      <c r="B122" s="235"/>
      <c r="C122" s="214"/>
      <c r="D122" s="214"/>
      <c r="E122" s="214"/>
      <c r="F122" s="214"/>
      <c r="G122" s="222"/>
      <c r="H122" s="221"/>
      <c r="I122" s="213"/>
      <c r="J122" s="213"/>
      <c r="K122" s="215"/>
      <c r="L122" s="216"/>
      <c r="M122" s="217"/>
      <c r="O122" s="241" t="str">
        <f>IF(Q122 = "", "", COUNT(Q$4:$Q122))</f>
        <v/>
      </c>
      <c r="P122" s="241" t="str">
        <f t="shared" si="12"/>
        <v/>
      </c>
      <c r="Q122" s="242" t="str">
        <f t="shared" si="13"/>
        <v/>
      </c>
      <c r="R122" s="243" t="str">
        <f t="shared" si="16"/>
        <v/>
      </c>
      <c r="S122" s="244" t="str">
        <f t="shared" si="14"/>
        <v/>
      </c>
      <c r="T122" s="245" t="str">
        <f t="shared" si="17"/>
        <v/>
      </c>
      <c r="U122" s="246" t="str">
        <f t="shared" si="15"/>
        <v/>
      </c>
      <c r="V122" s="8"/>
      <c r="AR122" t="str">
        <f t="shared" si="19"/>
        <v/>
      </c>
      <c r="AS122" t="str">
        <f t="shared" si="18"/>
        <v/>
      </c>
    </row>
    <row r="123" spans="1:45" x14ac:dyDescent="0.3">
      <c r="A123" s="231"/>
      <c r="B123" s="235"/>
      <c r="C123" s="214"/>
      <c r="D123" s="214"/>
      <c r="E123" s="214"/>
      <c r="F123" s="214"/>
      <c r="G123" s="222"/>
      <c r="H123" s="221"/>
      <c r="I123" s="213"/>
      <c r="J123" s="213"/>
      <c r="K123" s="215"/>
      <c r="L123" s="216"/>
      <c r="M123" s="217"/>
      <c r="O123" s="241" t="str">
        <f>IF(Q123 = "", "", COUNT(Q$4:$Q123))</f>
        <v/>
      </c>
      <c r="P123" s="241" t="str">
        <f t="shared" si="12"/>
        <v/>
      </c>
      <c r="Q123" s="242" t="str">
        <f t="shared" si="13"/>
        <v/>
      </c>
      <c r="R123" s="243" t="str">
        <f t="shared" si="16"/>
        <v/>
      </c>
      <c r="S123" s="244" t="str">
        <f t="shared" si="14"/>
        <v/>
      </c>
      <c r="T123" s="245" t="str">
        <f t="shared" si="17"/>
        <v/>
      </c>
      <c r="U123" s="246" t="str">
        <f t="shared" si="15"/>
        <v/>
      </c>
      <c r="V123" s="8"/>
      <c r="AR123" t="str">
        <f t="shared" si="19"/>
        <v/>
      </c>
      <c r="AS123" t="str">
        <f t="shared" si="18"/>
        <v/>
      </c>
    </row>
    <row r="124" spans="1:45" x14ac:dyDescent="0.3">
      <c r="A124" s="231"/>
      <c r="B124" s="235"/>
      <c r="C124" s="214"/>
      <c r="D124" s="214"/>
      <c r="E124" s="214"/>
      <c r="F124" s="214"/>
      <c r="G124" s="222"/>
      <c r="H124" s="221"/>
      <c r="I124" s="213"/>
      <c r="J124" s="213"/>
      <c r="K124" s="215"/>
      <c r="L124" s="216"/>
      <c r="M124" s="217"/>
      <c r="O124" s="241" t="str">
        <f>IF(Q124 = "", "", COUNT(Q$4:$Q124))</f>
        <v/>
      </c>
      <c r="P124" s="241" t="str">
        <f t="shared" si="12"/>
        <v/>
      </c>
      <c r="Q124" s="242" t="str">
        <f t="shared" si="13"/>
        <v/>
      </c>
      <c r="R124" s="243" t="str">
        <f t="shared" si="16"/>
        <v/>
      </c>
      <c r="S124" s="244" t="str">
        <f t="shared" si="14"/>
        <v/>
      </c>
      <c r="T124" s="245" t="str">
        <f t="shared" si="17"/>
        <v/>
      </c>
      <c r="U124" s="246" t="str">
        <f t="shared" si="15"/>
        <v/>
      </c>
      <c r="V124" s="8"/>
      <c r="AR124" t="str">
        <f t="shared" si="19"/>
        <v/>
      </c>
      <c r="AS124" t="str">
        <f t="shared" si="18"/>
        <v/>
      </c>
    </row>
    <row r="125" spans="1:45" x14ac:dyDescent="0.3">
      <c r="A125" s="231"/>
      <c r="B125" s="235"/>
      <c r="C125" s="214"/>
      <c r="D125" s="214"/>
      <c r="E125" s="214"/>
      <c r="F125" s="214"/>
      <c r="G125" s="222"/>
      <c r="H125" s="221"/>
      <c r="I125" s="213"/>
      <c r="J125" s="213"/>
      <c r="K125" s="215"/>
      <c r="L125" s="216"/>
      <c r="M125" s="217"/>
      <c r="O125" s="241" t="str">
        <f>IF(Q125 = "", "", COUNT(Q$4:$Q125))</f>
        <v/>
      </c>
      <c r="P125" s="241" t="str">
        <f t="shared" si="12"/>
        <v/>
      </c>
      <c r="Q125" s="242" t="str">
        <f t="shared" si="13"/>
        <v/>
      </c>
      <c r="R125" s="243" t="str">
        <f t="shared" si="16"/>
        <v/>
      </c>
      <c r="S125" s="244" t="str">
        <f t="shared" si="14"/>
        <v/>
      </c>
      <c r="T125" s="245" t="str">
        <f t="shared" si="17"/>
        <v/>
      </c>
      <c r="U125" s="246" t="str">
        <f t="shared" si="15"/>
        <v/>
      </c>
      <c r="V125" s="8"/>
      <c r="AR125" t="str">
        <f t="shared" si="19"/>
        <v/>
      </c>
      <c r="AS125" t="str">
        <f t="shared" si="18"/>
        <v/>
      </c>
    </row>
    <row r="126" spans="1:45" x14ac:dyDescent="0.3">
      <c r="A126" s="231"/>
      <c r="B126" s="235"/>
      <c r="C126" s="214"/>
      <c r="D126" s="214"/>
      <c r="E126" s="214"/>
      <c r="F126" s="214"/>
      <c r="G126" s="222"/>
      <c r="H126" s="221"/>
      <c r="I126" s="213"/>
      <c r="J126" s="213"/>
      <c r="K126" s="215"/>
      <c r="L126" s="216"/>
      <c r="M126" s="217"/>
      <c r="O126" s="241" t="str">
        <f>IF(Q126 = "", "", COUNT(Q$4:$Q126))</f>
        <v/>
      </c>
      <c r="P126" s="241" t="str">
        <f t="shared" si="12"/>
        <v/>
      </c>
      <c r="Q126" s="242" t="str">
        <f t="shared" si="13"/>
        <v/>
      </c>
      <c r="R126" s="243" t="str">
        <f t="shared" si="16"/>
        <v/>
      </c>
      <c r="S126" s="244" t="str">
        <f t="shared" si="14"/>
        <v/>
      </c>
      <c r="T126" s="245" t="str">
        <f t="shared" si="17"/>
        <v/>
      </c>
      <c r="U126" s="246" t="str">
        <f t="shared" si="15"/>
        <v/>
      </c>
      <c r="V126" s="8"/>
      <c r="AR126" t="str">
        <f t="shared" si="19"/>
        <v/>
      </c>
      <c r="AS126" t="str">
        <f t="shared" si="18"/>
        <v/>
      </c>
    </row>
    <row r="127" spans="1:45" x14ac:dyDescent="0.3">
      <c r="A127" s="231"/>
      <c r="B127" s="235"/>
      <c r="C127" s="214"/>
      <c r="D127" s="214"/>
      <c r="E127" s="214"/>
      <c r="F127" s="214"/>
      <c r="G127" s="222"/>
      <c r="H127" s="221"/>
      <c r="I127" s="213"/>
      <c r="J127" s="213"/>
      <c r="K127" s="215"/>
      <c r="L127" s="216"/>
      <c r="M127" s="217"/>
      <c r="O127" s="241" t="str">
        <f>IF(Q127 = "", "", COUNT(Q$4:$Q127))</f>
        <v/>
      </c>
      <c r="P127" s="241" t="str">
        <f t="shared" si="12"/>
        <v/>
      </c>
      <c r="Q127" s="242" t="str">
        <f t="shared" si="13"/>
        <v/>
      </c>
      <c r="R127" s="243" t="str">
        <f t="shared" si="16"/>
        <v/>
      </c>
      <c r="S127" s="244" t="str">
        <f t="shared" si="14"/>
        <v/>
      </c>
      <c r="T127" s="245" t="str">
        <f t="shared" si="17"/>
        <v/>
      </c>
      <c r="U127" s="246" t="str">
        <f t="shared" si="15"/>
        <v/>
      </c>
      <c r="V127" s="8"/>
      <c r="AR127" t="str">
        <f t="shared" si="19"/>
        <v/>
      </c>
      <c r="AS127" t="str">
        <f t="shared" si="18"/>
        <v/>
      </c>
    </row>
    <row r="128" spans="1:45" x14ac:dyDescent="0.3">
      <c r="A128" s="231"/>
      <c r="B128" s="235"/>
      <c r="C128" s="214"/>
      <c r="D128" s="214"/>
      <c r="E128" s="214"/>
      <c r="F128" s="214"/>
      <c r="G128" s="222"/>
      <c r="H128" s="221"/>
      <c r="I128" s="213"/>
      <c r="J128" s="213"/>
      <c r="K128" s="215"/>
      <c r="L128" s="216"/>
      <c r="M128" s="217"/>
      <c r="O128" s="241" t="str">
        <f>IF(Q128 = "", "", COUNT(Q$4:$Q128))</f>
        <v/>
      </c>
      <c r="P128" s="241" t="str">
        <f t="shared" si="12"/>
        <v/>
      </c>
      <c r="Q128" s="242" t="str">
        <f t="shared" si="13"/>
        <v/>
      </c>
      <c r="R128" s="243" t="str">
        <f t="shared" si="16"/>
        <v/>
      </c>
      <c r="S128" s="244" t="str">
        <f t="shared" si="14"/>
        <v/>
      </c>
      <c r="T128" s="245" t="str">
        <f t="shared" si="17"/>
        <v/>
      </c>
      <c r="U128" s="246" t="str">
        <f t="shared" si="15"/>
        <v/>
      </c>
      <c r="V128" s="8"/>
      <c r="AR128" t="str">
        <f t="shared" si="19"/>
        <v/>
      </c>
      <c r="AS128" t="str">
        <f t="shared" si="18"/>
        <v/>
      </c>
    </row>
    <row r="129" spans="1:45" x14ac:dyDescent="0.3">
      <c r="A129" s="231"/>
      <c r="B129" s="235"/>
      <c r="C129" s="214"/>
      <c r="D129" s="214"/>
      <c r="E129" s="214"/>
      <c r="F129" s="214"/>
      <c r="G129" s="222"/>
      <c r="H129" s="221"/>
      <c r="I129" s="213"/>
      <c r="J129" s="213"/>
      <c r="K129" s="215"/>
      <c r="L129" s="216"/>
      <c r="M129" s="217"/>
      <c r="O129" s="241" t="str">
        <f>IF(Q129 = "", "", COUNT(Q$4:$Q129))</f>
        <v/>
      </c>
      <c r="P129" s="241" t="str">
        <f t="shared" si="12"/>
        <v/>
      </c>
      <c r="Q129" s="242" t="str">
        <f t="shared" si="13"/>
        <v/>
      </c>
      <c r="R129" s="243" t="str">
        <f t="shared" si="16"/>
        <v/>
      </c>
      <c r="S129" s="244" t="str">
        <f t="shared" si="14"/>
        <v/>
      </c>
      <c r="T129" s="245" t="str">
        <f t="shared" si="17"/>
        <v/>
      </c>
      <c r="U129" s="246" t="str">
        <f t="shared" si="15"/>
        <v/>
      </c>
      <c r="V129" s="8"/>
      <c r="AR129" t="str">
        <f t="shared" si="19"/>
        <v/>
      </c>
      <c r="AS129" t="str">
        <f t="shared" si="18"/>
        <v/>
      </c>
    </row>
    <row r="130" spans="1:45" x14ac:dyDescent="0.3">
      <c r="A130" s="231"/>
      <c r="B130" s="235"/>
      <c r="C130" s="214"/>
      <c r="D130" s="214"/>
      <c r="E130" s="214"/>
      <c r="F130" s="214"/>
      <c r="G130" s="222"/>
      <c r="H130" s="221"/>
      <c r="I130" s="213"/>
      <c r="J130" s="213"/>
      <c r="K130" s="215"/>
      <c r="L130" s="216"/>
      <c r="M130" s="217"/>
      <c r="O130" s="241" t="str">
        <f>IF(Q130 = "", "", COUNT(Q$4:$Q130))</f>
        <v/>
      </c>
      <c r="P130" s="241" t="str">
        <f t="shared" si="12"/>
        <v/>
      </c>
      <c r="Q130" s="242" t="str">
        <f t="shared" si="13"/>
        <v/>
      </c>
      <c r="R130" s="243" t="str">
        <f t="shared" si="16"/>
        <v/>
      </c>
      <c r="S130" s="244" t="str">
        <f t="shared" si="14"/>
        <v/>
      </c>
      <c r="T130" s="245" t="str">
        <f t="shared" si="17"/>
        <v/>
      </c>
      <c r="U130" s="246" t="str">
        <f t="shared" si="15"/>
        <v/>
      </c>
      <c r="V130" s="8"/>
      <c r="AR130" t="str">
        <f t="shared" si="19"/>
        <v/>
      </c>
      <c r="AS130" t="str">
        <f t="shared" si="18"/>
        <v/>
      </c>
    </row>
    <row r="131" spans="1:45" x14ac:dyDescent="0.3">
      <c r="A131" s="231"/>
      <c r="B131" s="235"/>
      <c r="C131" s="214"/>
      <c r="D131" s="214"/>
      <c r="E131" s="214"/>
      <c r="F131" s="214"/>
      <c r="G131" s="222"/>
      <c r="H131" s="221"/>
      <c r="I131" s="213"/>
      <c r="J131" s="213"/>
      <c r="K131" s="215"/>
      <c r="L131" s="216"/>
      <c r="M131" s="217"/>
      <c r="O131" s="241" t="str">
        <f>IF(Q131 = "", "", COUNT(Q$4:$Q131))</f>
        <v/>
      </c>
      <c r="P131" s="241" t="str">
        <f t="shared" si="12"/>
        <v/>
      </c>
      <c r="Q131" s="242" t="str">
        <f t="shared" si="13"/>
        <v/>
      </c>
      <c r="R131" s="243" t="str">
        <f t="shared" si="16"/>
        <v/>
      </c>
      <c r="S131" s="244" t="str">
        <f t="shared" si="14"/>
        <v/>
      </c>
      <c r="T131" s="245" t="str">
        <f t="shared" si="17"/>
        <v/>
      </c>
      <c r="U131" s="246" t="str">
        <f t="shared" si="15"/>
        <v/>
      </c>
      <c r="V131" s="8"/>
      <c r="AR131" t="str">
        <f t="shared" si="19"/>
        <v/>
      </c>
      <c r="AS131" t="str">
        <f t="shared" si="18"/>
        <v/>
      </c>
    </row>
    <row r="132" spans="1:45" x14ac:dyDescent="0.3">
      <c r="A132" s="231"/>
      <c r="B132" s="235"/>
      <c r="C132" s="214"/>
      <c r="D132" s="214"/>
      <c r="E132" s="214"/>
      <c r="F132" s="214"/>
      <c r="G132" s="222"/>
      <c r="H132" s="221"/>
      <c r="I132" s="213"/>
      <c r="J132" s="213"/>
      <c r="K132" s="215"/>
      <c r="L132" s="216"/>
      <c r="M132" s="217"/>
      <c r="O132" s="241" t="str">
        <f>IF(Q132 = "", "", COUNT(Q$4:$Q132))</f>
        <v/>
      </c>
      <c r="P132" s="241" t="str">
        <f t="shared" ref="P132:P195" si="20">IF(C132 &gt; 0, YEAR(B132), "")</f>
        <v/>
      </c>
      <c r="Q132" s="242" t="str">
        <f t="shared" ref="Q132:Q195" si="21">IF(A132="", "", IF(G132="",1,IF(G132="O",1,IF(G132="C",8.4,IF(G132="B",8.4,IF(G132="A",76.8,IF(G132="K",76.8,"ERR")))))))</f>
        <v/>
      </c>
      <c r="R132" s="243" t="str">
        <f t="shared" si="16"/>
        <v/>
      </c>
      <c r="S132" s="244" t="str">
        <f t="shared" ref="S132:S195" si="22">IF(IF(L132&lt;&gt;"",G132,"")=0, "O", IF(L132&lt;&gt;"",G132,""))</f>
        <v/>
      </c>
      <c r="T132" s="245" t="str">
        <f t="shared" si="17"/>
        <v/>
      </c>
      <c r="U132" s="246" t="str">
        <f t="shared" ref="U132:U195" si="23">IF(IF(M132&lt;&gt;"",G132,"")=0, "O", IF(M132&lt;&gt;"",G132,""))</f>
        <v/>
      </c>
      <c r="V132" s="8"/>
      <c r="AR132" t="str">
        <f t="shared" si="19"/>
        <v/>
      </c>
      <c r="AS132" t="str">
        <f t="shared" si="18"/>
        <v/>
      </c>
    </row>
    <row r="133" spans="1:45" x14ac:dyDescent="0.3">
      <c r="A133" s="231"/>
      <c r="B133" s="235"/>
      <c r="C133" s="214"/>
      <c r="D133" s="214"/>
      <c r="E133" s="214"/>
      <c r="F133" s="214"/>
      <c r="G133" s="222"/>
      <c r="H133" s="221"/>
      <c r="I133" s="213"/>
      <c r="J133" s="213"/>
      <c r="K133" s="215"/>
      <c r="L133" s="216"/>
      <c r="M133" s="217"/>
      <c r="O133" s="241" t="str">
        <f>IF(Q133 = "", "", COUNT(Q$4:$Q133))</f>
        <v/>
      </c>
      <c r="P133" s="241" t="str">
        <f t="shared" si="20"/>
        <v/>
      </c>
      <c r="Q133" s="242" t="str">
        <f t="shared" si="21"/>
        <v/>
      </c>
      <c r="R133" s="243" t="str">
        <f t="shared" ref="R133:R196" si="24">IF(L133&lt;&gt;"",Q133,"")</f>
        <v/>
      </c>
      <c r="S133" s="244" t="str">
        <f t="shared" si="22"/>
        <v/>
      </c>
      <c r="T133" s="245" t="str">
        <f t="shared" ref="T133:T196" si="25">IF(M133&lt;&gt;"",Q133,"")</f>
        <v/>
      </c>
      <c r="U133" s="246" t="str">
        <f t="shared" si="23"/>
        <v/>
      </c>
      <c r="V133" s="8"/>
      <c r="AR133" t="str">
        <f t="shared" si="19"/>
        <v/>
      </c>
      <c r="AS133" t="str">
        <f t="shared" si="18"/>
        <v/>
      </c>
    </row>
    <row r="134" spans="1:45" x14ac:dyDescent="0.3">
      <c r="A134" s="231"/>
      <c r="B134" s="235"/>
      <c r="C134" s="214"/>
      <c r="D134" s="214"/>
      <c r="E134" s="214"/>
      <c r="F134" s="214"/>
      <c r="G134" s="222"/>
      <c r="H134" s="221"/>
      <c r="I134" s="213"/>
      <c r="J134" s="213"/>
      <c r="K134" s="215"/>
      <c r="L134" s="216"/>
      <c r="M134" s="217"/>
      <c r="O134" s="241" t="str">
        <f>IF(Q134 = "", "", COUNT(Q$4:$Q134))</f>
        <v/>
      </c>
      <c r="P134" s="241" t="str">
        <f t="shared" si="20"/>
        <v/>
      </c>
      <c r="Q134" s="242" t="str">
        <f t="shared" si="21"/>
        <v/>
      </c>
      <c r="R134" s="243" t="str">
        <f t="shared" si="24"/>
        <v/>
      </c>
      <c r="S134" s="244" t="str">
        <f t="shared" si="22"/>
        <v/>
      </c>
      <c r="T134" s="245" t="str">
        <f t="shared" si="25"/>
        <v/>
      </c>
      <c r="U134" s="246" t="str">
        <f t="shared" si="23"/>
        <v/>
      </c>
      <c r="V134" s="8"/>
      <c r="AR134" t="str">
        <f t="shared" si="19"/>
        <v/>
      </c>
      <c r="AS134" t="str">
        <f t="shared" si="18"/>
        <v/>
      </c>
    </row>
    <row r="135" spans="1:45" x14ac:dyDescent="0.3">
      <c r="A135" s="231"/>
      <c r="B135" s="235"/>
      <c r="C135" s="214"/>
      <c r="D135" s="214"/>
      <c r="E135" s="214"/>
      <c r="F135" s="214"/>
      <c r="G135" s="222"/>
      <c r="H135" s="221"/>
      <c r="I135" s="213"/>
      <c r="J135" s="213"/>
      <c r="K135" s="215"/>
      <c r="L135" s="216"/>
      <c r="M135" s="217"/>
      <c r="O135" s="241" t="str">
        <f>IF(Q135 = "", "", COUNT(Q$4:$Q135))</f>
        <v/>
      </c>
      <c r="P135" s="241" t="str">
        <f t="shared" si="20"/>
        <v/>
      </c>
      <c r="Q135" s="242" t="str">
        <f t="shared" si="21"/>
        <v/>
      </c>
      <c r="R135" s="243" t="str">
        <f t="shared" si="24"/>
        <v/>
      </c>
      <c r="S135" s="244" t="str">
        <f t="shared" si="22"/>
        <v/>
      </c>
      <c r="T135" s="245" t="str">
        <f t="shared" si="25"/>
        <v/>
      </c>
      <c r="U135" s="246" t="str">
        <f t="shared" si="23"/>
        <v/>
      </c>
      <c r="V135" s="8"/>
      <c r="AR135" t="str">
        <f t="shared" si="19"/>
        <v/>
      </c>
      <c r="AS135" t="str">
        <f t="shared" si="18"/>
        <v/>
      </c>
    </row>
    <row r="136" spans="1:45" x14ac:dyDescent="0.3">
      <c r="A136" s="231"/>
      <c r="B136" s="235"/>
      <c r="C136" s="214"/>
      <c r="D136" s="214"/>
      <c r="E136" s="214"/>
      <c r="F136" s="214"/>
      <c r="G136" s="222"/>
      <c r="H136" s="221"/>
      <c r="I136" s="213"/>
      <c r="J136" s="213"/>
      <c r="K136" s="215"/>
      <c r="L136" s="216"/>
      <c r="M136" s="217"/>
      <c r="O136" s="241" t="str">
        <f>IF(Q136 = "", "", COUNT(Q$4:$Q136))</f>
        <v/>
      </c>
      <c r="P136" s="241" t="str">
        <f t="shared" si="20"/>
        <v/>
      </c>
      <c r="Q136" s="242" t="str">
        <f t="shared" si="21"/>
        <v/>
      </c>
      <c r="R136" s="243" t="str">
        <f t="shared" si="24"/>
        <v/>
      </c>
      <c r="S136" s="244" t="str">
        <f t="shared" si="22"/>
        <v/>
      </c>
      <c r="T136" s="245" t="str">
        <f t="shared" si="25"/>
        <v/>
      </c>
      <c r="U136" s="246" t="str">
        <f t="shared" si="23"/>
        <v/>
      </c>
      <c r="V136" s="8"/>
      <c r="AR136" t="str">
        <f t="shared" si="19"/>
        <v/>
      </c>
      <c r="AS136" t="str">
        <f t="shared" si="18"/>
        <v/>
      </c>
    </row>
    <row r="137" spans="1:45" x14ac:dyDescent="0.3">
      <c r="A137" s="231"/>
      <c r="B137" s="235"/>
      <c r="C137" s="214"/>
      <c r="D137" s="214"/>
      <c r="E137" s="214"/>
      <c r="F137" s="214"/>
      <c r="G137" s="222"/>
      <c r="H137" s="221"/>
      <c r="I137" s="213"/>
      <c r="J137" s="213"/>
      <c r="K137" s="215"/>
      <c r="L137" s="216"/>
      <c r="M137" s="217"/>
      <c r="O137" s="241" t="str">
        <f>IF(Q137 = "", "", COUNT(Q$4:$Q137))</f>
        <v/>
      </c>
      <c r="P137" s="241" t="str">
        <f t="shared" si="20"/>
        <v/>
      </c>
      <c r="Q137" s="242" t="str">
        <f t="shared" si="21"/>
        <v/>
      </c>
      <c r="R137" s="243" t="str">
        <f t="shared" si="24"/>
        <v/>
      </c>
      <c r="S137" s="244" t="str">
        <f t="shared" si="22"/>
        <v/>
      </c>
      <c r="T137" s="245" t="str">
        <f t="shared" si="25"/>
        <v/>
      </c>
      <c r="U137" s="246" t="str">
        <f t="shared" si="23"/>
        <v/>
      </c>
      <c r="V137" s="8"/>
      <c r="AR137" t="str">
        <f t="shared" si="19"/>
        <v/>
      </c>
      <c r="AS137" t="str">
        <f t="shared" si="18"/>
        <v/>
      </c>
    </row>
    <row r="138" spans="1:45" x14ac:dyDescent="0.3">
      <c r="A138" s="231"/>
      <c r="B138" s="235"/>
      <c r="C138" s="214"/>
      <c r="D138" s="214"/>
      <c r="E138" s="214"/>
      <c r="F138" s="214"/>
      <c r="G138" s="222"/>
      <c r="H138" s="221"/>
      <c r="I138" s="213"/>
      <c r="J138" s="213"/>
      <c r="K138" s="215"/>
      <c r="L138" s="216"/>
      <c r="M138" s="217"/>
      <c r="O138" s="241" t="str">
        <f>IF(Q138 = "", "", COUNT(Q$4:$Q138))</f>
        <v/>
      </c>
      <c r="P138" s="241" t="str">
        <f t="shared" si="20"/>
        <v/>
      </c>
      <c r="Q138" s="242" t="str">
        <f t="shared" si="21"/>
        <v/>
      </c>
      <c r="R138" s="243" t="str">
        <f t="shared" si="24"/>
        <v/>
      </c>
      <c r="S138" s="244" t="str">
        <f t="shared" si="22"/>
        <v/>
      </c>
      <c r="T138" s="245" t="str">
        <f t="shared" si="25"/>
        <v/>
      </c>
      <c r="U138" s="246" t="str">
        <f t="shared" si="23"/>
        <v/>
      </c>
      <c r="V138" s="8"/>
      <c r="AR138" t="str">
        <f t="shared" si="19"/>
        <v/>
      </c>
      <c r="AS138" t="str">
        <f t="shared" si="18"/>
        <v/>
      </c>
    </row>
    <row r="139" spans="1:45" x14ac:dyDescent="0.3">
      <c r="A139" s="231"/>
      <c r="B139" s="235"/>
      <c r="C139" s="214"/>
      <c r="D139" s="214"/>
      <c r="E139" s="214"/>
      <c r="F139" s="214"/>
      <c r="G139" s="222"/>
      <c r="H139" s="221"/>
      <c r="I139" s="213"/>
      <c r="J139" s="213"/>
      <c r="K139" s="215"/>
      <c r="L139" s="216"/>
      <c r="M139" s="217"/>
      <c r="O139" s="241" t="str">
        <f>IF(Q139 = "", "", COUNT(Q$4:$Q139))</f>
        <v/>
      </c>
      <c r="P139" s="241" t="str">
        <f t="shared" si="20"/>
        <v/>
      </c>
      <c r="Q139" s="242" t="str">
        <f t="shared" si="21"/>
        <v/>
      </c>
      <c r="R139" s="243" t="str">
        <f t="shared" si="24"/>
        <v/>
      </c>
      <c r="S139" s="244" t="str">
        <f t="shared" si="22"/>
        <v/>
      </c>
      <c r="T139" s="245" t="str">
        <f t="shared" si="25"/>
        <v/>
      </c>
      <c r="U139" s="246" t="str">
        <f t="shared" si="23"/>
        <v/>
      </c>
      <c r="V139" s="8"/>
      <c r="AR139" t="str">
        <f t="shared" si="19"/>
        <v/>
      </c>
      <c r="AS139" t="str">
        <f t="shared" si="18"/>
        <v/>
      </c>
    </row>
    <row r="140" spans="1:45" x14ac:dyDescent="0.3">
      <c r="A140" s="231"/>
      <c r="B140" s="235"/>
      <c r="C140" s="214"/>
      <c r="D140" s="214"/>
      <c r="E140" s="214"/>
      <c r="F140" s="214"/>
      <c r="G140" s="222"/>
      <c r="H140" s="221"/>
      <c r="I140" s="213"/>
      <c r="J140" s="213"/>
      <c r="K140" s="215"/>
      <c r="L140" s="216"/>
      <c r="M140" s="217"/>
      <c r="O140" s="241" t="str">
        <f>IF(Q140 = "", "", COUNT(Q$4:$Q140))</f>
        <v/>
      </c>
      <c r="P140" s="241" t="str">
        <f t="shared" si="20"/>
        <v/>
      </c>
      <c r="Q140" s="242" t="str">
        <f t="shared" si="21"/>
        <v/>
      </c>
      <c r="R140" s="243" t="str">
        <f t="shared" si="24"/>
        <v/>
      </c>
      <c r="S140" s="244" t="str">
        <f t="shared" si="22"/>
        <v/>
      </c>
      <c r="T140" s="245" t="str">
        <f t="shared" si="25"/>
        <v/>
      </c>
      <c r="U140" s="246" t="str">
        <f t="shared" si="23"/>
        <v/>
      </c>
      <c r="V140" s="8"/>
      <c r="AR140" t="str">
        <f t="shared" si="19"/>
        <v/>
      </c>
      <c r="AS140" t="str">
        <f t="shared" si="18"/>
        <v/>
      </c>
    </row>
    <row r="141" spans="1:45" x14ac:dyDescent="0.3">
      <c r="A141" s="231"/>
      <c r="B141" s="235"/>
      <c r="C141" s="214"/>
      <c r="D141" s="214"/>
      <c r="E141" s="214"/>
      <c r="F141" s="214"/>
      <c r="G141" s="222"/>
      <c r="H141" s="221"/>
      <c r="I141" s="213"/>
      <c r="J141" s="213"/>
      <c r="K141" s="215"/>
      <c r="L141" s="216"/>
      <c r="M141" s="217"/>
      <c r="O141" s="241" t="str">
        <f>IF(Q141 = "", "", COUNT(Q$4:$Q141))</f>
        <v/>
      </c>
      <c r="P141" s="241" t="str">
        <f t="shared" si="20"/>
        <v/>
      </c>
      <c r="Q141" s="242" t="str">
        <f t="shared" si="21"/>
        <v/>
      </c>
      <c r="R141" s="243" t="str">
        <f t="shared" si="24"/>
        <v/>
      </c>
      <c r="S141" s="244" t="str">
        <f t="shared" si="22"/>
        <v/>
      </c>
      <c r="T141" s="245" t="str">
        <f t="shared" si="25"/>
        <v/>
      </c>
      <c r="U141" s="246" t="str">
        <f t="shared" si="23"/>
        <v/>
      </c>
      <c r="V141" s="8"/>
      <c r="AR141" t="str">
        <f t="shared" si="19"/>
        <v/>
      </c>
      <c r="AS141" t="str">
        <f t="shared" si="18"/>
        <v/>
      </c>
    </row>
    <row r="142" spans="1:45" x14ac:dyDescent="0.3">
      <c r="A142" s="231"/>
      <c r="B142" s="235"/>
      <c r="C142" s="214"/>
      <c r="D142" s="214"/>
      <c r="E142" s="214"/>
      <c r="F142" s="214"/>
      <c r="G142" s="222"/>
      <c r="H142" s="221"/>
      <c r="I142" s="213"/>
      <c r="J142" s="213"/>
      <c r="K142" s="215"/>
      <c r="L142" s="216"/>
      <c r="M142" s="217"/>
      <c r="O142" s="241" t="str">
        <f>IF(Q142 = "", "", COUNT(Q$4:$Q142))</f>
        <v/>
      </c>
      <c r="P142" s="241" t="str">
        <f t="shared" si="20"/>
        <v/>
      </c>
      <c r="Q142" s="242" t="str">
        <f t="shared" si="21"/>
        <v/>
      </c>
      <c r="R142" s="243" t="str">
        <f t="shared" si="24"/>
        <v/>
      </c>
      <c r="S142" s="244" t="str">
        <f t="shared" si="22"/>
        <v/>
      </c>
      <c r="T142" s="245" t="str">
        <f t="shared" si="25"/>
        <v/>
      </c>
      <c r="U142" s="246" t="str">
        <f t="shared" si="23"/>
        <v/>
      </c>
      <c r="V142" s="8"/>
      <c r="AR142" t="str">
        <f t="shared" si="19"/>
        <v/>
      </c>
      <c r="AS142" t="str">
        <f t="shared" si="18"/>
        <v/>
      </c>
    </row>
    <row r="143" spans="1:45" x14ac:dyDescent="0.3">
      <c r="A143" s="231"/>
      <c r="B143" s="235"/>
      <c r="C143" s="214"/>
      <c r="D143" s="214"/>
      <c r="E143" s="214"/>
      <c r="F143" s="214"/>
      <c r="G143" s="222"/>
      <c r="H143" s="221"/>
      <c r="I143" s="213"/>
      <c r="J143" s="213"/>
      <c r="K143" s="215"/>
      <c r="L143" s="216"/>
      <c r="M143" s="217"/>
      <c r="O143" s="241" t="str">
        <f>IF(Q143 = "", "", COUNT(Q$4:$Q143))</f>
        <v/>
      </c>
      <c r="P143" s="241" t="str">
        <f t="shared" si="20"/>
        <v/>
      </c>
      <c r="Q143" s="242" t="str">
        <f t="shared" si="21"/>
        <v/>
      </c>
      <c r="R143" s="243" t="str">
        <f t="shared" si="24"/>
        <v/>
      </c>
      <c r="S143" s="244" t="str">
        <f t="shared" si="22"/>
        <v/>
      </c>
      <c r="T143" s="245" t="str">
        <f t="shared" si="25"/>
        <v/>
      </c>
      <c r="U143" s="246" t="str">
        <f t="shared" si="23"/>
        <v/>
      </c>
      <c r="V143" s="8"/>
      <c r="AR143" t="str">
        <f t="shared" si="19"/>
        <v/>
      </c>
      <c r="AS143" t="str">
        <f t="shared" si="18"/>
        <v/>
      </c>
    </row>
    <row r="144" spans="1:45" x14ac:dyDescent="0.3">
      <c r="A144" s="231"/>
      <c r="B144" s="235"/>
      <c r="C144" s="214"/>
      <c r="D144" s="214"/>
      <c r="E144" s="214"/>
      <c r="F144" s="214"/>
      <c r="G144" s="222"/>
      <c r="H144" s="221"/>
      <c r="I144" s="213"/>
      <c r="J144" s="213"/>
      <c r="K144" s="215"/>
      <c r="L144" s="216"/>
      <c r="M144" s="217"/>
      <c r="O144" s="241" t="str">
        <f>IF(Q144 = "", "", COUNT(Q$4:$Q144))</f>
        <v/>
      </c>
      <c r="P144" s="241" t="str">
        <f t="shared" si="20"/>
        <v/>
      </c>
      <c r="Q144" s="242" t="str">
        <f t="shared" si="21"/>
        <v/>
      </c>
      <c r="R144" s="243" t="str">
        <f t="shared" si="24"/>
        <v/>
      </c>
      <c r="S144" s="244" t="str">
        <f t="shared" si="22"/>
        <v/>
      </c>
      <c r="T144" s="245" t="str">
        <f t="shared" si="25"/>
        <v/>
      </c>
      <c r="U144" s="246" t="str">
        <f t="shared" si="23"/>
        <v/>
      </c>
      <c r="V144" s="8"/>
      <c r="AR144" t="str">
        <f t="shared" si="19"/>
        <v/>
      </c>
      <c r="AS144" t="str">
        <f t="shared" si="18"/>
        <v/>
      </c>
    </row>
    <row r="145" spans="1:45" x14ac:dyDescent="0.3">
      <c r="A145" s="231"/>
      <c r="B145" s="235"/>
      <c r="C145" s="214"/>
      <c r="D145" s="214"/>
      <c r="E145" s="214"/>
      <c r="F145" s="214"/>
      <c r="G145" s="222"/>
      <c r="H145" s="221"/>
      <c r="I145" s="213"/>
      <c r="J145" s="213"/>
      <c r="K145" s="215"/>
      <c r="L145" s="216"/>
      <c r="M145" s="217"/>
      <c r="O145" s="241" t="str">
        <f>IF(Q145 = "", "", COUNT(Q$4:$Q145))</f>
        <v/>
      </c>
      <c r="P145" s="241" t="str">
        <f t="shared" si="20"/>
        <v/>
      </c>
      <c r="Q145" s="242" t="str">
        <f t="shared" si="21"/>
        <v/>
      </c>
      <c r="R145" s="243" t="str">
        <f t="shared" si="24"/>
        <v/>
      </c>
      <c r="S145" s="244" t="str">
        <f t="shared" si="22"/>
        <v/>
      </c>
      <c r="T145" s="245" t="str">
        <f t="shared" si="25"/>
        <v/>
      </c>
      <c r="U145" s="246" t="str">
        <f t="shared" si="23"/>
        <v/>
      </c>
      <c r="V145" s="8"/>
      <c r="AR145" t="str">
        <f t="shared" si="19"/>
        <v/>
      </c>
      <c r="AS145" t="str">
        <f t="shared" si="18"/>
        <v/>
      </c>
    </row>
    <row r="146" spans="1:45" x14ac:dyDescent="0.3">
      <c r="A146" s="231"/>
      <c r="B146" s="235"/>
      <c r="C146" s="214"/>
      <c r="D146" s="214"/>
      <c r="E146" s="214"/>
      <c r="F146" s="214"/>
      <c r="G146" s="222"/>
      <c r="H146" s="221"/>
      <c r="I146" s="213"/>
      <c r="J146" s="213"/>
      <c r="K146" s="215"/>
      <c r="L146" s="216"/>
      <c r="M146" s="217"/>
      <c r="O146" s="241" t="str">
        <f>IF(Q146 = "", "", COUNT(Q$4:$Q146))</f>
        <v/>
      </c>
      <c r="P146" s="241" t="str">
        <f t="shared" si="20"/>
        <v/>
      </c>
      <c r="Q146" s="242" t="str">
        <f t="shared" si="21"/>
        <v/>
      </c>
      <c r="R146" s="243" t="str">
        <f t="shared" si="24"/>
        <v/>
      </c>
      <c r="S146" s="244" t="str">
        <f t="shared" si="22"/>
        <v/>
      </c>
      <c r="T146" s="245" t="str">
        <f t="shared" si="25"/>
        <v/>
      </c>
      <c r="U146" s="246" t="str">
        <f t="shared" si="23"/>
        <v/>
      </c>
      <c r="V146" s="8"/>
      <c r="AR146" t="str">
        <f t="shared" si="19"/>
        <v/>
      </c>
      <c r="AS146" t="str">
        <f t="shared" si="18"/>
        <v/>
      </c>
    </row>
    <row r="147" spans="1:45" x14ac:dyDescent="0.3">
      <c r="A147" s="231"/>
      <c r="B147" s="235"/>
      <c r="C147" s="214"/>
      <c r="D147" s="214"/>
      <c r="E147" s="214"/>
      <c r="F147" s="214"/>
      <c r="G147" s="222"/>
      <c r="H147" s="221"/>
      <c r="I147" s="213"/>
      <c r="J147" s="213"/>
      <c r="K147" s="215"/>
      <c r="L147" s="216"/>
      <c r="M147" s="217"/>
      <c r="O147" s="241" t="str">
        <f>IF(Q147 = "", "", COUNT(Q$4:$Q147))</f>
        <v/>
      </c>
      <c r="P147" s="241" t="str">
        <f t="shared" si="20"/>
        <v/>
      </c>
      <c r="Q147" s="242" t="str">
        <f t="shared" si="21"/>
        <v/>
      </c>
      <c r="R147" s="243" t="str">
        <f t="shared" si="24"/>
        <v/>
      </c>
      <c r="S147" s="244" t="str">
        <f t="shared" si="22"/>
        <v/>
      </c>
      <c r="T147" s="245" t="str">
        <f t="shared" si="25"/>
        <v/>
      </c>
      <c r="U147" s="246" t="str">
        <f t="shared" si="23"/>
        <v/>
      </c>
      <c r="V147" s="8"/>
      <c r="AR147" t="str">
        <f t="shared" si="19"/>
        <v/>
      </c>
      <c r="AS147" t="str">
        <f t="shared" si="18"/>
        <v/>
      </c>
    </row>
    <row r="148" spans="1:45" x14ac:dyDescent="0.3">
      <c r="A148" s="231"/>
      <c r="B148" s="235"/>
      <c r="C148" s="214"/>
      <c r="D148" s="214"/>
      <c r="E148" s="214"/>
      <c r="F148" s="214"/>
      <c r="G148" s="222"/>
      <c r="H148" s="221"/>
      <c r="I148" s="213"/>
      <c r="J148" s="213"/>
      <c r="K148" s="215"/>
      <c r="L148" s="216"/>
      <c r="M148" s="217"/>
      <c r="O148" s="241" t="str">
        <f>IF(Q148 = "", "", COUNT(Q$4:$Q148))</f>
        <v/>
      </c>
      <c r="P148" s="241" t="str">
        <f t="shared" si="20"/>
        <v/>
      </c>
      <c r="Q148" s="242" t="str">
        <f t="shared" si="21"/>
        <v/>
      </c>
      <c r="R148" s="243" t="str">
        <f t="shared" si="24"/>
        <v/>
      </c>
      <c r="S148" s="244" t="str">
        <f t="shared" si="22"/>
        <v/>
      </c>
      <c r="T148" s="245" t="str">
        <f t="shared" si="25"/>
        <v/>
      </c>
      <c r="U148" s="246" t="str">
        <f t="shared" si="23"/>
        <v/>
      </c>
      <c r="V148" s="8"/>
      <c r="AR148" t="str">
        <f t="shared" si="19"/>
        <v/>
      </c>
      <c r="AS148" t="str">
        <f t="shared" si="18"/>
        <v/>
      </c>
    </row>
    <row r="149" spans="1:45" x14ac:dyDescent="0.3">
      <c r="A149" s="231"/>
      <c r="B149" s="235"/>
      <c r="C149" s="214"/>
      <c r="D149" s="214"/>
      <c r="E149" s="214"/>
      <c r="F149" s="214"/>
      <c r="G149" s="222"/>
      <c r="H149" s="221"/>
      <c r="I149" s="213"/>
      <c r="J149" s="213"/>
      <c r="K149" s="215"/>
      <c r="L149" s="216"/>
      <c r="M149" s="217"/>
      <c r="O149" s="241" t="str">
        <f>IF(Q149 = "", "", COUNT(Q$4:$Q149))</f>
        <v/>
      </c>
      <c r="P149" s="241" t="str">
        <f t="shared" si="20"/>
        <v/>
      </c>
      <c r="Q149" s="242" t="str">
        <f t="shared" si="21"/>
        <v/>
      </c>
      <c r="R149" s="243" t="str">
        <f t="shared" si="24"/>
        <v/>
      </c>
      <c r="S149" s="244" t="str">
        <f t="shared" si="22"/>
        <v/>
      </c>
      <c r="T149" s="245" t="str">
        <f t="shared" si="25"/>
        <v/>
      </c>
      <c r="U149" s="246" t="str">
        <f t="shared" si="23"/>
        <v/>
      </c>
      <c r="V149" s="8"/>
      <c r="AR149" t="str">
        <f t="shared" si="19"/>
        <v/>
      </c>
      <c r="AS149" t="str">
        <f t="shared" ref="AS149:AS212" si="26">IF(OR(L149="Y",M149="Y"),"Y","")</f>
        <v/>
      </c>
    </row>
    <row r="150" spans="1:45" x14ac:dyDescent="0.3">
      <c r="A150" s="231"/>
      <c r="B150" s="235"/>
      <c r="C150" s="214"/>
      <c r="D150" s="214"/>
      <c r="E150" s="214"/>
      <c r="F150" s="214"/>
      <c r="G150" s="222"/>
      <c r="H150" s="221"/>
      <c r="I150" s="213"/>
      <c r="J150" s="213"/>
      <c r="K150" s="215"/>
      <c r="L150" s="216"/>
      <c r="M150" s="217"/>
      <c r="O150" s="241" t="str">
        <f>IF(Q150 = "", "", COUNT(Q$4:$Q150))</f>
        <v/>
      </c>
      <c r="P150" s="241" t="str">
        <f t="shared" si="20"/>
        <v/>
      </c>
      <c r="Q150" s="242" t="str">
        <f t="shared" si="21"/>
        <v/>
      </c>
      <c r="R150" s="243" t="str">
        <f t="shared" si="24"/>
        <v/>
      </c>
      <c r="S150" s="244" t="str">
        <f t="shared" si="22"/>
        <v/>
      </c>
      <c r="T150" s="245" t="str">
        <f t="shared" si="25"/>
        <v/>
      </c>
      <c r="U150" s="246" t="str">
        <f t="shared" si="23"/>
        <v/>
      </c>
      <c r="V150" s="8"/>
      <c r="AR150" t="str">
        <f t="shared" ref="AR150:AR213" si="27">IF(O150&gt;0, O150, "")</f>
        <v/>
      </c>
      <c r="AS150" t="str">
        <f t="shared" si="26"/>
        <v/>
      </c>
    </row>
    <row r="151" spans="1:45" x14ac:dyDescent="0.3">
      <c r="A151" s="231"/>
      <c r="B151" s="235"/>
      <c r="C151" s="214"/>
      <c r="D151" s="214"/>
      <c r="E151" s="214"/>
      <c r="F151" s="214"/>
      <c r="G151" s="222"/>
      <c r="H151" s="221"/>
      <c r="I151" s="213"/>
      <c r="J151" s="213"/>
      <c r="K151" s="215"/>
      <c r="L151" s="216"/>
      <c r="M151" s="217"/>
      <c r="O151" s="241" t="str">
        <f>IF(Q151 = "", "", COUNT(Q$4:$Q151))</f>
        <v/>
      </c>
      <c r="P151" s="241" t="str">
        <f t="shared" si="20"/>
        <v/>
      </c>
      <c r="Q151" s="242" t="str">
        <f t="shared" si="21"/>
        <v/>
      </c>
      <c r="R151" s="243" t="str">
        <f t="shared" si="24"/>
        <v/>
      </c>
      <c r="S151" s="244" t="str">
        <f t="shared" si="22"/>
        <v/>
      </c>
      <c r="T151" s="245" t="str">
        <f t="shared" si="25"/>
        <v/>
      </c>
      <c r="U151" s="246" t="str">
        <f t="shared" si="23"/>
        <v/>
      </c>
      <c r="V151" s="8"/>
      <c r="AR151" t="str">
        <f t="shared" si="27"/>
        <v/>
      </c>
      <c r="AS151" t="str">
        <f t="shared" si="26"/>
        <v/>
      </c>
    </row>
    <row r="152" spans="1:45" x14ac:dyDescent="0.3">
      <c r="A152" s="231"/>
      <c r="B152" s="235"/>
      <c r="C152" s="214"/>
      <c r="D152" s="214"/>
      <c r="E152" s="214"/>
      <c r="F152" s="214"/>
      <c r="G152" s="222"/>
      <c r="H152" s="221"/>
      <c r="I152" s="213"/>
      <c r="J152" s="213"/>
      <c r="K152" s="215"/>
      <c r="L152" s="216"/>
      <c r="M152" s="217"/>
      <c r="O152" s="241" t="str">
        <f>IF(Q152 = "", "", COUNT(Q$4:$Q152))</f>
        <v/>
      </c>
      <c r="P152" s="241" t="str">
        <f t="shared" si="20"/>
        <v/>
      </c>
      <c r="Q152" s="242" t="str">
        <f t="shared" si="21"/>
        <v/>
      </c>
      <c r="R152" s="243" t="str">
        <f t="shared" si="24"/>
        <v/>
      </c>
      <c r="S152" s="244" t="str">
        <f t="shared" si="22"/>
        <v/>
      </c>
      <c r="T152" s="245" t="str">
        <f t="shared" si="25"/>
        <v/>
      </c>
      <c r="U152" s="246" t="str">
        <f t="shared" si="23"/>
        <v/>
      </c>
      <c r="V152" s="8"/>
      <c r="AR152" t="str">
        <f t="shared" si="27"/>
        <v/>
      </c>
      <c r="AS152" t="str">
        <f t="shared" si="26"/>
        <v/>
      </c>
    </row>
    <row r="153" spans="1:45" x14ac:dyDescent="0.3">
      <c r="A153" s="231"/>
      <c r="B153" s="235"/>
      <c r="C153" s="214"/>
      <c r="D153" s="214"/>
      <c r="E153" s="214"/>
      <c r="F153" s="214"/>
      <c r="G153" s="222"/>
      <c r="H153" s="221"/>
      <c r="I153" s="213"/>
      <c r="J153" s="213"/>
      <c r="K153" s="215"/>
      <c r="L153" s="216"/>
      <c r="M153" s="217"/>
      <c r="O153" s="241" t="str">
        <f>IF(Q153 = "", "", COUNT(Q$4:$Q153))</f>
        <v/>
      </c>
      <c r="P153" s="241" t="str">
        <f t="shared" si="20"/>
        <v/>
      </c>
      <c r="Q153" s="242" t="str">
        <f t="shared" si="21"/>
        <v/>
      </c>
      <c r="R153" s="243" t="str">
        <f t="shared" si="24"/>
        <v/>
      </c>
      <c r="S153" s="244" t="str">
        <f t="shared" si="22"/>
        <v/>
      </c>
      <c r="T153" s="245" t="str">
        <f t="shared" si="25"/>
        <v/>
      </c>
      <c r="U153" s="246" t="str">
        <f t="shared" si="23"/>
        <v/>
      </c>
      <c r="V153" s="8"/>
      <c r="AR153" t="str">
        <f t="shared" si="27"/>
        <v/>
      </c>
      <c r="AS153" t="str">
        <f t="shared" si="26"/>
        <v/>
      </c>
    </row>
    <row r="154" spans="1:45" x14ac:dyDescent="0.3">
      <c r="A154" s="231"/>
      <c r="B154" s="235"/>
      <c r="C154" s="214"/>
      <c r="D154" s="214"/>
      <c r="E154" s="214"/>
      <c r="F154" s="214"/>
      <c r="G154" s="222"/>
      <c r="H154" s="221"/>
      <c r="I154" s="213"/>
      <c r="J154" s="213"/>
      <c r="K154" s="215"/>
      <c r="L154" s="216"/>
      <c r="M154" s="217"/>
      <c r="O154" s="241" t="str">
        <f>IF(Q154 = "", "", COUNT(Q$4:$Q154))</f>
        <v/>
      </c>
      <c r="P154" s="241" t="str">
        <f t="shared" si="20"/>
        <v/>
      </c>
      <c r="Q154" s="242" t="str">
        <f t="shared" si="21"/>
        <v/>
      </c>
      <c r="R154" s="243" t="str">
        <f t="shared" si="24"/>
        <v/>
      </c>
      <c r="S154" s="244" t="str">
        <f t="shared" si="22"/>
        <v/>
      </c>
      <c r="T154" s="245" t="str">
        <f t="shared" si="25"/>
        <v/>
      </c>
      <c r="U154" s="246" t="str">
        <f t="shared" si="23"/>
        <v/>
      </c>
      <c r="V154" s="8"/>
      <c r="AR154" t="str">
        <f t="shared" si="27"/>
        <v/>
      </c>
      <c r="AS154" t="str">
        <f t="shared" si="26"/>
        <v/>
      </c>
    </row>
    <row r="155" spans="1:45" x14ac:dyDescent="0.3">
      <c r="A155" s="231"/>
      <c r="B155" s="235"/>
      <c r="C155" s="214"/>
      <c r="D155" s="214"/>
      <c r="E155" s="214"/>
      <c r="F155" s="214"/>
      <c r="G155" s="222"/>
      <c r="H155" s="221"/>
      <c r="I155" s="213"/>
      <c r="J155" s="213"/>
      <c r="K155" s="215"/>
      <c r="L155" s="216"/>
      <c r="M155" s="217"/>
      <c r="O155" s="241" t="str">
        <f>IF(Q155 = "", "", COUNT(Q$4:$Q155))</f>
        <v/>
      </c>
      <c r="P155" s="241" t="str">
        <f t="shared" si="20"/>
        <v/>
      </c>
      <c r="Q155" s="242" t="str">
        <f t="shared" si="21"/>
        <v/>
      </c>
      <c r="R155" s="243" t="str">
        <f t="shared" si="24"/>
        <v/>
      </c>
      <c r="S155" s="244" t="str">
        <f t="shared" si="22"/>
        <v/>
      </c>
      <c r="T155" s="245" t="str">
        <f t="shared" si="25"/>
        <v/>
      </c>
      <c r="U155" s="246" t="str">
        <f t="shared" si="23"/>
        <v/>
      </c>
      <c r="V155" s="8"/>
      <c r="AR155" t="str">
        <f t="shared" si="27"/>
        <v/>
      </c>
      <c r="AS155" t="str">
        <f t="shared" si="26"/>
        <v/>
      </c>
    </row>
    <row r="156" spans="1:45" x14ac:dyDescent="0.3">
      <c r="A156" s="231"/>
      <c r="B156" s="235"/>
      <c r="C156" s="214"/>
      <c r="D156" s="214"/>
      <c r="E156" s="214"/>
      <c r="F156" s="214"/>
      <c r="G156" s="222"/>
      <c r="H156" s="221"/>
      <c r="I156" s="213"/>
      <c r="J156" s="213"/>
      <c r="K156" s="215"/>
      <c r="L156" s="216"/>
      <c r="M156" s="217"/>
      <c r="O156" s="241" t="str">
        <f>IF(Q156 = "", "", COUNT(Q$4:$Q156))</f>
        <v/>
      </c>
      <c r="P156" s="241" t="str">
        <f t="shared" si="20"/>
        <v/>
      </c>
      <c r="Q156" s="242" t="str">
        <f t="shared" si="21"/>
        <v/>
      </c>
      <c r="R156" s="243" t="str">
        <f t="shared" si="24"/>
        <v/>
      </c>
      <c r="S156" s="244" t="str">
        <f t="shared" si="22"/>
        <v/>
      </c>
      <c r="T156" s="245" t="str">
        <f t="shared" si="25"/>
        <v/>
      </c>
      <c r="U156" s="246" t="str">
        <f t="shared" si="23"/>
        <v/>
      </c>
      <c r="V156" s="8"/>
      <c r="AR156" t="str">
        <f t="shared" si="27"/>
        <v/>
      </c>
      <c r="AS156" t="str">
        <f t="shared" si="26"/>
        <v/>
      </c>
    </row>
    <row r="157" spans="1:45" x14ac:dyDescent="0.3">
      <c r="A157" s="231"/>
      <c r="B157" s="235"/>
      <c r="C157" s="214"/>
      <c r="D157" s="214"/>
      <c r="E157" s="214"/>
      <c r="F157" s="214"/>
      <c r="G157" s="222"/>
      <c r="H157" s="221"/>
      <c r="I157" s="213"/>
      <c r="J157" s="213"/>
      <c r="K157" s="215"/>
      <c r="L157" s="216"/>
      <c r="M157" s="217"/>
      <c r="O157" s="241" t="str">
        <f>IF(Q157 = "", "", COUNT(Q$4:$Q157))</f>
        <v/>
      </c>
      <c r="P157" s="241" t="str">
        <f t="shared" si="20"/>
        <v/>
      </c>
      <c r="Q157" s="242" t="str">
        <f t="shared" si="21"/>
        <v/>
      </c>
      <c r="R157" s="243" t="str">
        <f t="shared" si="24"/>
        <v/>
      </c>
      <c r="S157" s="244" t="str">
        <f t="shared" si="22"/>
        <v/>
      </c>
      <c r="T157" s="245" t="str">
        <f t="shared" si="25"/>
        <v/>
      </c>
      <c r="U157" s="246" t="str">
        <f t="shared" si="23"/>
        <v/>
      </c>
      <c r="V157" s="8"/>
      <c r="AR157" t="str">
        <f t="shared" si="27"/>
        <v/>
      </c>
      <c r="AS157" t="str">
        <f t="shared" si="26"/>
        <v/>
      </c>
    </row>
    <row r="158" spans="1:45" x14ac:dyDescent="0.3">
      <c r="A158" s="231"/>
      <c r="B158" s="235"/>
      <c r="C158" s="214"/>
      <c r="D158" s="214"/>
      <c r="E158" s="214"/>
      <c r="F158" s="214"/>
      <c r="G158" s="222"/>
      <c r="H158" s="221"/>
      <c r="I158" s="213"/>
      <c r="J158" s="213"/>
      <c r="K158" s="215"/>
      <c r="L158" s="216"/>
      <c r="M158" s="217"/>
      <c r="O158" s="241" t="str">
        <f>IF(Q158 = "", "", COUNT(Q$4:$Q158))</f>
        <v/>
      </c>
      <c r="P158" s="241" t="str">
        <f t="shared" si="20"/>
        <v/>
      </c>
      <c r="Q158" s="242" t="str">
        <f t="shared" si="21"/>
        <v/>
      </c>
      <c r="R158" s="243" t="str">
        <f t="shared" si="24"/>
        <v/>
      </c>
      <c r="S158" s="244" t="str">
        <f t="shared" si="22"/>
        <v/>
      </c>
      <c r="T158" s="245" t="str">
        <f t="shared" si="25"/>
        <v/>
      </c>
      <c r="U158" s="246" t="str">
        <f t="shared" si="23"/>
        <v/>
      </c>
      <c r="V158" s="8"/>
      <c r="AR158" t="str">
        <f t="shared" si="27"/>
        <v/>
      </c>
      <c r="AS158" t="str">
        <f t="shared" si="26"/>
        <v/>
      </c>
    </row>
    <row r="159" spans="1:45" x14ac:dyDescent="0.3">
      <c r="A159" s="231"/>
      <c r="B159" s="235"/>
      <c r="C159" s="214"/>
      <c r="D159" s="214"/>
      <c r="E159" s="214"/>
      <c r="F159" s="214"/>
      <c r="G159" s="222"/>
      <c r="H159" s="221"/>
      <c r="I159" s="213"/>
      <c r="J159" s="213"/>
      <c r="K159" s="215"/>
      <c r="L159" s="216"/>
      <c r="M159" s="217"/>
      <c r="O159" s="241" t="str">
        <f>IF(Q159 = "", "", COUNT(Q$4:$Q159))</f>
        <v/>
      </c>
      <c r="P159" s="241" t="str">
        <f t="shared" si="20"/>
        <v/>
      </c>
      <c r="Q159" s="242" t="str">
        <f t="shared" si="21"/>
        <v/>
      </c>
      <c r="R159" s="243" t="str">
        <f t="shared" si="24"/>
        <v/>
      </c>
      <c r="S159" s="244" t="str">
        <f t="shared" si="22"/>
        <v/>
      </c>
      <c r="T159" s="245" t="str">
        <f t="shared" si="25"/>
        <v/>
      </c>
      <c r="U159" s="246" t="str">
        <f t="shared" si="23"/>
        <v/>
      </c>
      <c r="V159" s="8"/>
      <c r="AR159" t="str">
        <f t="shared" si="27"/>
        <v/>
      </c>
      <c r="AS159" t="str">
        <f t="shared" si="26"/>
        <v/>
      </c>
    </row>
    <row r="160" spans="1:45" x14ac:dyDescent="0.3">
      <c r="A160" s="231"/>
      <c r="B160" s="235"/>
      <c r="C160" s="214"/>
      <c r="D160" s="214"/>
      <c r="E160" s="214"/>
      <c r="F160" s="214"/>
      <c r="G160" s="222"/>
      <c r="H160" s="221"/>
      <c r="I160" s="213"/>
      <c r="J160" s="213"/>
      <c r="K160" s="215"/>
      <c r="L160" s="216"/>
      <c r="M160" s="217"/>
      <c r="O160" s="241" t="str">
        <f>IF(Q160 = "", "", COUNT(Q$4:$Q160))</f>
        <v/>
      </c>
      <c r="P160" s="241" t="str">
        <f t="shared" si="20"/>
        <v/>
      </c>
      <c r="Q160" s="242" t="str">
        <f t="shared" si="21"/>
        <v/>
      </c>
      <c r="R160" s="243" t="str">
        <f t="shared" si="24"/>
        <v/>
      </c>
      <c r="S160" s="244" t="str">
        <f t="shared" si="22"/>
        <v/>
      </c>
      <c r="T160" s="245" t="str">
        <f t="shared" si="25"/>
        <v/>
      </c>
      <c r="U160" s="246" t="str">
        <f t="shared" si="23"/>
        <v/>
      </c>
      <c r="V160" s="8"/>
      <c r="AR160" t="str">
        <f t="shared" si="27"/>
        <v/>
      </c>
      <c r="AS160" t="str">
        <f t="shared" si="26"/>
        <v/>
      </c>
    </row>
    <row r="161" spans="1:45" x14ac:dyDescent="0.3">
      <c r="A161" s="231"/>
      <c r="B161" s="235"/>
      <c r="C161" s="214"/>
      <c r="D161" s="214"/>
      <c r="E161" s="214"/>
      <c r="F161" s="214"/>
      <c r="G161" s="222"/>
      <c r="H161" s="221"/>
      <c r="I161" s="213"/>
      <c r="J161" s="213"/>
      <c r="K161" s="215"/>
      <c r="L161" s="216"/>
      <c r="M161" s="217"/>
      <c r="O161" s="241" t="str">
        <f>IF(Q161 = "", "", COUNT(Q$4:$Q161))</f>
        <v/>
      </c>
      <c r="P161" s="241" t="str">
        <f t="shared" si="20"/>
        <v/>
      </c>
      <c r="Q161" s="242" t="str">
        <f t="shared" si="21"/>
        <v/>
      </c>
      <c r="R161" s="243" t="str">
        <f t="shared" si="24"/>
        <v/>
      </c>
      <c r="S161" s="244" t="str">
        <f t="shared" si="22"/>
        <v/>
      </c>
      <c r="T161" s="245" t="str">
        <f t="shared" si="25"/>
        <v/>
      </c>
      <c r="U161" s="246" t="str">
        <f t="shared" si="23"/>
        <v/>
      </c>
      <c r="V161" s="8"/>
      <c r="AR161" t="str">
        <f t="shared" si="27"/>
        <v/>
      </c>
      <c r="AS161" t="str">
        <f t="shared" si="26"/>
        <v/>
      </c>
    </row>
    <row r="162" spans="1:45" x14ac:dyDescent="0.3">
      <c r="A162" s="231"/>
      <c r="B162" s="235"/>
      <c r="C162" s="214"/>
      <c r="D162" s="214"/>
      <c r="E162" s="214"/>
      <c r="F162" s="214"/>
      <c r="G162" s="222"/>
      <c r="H162" s="221"/>
      <c r="I162" s="213"/>
      <c r="J162" s="213"/>
      <c r="K162" s="215"/>
      <c r="L162" s="216"/>
      <c r="M162" s="217"/>
      <c r="O162" s="241" t="str">
        <f>IF(Q162 = "", "", COUNT(Q$4:$Q162))</f>
        <v/>
      </c>
      <c r="P162" s="241" t="str">
        <f t="shared" si="20"/>
        <v/>
      </c>
      <c r="Q162" s="242" t="str">
        <f t="shared" si="21"/>
        <v/>
      </c>
      <c r="R162" s="243" t="str">
        <f t="shared" si="24"/>
        <v/>
      </c>
      <c r="S162" s="244" t="str">
        <f t="shared" si="22"/>
        <v/>
      </c>
      <c r="T162" s="245" t="str">
        <f t="shared" si="25"/>
        <v/>
      </c>
      <c r="U162" s="246" t="str">
        <f t="shared" si="23"/>
        <v/>
      </c>
      <c r="V162" s="8"/>
      <c r="AR162" t="str">
        <f t="shared" si="27"/>
        <v/>
      </c>
      <c r="AS162" t="str">
        <f t="shared" si="26"/>
        <v/>
      </c>
    </row>
    <row r="163" spans="1:45" x14ac:dyDescent="0.3">
      <c r="A163" s="231"/>
      <c r="B163" s="235"/>
      <c r="C163" s="214"/>
      <c r="D163" s="214"/>
      <c r="E163" s="214"/>
      <c r="F163" s="214"/>
      <c r="G163" s="222"/>
      <c r="H163" s="221"/>
      <c r="I163" s="213"/>
      <c r="J163" s="213"/>
      <c r="K163" s="215"/>
      <c r="L163" s="216"/>
      <c r="M163" s="217"/>
      <c r="O163" s="241" t="str">
        <f>IF(Q163 = "", "", COUNT(Q$4:$Q163))</f>
        <v/>
      </c>
      <c r="P163" s="241" t="str">
        <f t="shared" si="20"/>
        <v/>
      </c>
      <c r="Q163" s="242" t="str">
        <f t="shared" si="21"/>
        <v/>
      </c>
      <c r="R163" s="243" t="str">
        <f t="shared" si="24"/>
        <v/>
      </c>
      <c r="S163" s="244" t="str">
        <f t="shared" si="22"/>
        <v/>
      </c>
      <c r="T163" s="245" t="str">
        <f t="shared" si="25"/>
        <v/>
      </c>
      <c r="U163" s="246" t="str">
        <f t="shared" si="23"/>
        <v/>
      </c>
      <c r="V163" s="8"/>
      <c r="AR163" t="str">
        <f t="shared" si="27"/>
        <v/>
      </c>
      <c r="AS163" t="str">
        <f t="shared" si="26"/>
        <v/>
      </c>
    </row>
    <row r="164" spans="1:45" x14ac:dyDescent="0.3">
      <c r="A164" s="231"/>
      <c r="B164" s="235"/>
      <c r="C164" s="214"/>
      <c r="D164" s="214"/>
      <c r="E164" s="214"/>
      <c r="F164" s="214"/>
      <c r="G164" s="222"/>
      <c r="H164" s="221"/>
      <c r="I164" s="213"/>
      <c r="J164" s="213"/>
      <c r="K164" s="215"/>
      <c r="L164" s="216"/>
      <c r="M164" s="217"/>
      <c r="O164" s="241" t="str">
        <f>IF(Q164 = "", "", COUNT(Q$4:$Q164))</f>
        <v/>
      </c>
      <c r="P164" s="241" t="str">
        <f t="shared" si="20"/>
        <v/>
      </c>
      <c r="Q164" s="242" t="str">
        <f t="shared" si="21"/>
        <v/>
      </c>
      <c r="R164" s="243" t="str">
        <f t="shared" si="24"/>
        <v/>
      </c>
      <c r="S164" s="244" t="str">
        <f t="shared" si="22"/>
        <v/>
      </c>
      <c r="T164" s="245" t="str">
        <f t="shared" si="25"/>
        <v/>
      </c>
      <c r="U164" s="246" t="str">
        <f t="shared" si="23"/>
        <v/>
      </c>
      <c r="V164" s="8"/>
      <c r="AR164" t="str">
        <f t="shared" si="27"/>
        <v/>
      </c>
      <c r="AS164" t="str">
        <f t="shared" si="26"/>
        <v/>
      </c>
    </row>
    <row r="165" spans="1:45" x14ac:dyDescent="0.3">
      <c r="A165" s="231"/>
      <c r="B165" s="235"/>
      <c r="C165" s="214"/>
      <c r="D165" s="214"/>
      <c r="E165" s="214"/>
      <c r="F165" s="214"/>
      <c r="G165" s="222"/>
      <c r="H165" s="221"/>
      <c r="I165" s="213"/>
      <c r="J165" s="213"/>
      <c r="K165" s="215"/>
      <c r="L165" s="216"/>
      <c r="M165" s="217"/>
      <c r="O165" s="241" t="str">
        <f>IF(Q165 = "", "", COUNT(Q$4:$Q165))</f>
        <v/>
      </c>
      <c r="P165" s="241" t="str">
        <f t="shared" si="20"/>
        <v/>
      </c>
      <c r="Q165" s="242" t="str">
        <f t="shared" si="21"/>
        <v/>
      </c>
      <c r="R165" s="243" t="str">
        <f t="shared" si="24"/>
        <v/>
      </c>
      <c r="S165" s="244" t="str">
        <f t="shared" si="22"/>
        <v/>
      </c>
      <c r="T165" s="245" t="str">
        <f t="shared" si="25"/>
        <v/>
      </c>
      <c r="U165" s="246" t="str">
        <f t="shared" si="23"/>
        <v/>
      </c>
      <c r="V165" s="8"/>
      <c r="AR165" t="str">
        <f t="shared" si="27"/>
        <v/>
      </c>
      <c r="AS165" t="str">
        <f t="shared" si="26"/>
        <v/>
      </c>
    </row>
    <row r="166" spans="1:45" x14ac:dyDescent="0.3">
      <c r="A166" s="231"/>
      <c r="B166" s="235"/>
      <c r="C166" s="214"/>
      <c r="D166" s="214"/>
      <c r="E166" s="214"/>
      <c r="F166" s="214"/>
      <c r="G166" s="222"/>
      <c r="H166" s="221"/>
      <c r="I166" s="213"/>
      <c r="J166" s="213"/>
      <c r="K166" s="215"/>
      <c r="L166" s="216"/>
      <c r="M166" s="217"/>
      <c r="O166" s="241" t="str">
        <f>IF(Q166 = "", "", COUNT(Q$4:$Q166))</f>
        <v/>
      </c>
      <c r="P166" s="241" t="str">
        <f t="shared" si="20"/>
        <v/>
      </c>
      <c r="Q166" s="242" t="str">
        <f t="shared" si="21"/>
        <v/>
      </c>
      <c r="R166" s="243" t="str">
        <f t="shared" si="24"/>
        <v/>
      </c>
      <c r="S166" s="244" t="str">
        <f t="shared" si="22"/>
        <v/>
      </c>
      <c r="T166" s="245" t="str">
        <f t="shared" si="25"/>
        <v/>
      </c>
      <c r="U166" s="246" t="str">
        <f t="shared" si="23"/>
        <v/>
      </c>
      <c r="V166" s="8"/>
      <c r="AR166" t="str">
        <f t="shared" si="27"/>
        <v/>
      </c>
      <c r="AS166" t="str">
        <f t="shared" si="26"/>
        <v/>
      </c>
    </row>
    <row r="167" spans="1:45" x14ac:dyDescent="0.3">
      <c r="A167" s="231"/>
      <c r="B167" s="235"/>
      <c r="C167" s="214"/>
      <c r="D167" s="214"/>
      <c r="E167" s="214"/>
      <c r="F167" s="214"/>
      <c r="G167" s="222"/>
      <c r="H167" s="221"/>
      <c r="I167" s="213"/>
      <c r="J167" s="213"/>
      <c r="K167" s="215"/>
      <c r="L167" s="216"/>
      <c r="M167" s="217"/>
      <c r="O167" s="241" t="str">
        <f>IF(Q167 = "", "", COUNT(Q$4:$Q167))</f>
        <v/>
      </c>
      <c r="P167" s="241" t="str">
        <f t="shared" si="20"/>
        <v/>
      </c>
      <c r="Q167" s="242" t="str">
        <f t="shared" si="21"/>
        <v/>
      </c>
      <c r="R167" s="243" t="str">
        <f t="shared" si="24"/>
        <v/>
      </c>
      <c r="S167" s="244" t="str">
        <f t="shared" si="22"/>
        <v/>
      </c>
      <c r="T167" s="245" t="str">
        <f t="shared" si="25"/>
        <v/>
      </c>
      <c r="U167" s="246" t="str">
        <f t="shared" si="23"/>
        <v/>
      </c>
      <c r="V167" s="8"/>
      <c r="AR167" t="str">
        <f t="shared" si="27"/>
        <v/>
      </c>
      <c r="AS167" t="str">
        <f t="shared" si="26"/>
        <v/>
      </c>
    </row>
    <row r="168" spans="1:45" x14ac:dyDescent="0.3">
      <c r="A168" s="231"/>
      <c r="B168" s="235"/>
      <c r="C168" s="214"/>
      <c r="D168" s="214"/>
      <c r="E168" s="214"/>
      <c r="F168" s="214"/>
      <c r="G168" s="222"/>
      <c r="H168" s="221"/>
      <c r="I168" s="213"/>
      <c r="J168" s="213"/>
      <c r="K168" s="215"/>
      <c r="L168" s="216"/>
      <c r="M168" s="217"/>
      <c r="O168" s="241" t="str">
        <f>IF(Q168 = "", "", COUNT(Q$4:$Q168))</f>
        <v/>
      </c>
      <c r="P168" s="241" t="str">
        <f t="shared" si="20"/>
        <v/>
      </c>
      <c r="Q168" s="242" t="str">
        <f t="shared" si="21"/>
        <v/>
      </c>
      <c r="R168" s="243" t="str">
        <f t="shared" si="24"/>
        <v/>
      </c>
      <c r="S168" s="244" t="str">
        <f t="shared" si="22"/>
        <v/>
      </c>
      <c r="T168" s="245" t="str">
        <f t="shared" si="25"/>
        <v/>
      </c>
      <c r="U168" s="246" t="str">
        <f t="shared" si="23"/>
        <v/>
      </c>
      <c r="V168" s="8"/>
      <c r="AR168" t="str">
        <f t="shared" si="27"/>
        <v/>
      </c>
      <c r="AS168" t="str">
        <f t="shared" si="26"/>
        <v/>
      </c>
    </row>
    <row r="169" spans="1:45" x14ac:dyDescent="0.3">
      <c r="A169" s="231"/>
      <c r="B169" s="235"/>
      <c r="C169" s="214"/>
      <c r="D169" s="214"/>
      <c r="E169" s="214"/>
      <c r="F169" s="214"/>
      <c r="G169" s="222"/>
      <c r="H169" s="221"/>
      <c r="I169" s="213"/>
      <c r="J169" s="213"/>
      <c r="K169" s="215"/>
      <c r="L169" s="216"/>
      <c r="M169" s="217"/>
      <c r="O169" s="241" t="str">
        <f>IF(Q169 = "", "", COUNT(Q$4:$Q169))</f>
        <v/>
      </c>
      <c r="P169" s="241" t="str">
        <f t="shared" si="20"/>
        <v/>
      </c>
      <c r="Q169" s="242" t="str">
        <f t="shared" si="21"/>
        <v/>
      </c>
      <c r="R169" s="243" t="str">
        <f t="shared" si="24"/>
        <v/>
      </c>
      <c r="S169" s="244" t="str">
        <f t="shared" si="22"/>
        <v/>
      </c>
      <c r="T169" s="245" t="str">
        <f t="shared" si="25"/>
        <v/>
      </c>
      <c r="U169" s="246" t="str">
        <f t="shared" si="23"/>
        <v/>
      </c>
      <c r="V169" s="8"/>
      <c r="AR169" t="str">
        <f t="shared" si="27"/>
        <v/>
      </c>
      <c r="AS169" t="str">
        <f t="shared" si="26"/>
        <v/>
      </c>
    </row>
    <row r="170" spans="1:45" x14ac:dyDescent="0.3">
      <c r="A170" s="231"/>
      <c r="B170" s="235"/>
      <c r="C170" s="214"/>
      <c r="D170" s="214"/>
      <c r="E170" s="214"/>
      <c r="F170" s="214"/>
      <c r="G170" s="222"/>
      <c r="H170" s="221"/>
      <c r="I170" s="213"/>
      <c r="J170" s="213"/>
      <c r="K170" s="215"/>
      <c r="L170" s="216"/>
      <c r="M170" s="217"/>
      <c r="O170" s="241" t="str">
        <f>IF(Q170 = "", "", COUNT(Q$4:$Q170))</f>
        <v/>
      </c>
      <c r="P170" s="241" t="str">
        <f t="shared" si="20"/>
        <v/>
      </c>
      <c r="Q170" s="242" t="str">
        <f t="shared" si="21"/>
        <v/>
      </c>
      <c r="R170" s="243" t="str">
        <f t="shared" si="24"/>
        <v/>
      </c>
      <c r="S170" s="244" t="str">
        <f t="shared" si="22"/>
        <v/>
      </c>
      <c r="T170" s="245" t="str">
        <f t="shared" si="25"/>
        <v/>
      </c>
      <c r="U170" s="246" t="str">
        <f t="shared" si="23"/>
        <v/>
      </c>
      <c r="V170" s="8"/>
      <c r="AR170" t="str">
        <f t="shared" si="27"/>
        <v/>
      </c>
      <c r="AS170" t="str">
        <f t="shared" si="26"/>
        <v/>
      </c>
    </row>
    <row r="171" spans="1:45" x14ac:dyDescent="0.3">
      <c r="A171" s="231"/>
      <c r="B171" s="235"/>
      <c r="C171" s="214"/>
      <c r="D171" s="214"/>
      <c r="E171" s="214"/>
      <c r="F171" s="214"/>
      <c r="G171" s="222"/>
      <c r="H171" s="221"/>
      <c r="I171" s="213"/>
      <c r="J171" s="213"/>
      <c r="K171" s="215"/>
      <c r="L171" s="216"/>
      <c r="M171" s="217"/>
      <c r="O171" s="241" t="str">
        <f>IF(Q171 = "", "", COUNT(Q$4:$Q171))</f>
        <v/>
      </c>
      <c r="P171" s="241" t="str">
        <f t="shared" si="20"/>
        <v/>
      </c>
      <c r="Q171" s="242" t="str">
        <f t="shared" si="21"/>
        <v/>
      </c>
      <c r="R171" s="243" t="str">
        <f t="shared" si="24"/>
        <v/>
      </c>
      <c r="S171" s="244" t="str">
        <f t="shared" si="22"/>
        <v/>
      </c>
      <c r="T171" s="245" t="str">
        <f t="shared" si="25"/>
        <v/>
      </c>
      <c r="U171" s="246" t="str">
        <f t="shared" si="23"/>
        <v/>
      </c>
      <c r="V171" s="8"/>
      <c r="AR171" t="str">
        <f t="shared" si="27"/>
        <v/>
      </c>
      <c r="AS171" t="str">
        <f t="shared" si="26"/>
        <v/>
      </c>
    </row>
    <row r="172" spans="1:45" x14ac:dyDescent="0.3">
      <c r="A172" s="231"/>
      <c r="B172" s="235"/>
      <c r="C172" s="214"/>
      <c r="D172" s="214"/>
      <c r="E172" s="214"/>
      <c r="F172" s="214"/>
      <c r="G172" s="222"/>
      <c r="H172" s="221"/>
      <c r="I172" s="213"/>
      <c r="J172" s="213"/>
      <c r="K172" s="215"/>
      <c r="L172" s="216"/>
      <c r="M172" s="217"/>
      <c r="O172" s="241" t="str">
        <f>IF(Q172 = "", "", COUNT(Q$4:$Q172))</f>
        <v/>
      </c>
      <c r="P172" s="241" t="str">
        <f t="shared" si="20"/>
        <v/>
      </c>
      <c r="Q172" s="242" t="str">
        <f t="shared" si="21"/>
        <v/>
      </c>
      <c r="R172" s="243" t="str">
        <f t="shared" si="24"/>
        <v/>
      </c>
      <c r="S172" s="244" t="str">
        <f t="shared" si="22"/>
        <v/>
      </c>
      <c r="T172" s="245" t="str">
        <f t="shared" si="25"/>
        <v/>
      </c>
      <c r="U172" s="246" t="str">
        <f t="shared" si="23"/>
        <v/>
      </c>
      <c r="V172" s="8"/>
      <c r="AR172" t="str">
        <f t="shared" si="27"/>
        <v/>
      </c>
      <c r="AS172" t="str">
        <f t="shared" si="26"/>
        <v/>
      </c>
    </row>
    <row r="173" spans="1:45" x14ac:dyDescent="0.3">
      <c r="A173" s="231"/>
      <c r="B173" s="235"/>
      <c r="C173" s="214"/>
      <c r="D173" s="214"/>
      <c r="E173" s="214"/>
      <c r="F173" s="214"/>
      <c r="G173" s="222"/>
      <c r="H173" s="221"/>
      <c r="I173" s="213"/>
      <c r="J173" s="213"/>
      <c r="K173" s="215"/>
      <c r="L173" s="216"/>
      <c r="M173" s="217"/>
      <c r="O173" s="241" t="str">
        <f>IF(Q173 = "", "", COUNT(Q$4:$Q173))</f>
        <v/>
      </c>
      <c r="P173" s="241" t="str">
        <f t="shared" si="20"/>
        <v/>
      </c>
      <c r="Q173" s="242" t="str">
        <f t="shared" si="21"/>
        <v/>
      </c>
      <c r="R173" s="243" t="str">
        <f t="shared" si="24"/>
        <v/>
      </c>
      <c r="S173" s="244" t="str">
        <f t="shared" si="22"/>
        <v/>
      </c>
      <c r="T173" s="245" t="str">
        <f t="shared" si="25"/>
        <v/>
      </c>
      <c r="U173" s="246" t="str">
        <f t="shared" si="23"/>
        <v/>
      </c>
      <c r="V173" s="8"/>
      <c r="AR173" t="str">
        <f t="shared" si="27"/>
        <v/>
      </c>
      <c r="AS173" t="str">
        <f t="shared" si="26"/>
        <v/>
      </c>
    </row>
    <row r="174" spans="1:45" x14ac:dyDescent="0.3">
      <c r="A174" s="231"/>
      <c r="B174" s="235"/>
      <c r="C174" s="214"/>
      <c r="D174" s="214"/>
      <c r="E174" s="214"/>
      <c r="F174" s="214"/>
      <c r="G174" s="222"/>
      <c r="H174" s="221"/>
      <c r="I174" s="213"/>
      <c r="J174" s="213"/>
      <c r="K174" s="215"/>
      <c r="L174" s="216"/>
      <c r="M174" s="217"/>
      <c r="O174" s="241" t="str">
        <f>IF(Q174 = "", "", COUNT(Q$4:$Q174))</f>
        <v/>
      </c>
      <c r="P174" s="241" t="str">
        <f t="shared" si="20"/>
        <v/>
      </c>
      <c r="Q174" s="242" t="str">
        <f t="shared" si="21"/>
        <v/>
      </c>
      <c r="R174" s="243" t="str">
        <f t="shared" si="24"/>
        <v/>
      </c>
      <c r="S174" s="244" t="str">
        <f t="shared" si="22"/>
        <v/>
      </c>
      <c r="T174" s="245" t="str">
        <f t="shared" si="25"/>
        <v/>
      </c>
      <c r="U174" s="246" t="str">
        <f t="shared" si="23"/>
        <v/>
      </c>
      <c r="V174" s="8"/>
      <c r="AR174" t="str">
        <f t="shared" si="27"/>
        <v/>
      </c>
      <c r="AS174" t="str">
        <f t="shared" si="26"/>
        <v/>
      </c>
    </row>
    <row r="175" spans="1:45" x14ac:dyDescent="0.3">
      <c r="A175" s="231"/>
      <c r="B175" s="235"/>
      <c r="C175" s="214"/>
      <c r="D175" s="214"/>
      <c r="E175" s="214"/>
      <c r="F175" s="214"/>
      <c r="G175" s="222"/>
      <c r="H175" s="221"/>
      <c r="I175" s="213"/>
      <c r="J175" s="213"/>
      <c r="K175" s="215"/>
      <c r="L175" s="216"/>
      <c r="M175" s="217"/>
      <c r="O175" s="241" t="str">
        <f>IF(Q175 = "", "", COUNT(Q$4:$Q175))</f>
        <v/>
      </c>
      <c r="P175" s="241" t="str">
        <f t="shared" si="20"/>
        <v/>
      </c>
      <c r="Q175" s="242" t="str">
        <f t="shared" si="21"/>
        <v/>
      </c>
      <c r="R175" s="243" t="str">
        <f t="shared" si="24"/>
        <v/>
      </c>
      <c r="S175" s="244" t="str">
        <f t="shared" si="22"/>
        <v/>
      </c>
      <c r="T175" s="245" t="str">
        <f t="shared" si="25"/>
        <v/>
      </c>
      <c r="U175" s="246" t="str">
        <f t="shared" si="23"/>
        <v/>
      </c>
      <c r="V175" s="8"/>
      <c r="AR175" t="str">
        <f t="shared" si="27"/>
        <v/>
      </c>
      <c r="AS175" t="str">
        <f t="shared" si="26"/>
        <v/>
      </c>
    </row>
    <row r="176" spans="1:45" x14ac:dyDescent="0.3">
      <c r="A176" s="231"/>
      <c r="B176" s="235"/>
      <c r="C176" s="214"/>
      <c r="D176" s="214"/>
      <c r="E176" s="214"/>
      <c r="F176" s="214"/>
      <c r="G176" s="222"/>
      <c r="H176" s="221"/>
      <c r="I176" s="213"/>
      <c r="J176" s="213"/>
      <c r="K176" s="215"/>
      <c r="L176" s="216"/>
      <c r="M176" s="217"/>
      <c r="O176" s="241" t="str">
        <f>IF(Q176 = "", "", COUNT(Q$4:$Q176))</f>
        <v/>
      </c>
      <c r="P176" s="241" t="str">
        <f t="shared" si="20"/>
        <v/>
      </c>
      <c r="Q176" s="242" t="str">
        <f t="shared" si="21"/>
        <v/>
      </c>
      <c r="R176" s="243" t="str">
        <f t="shared" si="24"/>
        <v/>
      </c>
      <c r="S176" s="244" t="str">
        <f t="shared" si="22"/>
        <v/>
      </c>
      <c r="T176" s="245" t="str">
        <f t="shared" si="25"/>
        <v/>
      </c>
      <c r="U176" s="246" t="str">
        <f t="shared" si="23"/>
        <v/>
      </c>
      <c r="V176" s="8"/>
      <c r="AR176" t="str">
        <f t="shared" si="27"/>
        <v/>
      </c>
      <c r="AS176" t="str">
        <f t="shared" si="26"/>
        <v/>
      </c>
    </row>
    <row r="177" spans="1:45" x14ac:dyDescent="0.3">
      <c r="A177" s="231"/>
      <c r="B177" s="235"/>
      <c r="C177" s="214"/>
      <c r="D177" s="214"/>
      <c r="E177" s="214"/>
      <c r="F177" s="214"/>
      <c r="G177" s="222"/>
      <c r="H177" s="221"/>
      <c r="I177" s="213"/>
      <c r="J177" s="213"/>
      <c r="K177" s="215"/>
      <c r="L177" s="216"/>
      <c r="M177" s="217"/>
      <c r="O177" s="241" t="str">
        <f>IF(Q177 = "", "", COUNT(Q$4:$Q177))</f>
        <v/>
      </c>
      <c r="P177" s="241" t="str">
        <f t="shared" si="20"/>
        <v/>
      </c>
      <c r="Q177" s="242" t="str">
        <f t="shared" si="21"/>
        <v/>
      </c>
      <c r="R177" s="243" t="str">
        <f t="shared" si="24"/>
        <v/>
      </c>
      <c r="S177" s="244" t="str">
        <f t="shared" si="22"/>
        <v/>
      </c>
      <c r="T177" s="245" t="str">
        <f t="shared" si="25"/>
        <v/>
      </c>
      <c r="U177" s="246" t="str">
        <f t="shared" si="23"/>
        <v/>
      </c>
      <c r="V177" s="8"/>
      <c r="AR177" t="str">
        <f t="shared" si="27"/>
        <v/>
      </c>
      <c r="AS177" t="str">
        <f t="shared" si="26"/>
        <v/>
      </c>
    </row>
    <row r="178" spans="1:45" x14ac:dyDescent="0.3">
      <c r="A178" s="231"/>
      <c r="B178" s="235"/>
      <c r="C178" s="214"/>
      <c r="D178" s="214"/>
      <c r="E178" s="214"/>
      <c r="F178" s="214"/>
      <c r="G178" s="222"/>
      <c r="H178" s="221"/>
      <c r="I178" s="213"/>
      <c r="J178" s="213"/>
      <c r="K178" s="215"/>
      <c r="L178" s="216"/>
      <c r="M178" s="217"/>
      <c r="O178" s="241" t="str">
        <f>IF(Q178 = "", "", COUNT(Q$4:$Q178))</f>
        <v/>
      </c>
      <c r="P178" s="241" t="str">
        <f t="shared" si="20"/>
        <v/>
      </c>
      <c r="Q178" s="242" t="str">
        <f t="shared" si="21"/>
        <v/>
      </c>
      <c r="R178" s="243" t="str">
        <f t="shared" si="24"/>
        <v/>
      </c>
      <c r="S178" s="244" t="str">
        <f t="shared" si="22"/>
        <v/>
      </c>
      <c r="T178" s="245" t="str">
        <f t="shared" si="25"/>
        <v/>
      </c>
      <c r="U178" s="246" t="str">
        <f t="shared" si="23"/>
        <v/>
      </c>
      <c r="V178" s="8"/>
      <c r="AR178" t="str">
        <f t="shared" si="27"/>
        <v/>
      </c>
      <c r="AS178" t="str">
        <f t="shared" si="26"/>
        <v/>
      </c>
    </row>
    <row r="179" spans="1:45" x14ac:dyDescent="0.3">
      <c r="A179" s="231"/>
      <c r="B179" s="235"/>
      <c r="C179" s="214"/>
      <c r="D179" s="214"/>
      <c r="E179" s="214"/>
      <c r="F179" s="214"/>
      <c r="G179" s="222"/>
      <c r="H179" s="221"/>
      <c r="I179" s="213"/>
      <c r="J179" s="213"/>
      <c r="K179" s="215"/>
      <c r="L179" s="216"/>
      <c r="M179" s="217"/>
      <c r="O179" s="241" t="str">
        <f>IF(Q179 = "", "", COUNT(Q$4:$Q179))</f>
        <v/>
      </c>
      <c r="P179" s="241" t="str">
        <f t="shared" si="20"/>
        <v/>
      </c>
      <c r="Q179" s="242" t="str">
        <f t="shared" si="21"/>
        <v/>
      </c>
      <c r="R179" s="243" t="str">
        <f t="shared" si="24"/>
        <v/>
      </c>
      <c r="S179" s="244" t="str">
        <f t="shared" si="22"/>
        <v/>
      </c>
      <c r="T179" s="245" t="str">
        <f t="shared" si="25"/>
        <v/>
      </c>
      <c r="U179" s="246" t="str">
        <f t="shared" si="23"/>
        <v/>
      </c>
      <c r="V179" s="8"/>
      <c r="AR179" t="str">
        <f t="shared" si="27"/>
        <v/>
      </c>
      <c r="AS179" t="str">
        <f t="shared" si="26"/>
        <v/>
      </c>
    </row>
    <row r="180" spans="1:45" x14ac:dyDescent="0.3">
      <c r="A180" s="231"/>
      <c r="B180" s="235"/>
      <c r="C180" s="214"/>
      <c r="D180" s="214"/>
      <c r="E180" s="214"/>
      <c r="F180" s="214"/>
      <c r="G180" s="222"/>
      <c r="H180" s="221"/>
      <c r="I180" s="213"/>
      <c r="J180" s="213"/>
      <c r="K180" s="215"/>
      <c r="L180" s="216"/>
      <c r="M180" s="217"/>
      <c r="O180" s="241" t="str">
        <f>IF(Q180 = "", "", COUNT(Q$4:$Q180))</f>
        <v/>
      </c>
      <c r="P180" s="241" t="str">
        <f t="shared" si="20"/>
        <v/>
      </c>
      <c r="Q180" s="242" t="str">
        <f t="shared" si="21"/>
        <v/>
      </c>
      <c r="R180" s="243" t="str">
        <f t="shared" si="24"/>
        <v/>
      </c>
      <c r="S180" s="244" t="str">
        <f t="shared" si="22"/>
        <v/>
      </c>
      <c r="T180" s="245" t="str">
        <f t="shared" si="25"/>
        <v/>
      </c>
      <c r="U180" s="246" t="str">
        <f t="shared" si="23"/>
        <v/>
      </c>
      <c r="V180" s="8"/>
      <c r="AR180" t="str">
        <f t="shared" si="27"/>
        <v/>
      </c>
      <c r="AS180" t="str">
        <f t="shared" si="26"/>
        <v/>
      </c>
    </row>
    <row r="181" spans="1:45" x14ac:dyDescent="0.3">
      <c r="A181" s="231"/>
      <c r="B181" s="235"/>
      <c r="C181" s="214"/>
      <c r="D181" s="214"/>
      <c r="E181" s="214"/>
      <c r="F181" s="214"/>
      <c r="G181" s="222"/>
      <c r="H181" s="221"/>
      <c r="I181" s="213"/>
      <c r="J181" s="213"/>
      <c r="K181" s="215"/>
      <c r="L181" s="216"/>
      <c r="M181" s="217"/>
      <c r="O181" s="241" t="str">
        <f>IF(Q181 = "", "", COUNT(Q$4:$Q181))</f>
        <v/>
      </c>
      <c r="P181" s="241" t="str">
        <f t="shared" si="20"/>
        <v/>
      </c>
      <c r="Q181" s="242" t="str">
        <f t="shared" si="21"/>
        <v/>
      </c>
      <c r="R181" s="243" t="str">
        <f t="shared" si="24"/>
        <v/>
      </c>
      <c r="S181" s="244" t="str">
        <f t="shared" si="22"/>
        <v/>
      </c>
      <c r="T181" s="245" t="str">
        <f t="shared" si="25"/>
        <v/>
      </c>
      <c r="U181" s="246" t="str">
        <f t="shared" si="23"/>
        <v/>
      </c>
      <c r="V181" s="8"/>
      <c r="AR181" t="str">
        <f t="shared" si="27"/>
        <v/>
      </c>
      <c r="AS181" t="str">
        <f t="shared" si="26"/>
        <v/>
      </c>
    </row>
    <row r="182" spans="1:45" x14ac:dyDescent="0.3">
      <c r="A182" s="231"/>
      <c r="B182" s="235"/>
      <c r="C182" s="214"/>
      <c r="D182" s="214"/>
      <c r="E182" s="214"/>
      <c r="F182" s="214"/>
      <c r="G182" s="222"/>
      <c r="H182" s="221"/>
      <c r="I182" s="213"/>
      <c r="J182" s="213"/>
      <c r="K182" s="215"/>
      <c r="L182" s="216"/>
      <c r="M182" s="217"/>
      <c r="O182" s="241" t="str">
        <f>IF(Q182 = "", "", COUNT(Q$4:$Q182))</f>
        <v/>
      </c>
      <c r="P182" s="241" t="str">
        <f t="shared" si="20"/>
        <v/>
      </c>
      <c r="Q182" s="242" t="str">
        <f t="shared" si="21"/>
        <v/>
      </c>
      <c r="R182" s="243" t="str">
        <f t="shared" si="24"/>
        <v/>
      </c>
      <c r="S182" s="244" t="str">
        <f t="shared" si="22"/>
        <v/>
      </c>
      <c r="T182" s="245" t="str">
        <f t="shared" si="25"/>
        <v/>
      </c>
      <c r="U182" s="246" t="str">
        <f t="shared" si="23"/>
        <v/>
      </c>
      <c r="V182" s="8"/>
      <c r="AR182" t="str">
        <f t="shared" si="27"/>
        <v/>
      </c>
      <c r="AS182" t="str">
        <f t="shared" si="26"/>
        <v/>
      </c>
    </row>
    <row r="183" spans="1:45" x14ac:dyDescent="0.3">
      <c r="A183" s="231"/>
      <c r="B183" s="235"/>
      <c r="C183" s="214"/>
      <c r="D183" s="214"/>
      <c r="E183" s="214"/>
      <c r="F183" s="214"/>
      <c r="G183" s="222"/>
      <c r="H183" s="221"/>
      <c r="I183" s="213"/>
      <c r="J183" s="213"/>
      <c r="K183" s="215"/>
      <c r="L183" s="216"/>
      <c r="M183" s="217"/>
      <c r="O183" s="241" t="str">
        <f>IF(Q183 = "", "", COUNT(Q$4:$Q183))</f>
        <v/>
      </c>
      <c r="P183" s="241" t="str">
        <f t="shared" si="20"/>
        <v/>
      </c>
      <c r="Q183" s="242" t="str">
        <f t="shared" si="21"/>
        <v/>
      </c>
      <c r="R183" s="243" t="str">
        <f t="shared" si="24"/>
        <v/>
      </c>
      <c r="S183" s="244" t="str">
        <f t="shared" si="22"/>
        <v/>
      </c>
      <c r="T183" s="245" t="str">
        <f t="shared" si="25"/>
        <v/>
      </c>
      <c r="U183" s="246" t="str">
        <f t="shared" si="23"/>
        <v/>
      </c>
      <c r="V183" s="8"/>
      <c r="AR183" t="str">
        <f t="shared" si="27"/>
        <v/>
      </c>
      <c r="AS183" t="str">
        <f t="shared" si="26"/>
        <v/>
      </c>
    </row>
    <row r="184" spans="1:45" x14ac:dyDescent="0.3">
      <c r="A184" s="231"/>
      <c r="B184" s="235"/>
      <c r="C184" s="214"/>
      <c r="D184" s="214"/>
      <c r="E184" s="214"/>
      <c r="F184" s="214"/>
      <c r="G184" s="222"/>
      <c r="H184" s="221"/>
      <c r="I184" s="213"/>
      <c r="J184" s="213"/>
      <c r="K184" s="215"/>
      <c r="L184" s="216"/>
      <c r="M184" s="217"/>
      <c r="O184" s="241" t="str">
        <f>IF(Q184 = "", "", COUNT(Q$4:$Q184))</f>
        <v/>
      </c>
      <c r="P184" s="241" t="str">
        <f t="shared" si="20"/>
        <v/>
      </c>
      <c r="Q184" s="242" t="str">
        <f t="shared" si="21"/>
        <v/>
      </c>
      <c r="R184" s="243" t="str">
        <f t="shared" si="24"/>
        <v/>
      </c>
      <c r="S184" s="244" t="str">
        <f t="shared" si="22"/>
        <v/>
      </c>
      <c r="T184" s="245" t="str">
        <f t="shared" si="25"/>
        <v/>
      </c>
      <c r="U184" s="246" t="str">
        <f t="shared" si="23"/>
        <v/>
      </c>
      <c r="V184" s="8"/>
      <c r="AR184" t="str">
        <f t="shared" si="27"/>
        <v/>
      </c>
      <c r="AS184" t="str">
        <f t="shared" si="26"/>
        <v/>
      </c>
    </row>
    <row r="185" spans="1:45" x14ac:dyDescent="0.3">
      <c r="A185" s="231"/>
      <c r="B185" s="235"/>
      <c r="C185" s="214"/>
      <c r="D185" s="214"/>
      <c r="E185" s="214"/>
      <c r="F185" s="214"/>
      <c r="G185" s="222"/>
      <c r="H185" s="221"/>
      <c r="I185" s="213"/>
      <c r="J185" s="213"/>
      <c r="K185" s="215"/>
      <c r="L185" s="216"/>
      <c r="M185" s="217"/>
      <c r="O185" s="241" t="str">
        <f>IF(Q185 = "", "", COUNT(Q$4:$Q185))</f>
        <v/>
      </c>
      <c r="P185" s="241" t="str">
        <f t="shared" si="20"/>
        <v/>
      </c>
      <c r="Q185" s="242" t="str">
        <f t="shared" si="21"/>
        <v/>
      </c>
      <c r="R185" s="243" t="str">
        <f t="shared" si="24"/>
        <v/>
      </c>
      <c r="S185" s="244" t="str">
        <f t="shared" si="22"/>
        <v/>
      </c>
      <c r="T185" s="245" t="str">
        <f t="shared" si="25"/>
        <v/>
      </c>
      <c r="U185" s="246" t="str">
        <f t="shared" si="23"/>
        <v/>
      </c>
      <c r="V185" s="8"/>
      <c r="AR185" t="str">
        <f t="shared" si="27"/>
        <v/>
      </c>
      <c r="AS185" t="str">
        <f t="shared" si="26"/>
        <v/>
      </c>
    </row>
    <row r="186" spans="1:45" x14ac:dyDescent="0.3">
      <c r="A186" s="231"/>
      <c r="B186" s="235"/>
      <c r="C186" s="214"/>
      <c r="D186" s="214"/>
      <c r="E186" s="214"/>
      <c r="F186" s="214"/>
      <c r="G186" s="222"/>
      <c r="H186" s="221"/>
      <c r="I186" s="213"/>
      <c r="J186" s="213"/>
      <c r="K186" s="215"/>
      <c r="L186" s="216"/>
      <c r="M186" s="217"/>
      <c r="O186" s="241" t="str">
        <f>IF(Q186 = "", "", COUNT(Q$4:$Q186))</f>
        <v/>
      </c>
      <c r="P186" s="241" t="str">
        <f t="shared" si="20"/>
        <v/>
      </c>
      <c r="Q186" s="242" t="str">
        <f t="shared" si="21"/>
        <v/>
      </c>
      <c r="R186" s="243" t="str">
        <f t="shared" si="24"/>
        <v/>
      </c>
      <c r="S186" s="244" t="str">
        <f t="shared" si="22"/>
        <v/>
      </c>
      <c r="T186" s="245" t="str">
        <f t="shared" si="25"/>
        <v/>
      </c>
      <c r="U186" s="246" t="str">
        <f t="shared" si="23"/>
        <v/>
      </c>
      <c r="V186" s="8"/>
      <c r="AR186" t="str">
        <f t="shared" si="27"/>
        <v/>
      </c>
      <c r="AS186" t="str">
        <f t="shared" si="26"/>
        <v/>
      </c>
    </row>
    <row r="187" spans="1:45" x14ac:dyDescent="0.3">
      <c r="A187" s="231"/>
      <c r="B187" s="235"/>
      <c r="C187" s="214"/>
      <c r="D187" s="214"/>
      <c r="E187" s="214"/>
      <c r="F187" s="214"/>
      <c r="G187" s="222"/>
      <c r="H187" s="221"/>
      <c r="I187" s="213"/>
      <c r="J187" s="213"/>
      <c r="K187" s="215"/>
      <c r="L187" s="216"/>
      <c r="M187" s="217"/>
      <c r="O187" s="241" t="str">
        <f>IF(Q187 = "", "", COUNT(Q$4:$Q187))</f>
        <v/>
      </c>
      <c r="P187" s="241" t="str">
        <f t="shared" si="20"/>
        <v/>
      </c>
      <c r="Q187" s="242" t="str">
        <f t="shared" si="21"/>
        <v/>
      </c>
      <c r="R187" s="243" t="str">
        <f t="shared" si="24"/>
        <v/>
      </c>
      <c r="S187" s="244" t="str">
        <f t="shared" si="22"/>
        <v/>
      </c>
      <c r="T187" s="245" t="str">
        <f t="shared" si="25"/>
        <v/>
      </c>
      <c r="U187" s="246" t="str">
        <f t="shared" si="23"/>
        <v/>
      </c>
      <c r="V187" s="8"/>
      <c r="AR187" t="str">
        <f t="shared" si="27"/>
        <v/>
      </c>
      <c r="AS187" t="str">
        <f t="shared" si="26"/>
        <v/>
      </c>
    </row>
    <row r="188" spans="1:45" x14ac:dyDescent="0.3">
      <c r="A188" s="231"/>
      <c r="B188" s="235"/>
      <c r="C188" s="214"/>
      <c r="D188" s="214"/>
      <c r="E188" s="214"/>
      <c r="F188" s="214"/>
      <c r="G188" s="222"/>
      <c r="H188" s="221"/>
      <c r="I188" s="213"/>
      <c r="J188" s="213"/>
      <c r="K188" s="215"/>
      <c r="L188" s="216"/>
      <c r="M188" s="217"/>
      <c r="O188" s="241" t="str">
        <f>IF(Q188 = "", "", COUNT(Q$4:$Q188))</f>
        <v/>
      </c>
      <c r="P188" s="241" t="str">
        <f t="shared" si="20"/>
        <v/>
      </c>
      <c r="Q188" s="242" t="str">
        <f t="shared" si="21"/>
        <v/>
      </c>
      <c r="R188" s="243" t="str">
        <f t="shared" si="24"/>
        <v/>
      </c>
      <c r="S188" s="244" t="str">
        <f t="shared" si="22"/>
        <v/>
      </c>
      <c r="T188" s="245" t="str">
        <f t="shared" si="25"/>
        <v/>
      </c>
      <c r="U188" s="246" t="str">
        <f t="shared" si="23"/>
        <v/>
      </c>
      <c r="V188" s="8"/>
      <c r="AR188" t="str">
        <f t="shared" si="27"/>
        <v/>
      </c>
      <c r="AS188" t="str">
        <f t="shared" si="26"/>
        <v/>
      </c>
    </row>
    <row r="189" spans="1:45" x14ac:dyDescent="0.3">
      <c r="A189" s="231"/>
      <c r="B189" s="235"/>
      <c r="C189" s="214"/>
      <c r="D189" s="214"/>
      <c r="E189" s="214"/>
      <c r="F189" s="214"/>
      <c r="G189" s="222"/>
      <c r="H189" s="221"/>
      <c r="I189" s="213"/>
      <c r="J189" s="213"/>
      <c r="K189" s="215"/>
      <c r="L189" s="216"/>
      <c r="M189" s="217"/>
      <c r="O189" s="241" t="str">
        <f>IF(Q189 = "", "", COUNT(Q$4:$Q189))</f>
        <v/>
      </c>
      <c r="P189" s="241" t="str">
        <f t="shared" si="20"/>
        <v/>
      </c>
      <c r="Q189" s="242" t="str">
        <f t="shared" si="21"/>
        <v/>
      </c>
      <c r="R189" s="243" t="str">
        <f t="shared" si="24"/>
        <v/>
      </c>
      <c r="S189" s="244" t="str">
        <f t="shared" si="22"/>
        <v/>
      </c>
      <c r="T189" s="245" t="str">
        <f t="shared" si="25"/>
        <v/>
      </c>
      <c r="U189" s="246" t="str">
        <f t="shared" si="23"/>
        <v/>
      </c>
      <c r="V189" s="8"/>
      <c r="AR189" t="str">
        <f t="shared" si="27"/>
        <v/>
      </c>
      <c r="AS189" t="str">
        <f t="shared" si="26"/>
        <v/>
      </c>
    </row>
    <row r="190" spans="1:45" x14ac:dyDescent="0.3">
      <c r="A190" s="231"/>
      <c r="B190" s="235"/>
      <c r="C190" s="214"/>
      <c r="D190" s="214"/>
      <c r="E190" s="214"/>
      <c r="F190" s="214"/>
      <c r="G190" s="222"/>
      <c r="H190" s="221"/>
      <c r="I190" s="213"/>
      <c r="J190" s="213"/>
      <c r="K190" s="215"/>
      <c r="L190" s="216"/>
      <c r="M190" s="217"/>
      <c r="O190" s="241" t="str">
        <f>IF(Q190 = "", "", COUNT(Q$4:$Q190))</f>
        <v/>
      </c>
      <c r="P190" s="241" t="str">
        <f t="shared" si="20"/>
        <v/>
      </c>
      <c r="Q190" s="242" t="str">
        <f t="shared" si="21"/>
        <v/>
      </c>
      <c r="R190" s="243" t="str">
        <f t="shared" si="24"/>
        <v/>
      </c>
      <c r="S190" s="244" t="str">
        <f t="shared" si="22"/>
        <v/>
      </c>
      <c r="T190" s="245" t="str">
        <f t="shared" si="25"/>
        <v/>
      </c>
      <c r="U190" s="246" t="str">
        <f t="shared" si="23"/>
        <v/>
      </c>
      <c r="V190" s="8"/>
      <c r="AR190" t="str">
        <f t="shared" si="27"/>
        <v/>
      </c>
      <c r="AS190" t="str">
        <f t="shared" si="26"/>
        <v/>
      </c>
    </row>
    <row r="191" spans="1:45" x14ac:dyDescent="0.3">
      <c r="A191" s="231"/>
      <c r="B191" s="235"/>
      <c r="C191" s="214"/>
      <c r="D191" s="214"/>
      <c r="E191" s="214"/>
      <c r="F191" s="214"/>
      <c r="G191" s="222"/>
      <c r="H191" s="221"/>
      <c r="I191" s="213"/>
      <c r="J191" s="213"/>
      <c r="K191" s="215"/>
      <c r="L191" s="216"/>
      <c r="M191" s="217"/>
      <c r="O191" s="241" t="str">
        <f>IF(Q191 = "", "", COUNT(Q$4:$Q191))</f>
        <v/>
      </c>
      <c r="P191" s="241" t="str">
        <f t="shared" si="20"/>
        <v/>
      </c>
      <c r="Q191" s="242" t="str">
        <f t="shared" si="21"/>
        <v/>
      </c>
      <c r="R191" s="243" t="str">
        <f t="shared" si="24"/>
        <v/>
      </c>
      <c r="S191" s="244" t="str">
        <f t="shared" si="22"/>
        <v/>
      </c>
      <c r="T191" s="245" t="str">
        <f t="shared" si="25"/>
        <v/>
      </c>
      <c r="U191" s="246" t="str">
        <f t="shared" si="23"/>
        <v/>
      </c>
      <c r="V191" s="8"/>
      <c r="AR191" t="str">
        <f t="shared" si="27"/>
        <v/>
      </c>
      <c r="AS191" t="str">
        <f t="shared" si="26"/>
        <v/>
      </c>
    </row>
    <row r="192" spans="1:45" x14ac:dyDescent="0.3">
      <c r="A192" s="231"/>
      <c r="B192" s="235"/>
      <c r="C192" s="214"/>
      <c r="D192" s="214"/>
      <c r="E192" s="214"/>
      <c r="F192" s="214"/>
      <c r="G192" s="222"/>
      <c r="H192" s="221"/>
      <c r="I192" s="213"/>
      <c r="J192" s="213"/>
      <c r="K192" s="215"/>
      <c r="L192" s="216"/>
      <c r="M192" s="217"/>
      <c r="O192" s="241" t="str">
        <f>IF(Q192 = "", "", COUNT(Q$4:$Q192))</f>
        <v/>
      </c>
      <c r="P192" s="241" t="str">
        <f t="shared" si="20"/>
        <v/>
      </c>
      <c r="Q192" s="242" t="str">
        <f t="shared" si="21"/>
        <v/>
      </c>
      <c r="R192" s="243" t="str">
        <f t="shared" si="24"/>
        <v/>
      </c>
      <c r="S192" s="244" t="str">
        <f t="shared" si="22"/>
        <v/>
      </c>
      <c r="T192" s="245" t="str">
        <f t="shared" si="25"/>
        <v/>
      </c>
      <c r="U192" s="246" t="str">
        <f t="shared" si="23"/>
        <v/>
      </c>
      <c r="V192" s="8"/>
      <c r="AR192" t="str">
        <f t="shared" si="27"/>
        <v/>
      </c>
      <c r="AS192" t="str">
        <f t="shared" si="26"/>
        <v/>
      </c>
    </row>
    <row r="193" spans="1:45" x14ac:dyDescent="0.3">
      <c r="A193" s="231"/>
      <c r="B193" s="235"/>
      <c r="C193" s="214"/>
      <c r="D193" s="214"/>
      <c r="E193" s="214"/>
      <c r="F193" s="214"/>
      <c r="G193" s="222"/>
      <c r="H193" s="221"/>
      <c r="I193" s="213"/>
      <c r="J193" s="213"/>
      <c r="K193" s="215"/>
      <c r="L193" s="216"/>
      <c r="M193" s="217"/>
      <c r="O193" s="241" t="str">
        <f>IF(Q193 = "", "", COUNT(Q$4:$Q193))</f>
        <v/>
      </c>
      <c r="P193" s="241" t="str">
        <f t="shared" si="20"/>
        <v/>
      </c>
      <c r="Q193" s="242" t="str">
        <f t="shared" si="21"/>
        <v/>
      </c>
      <c r="R193" s="243" t="str">
        <f t="shared" si="24"/>
        <v/>
      </c>
      <c r="S193" s="244" t="str">
        <f t="shared" si="22"/>
        <v/>
      </c>
      <c r="T193" s="245" t="str">
        <f t="shared" si="25"/>
        <v/>
      </c>
      <c r="U193" s="246" t="str">
        <f t="shared" si="23"/>
        <v/>
      </c>
      <c r="V193" s="8"/>
      <c r="AR193" t="str">
        <f t="shared" si="27"/>
        <v/>
      </c>
      <c r="AS193" t="str">
        <f t="shared" si="26"/>
        <v/>
      </c>
    </row>
    <row r="194" spans="1:45" x14ac:dyDescent="0.3">
      <c r="A194" s="231"/>
      <c r="B194" s="235"/>
      <c r="C194" s="214"/>
      <c r="D194" s="214"/>
      <c r="E194" s="214"/>
      <c r="F194" s="214"/>
      <c r="G194" s="222"/>
      <c r="H194" s="221"/>
      <c r="I194" s="213"/>
      <c r="J194" s="213"/>
      <c r="K194" s="215"/>
      <c r="L194" s="216"/>
      <c r="M194" s="217"/>
      <c r="O194" s="241" t="str">
        <f>IF(Q194 = "", "", COUNT(Q$4:$Q194))</f>
        <v/>
      </c>
      <c r="P194" s="241" t="str">
        <f t="shared" si="20"/>
        <v/>
      </c>
      <c r="Q194" s="242" t="str">
        <f t="shared" si="21"/>
        <v/>
      </c>
      <c r="R194" s="243" t="str">
        <f t="shared" si="24"/>
        <v/>
      </c>
      <c r="S194" s="244" t="str">
        <f t="shared" si="22"/>
        <v/>
      </c>
      <c r="T194" s="245" t="str">
        <f t="shared" si="25"/>
        <v/>
      </c>
      <c r="U194" s="246" t="str">
        <f t="shared" si="23"/>
        <v/>
      </c>
      <c r="V194" s="8"/>
      <c r="AR194" t="str">
        <f t="shared" si="27"/>
        <v/>
      </c>
      <c r="AS194" t="str">
        <f t="shared" si="26"/>
        <v/>
      </c>
    </row>
    <row r="195" spans="1:45" x14ac:dyDescent="0.3">
      <c r="A195" s="231"/>
      <c r="B195" s="235"/>
      <c r="C195" s="214"/>
      <c r="D195" s="214"/>
      <c r="E195" s="214"/>
      <c r="F195" s="214"/>
      <c r="G195" s="222"/>
      <c r="H195" s="221"/>
      <c r="I195" s="213"/>
      <c r="J195" s="213"/>
      <c r="K195" s="215"/>
      <c r="L195" s="216"/>
      <c r="M195" s="217"/>
      <c r="O195" s="241" t="str">
        <f>IF(Q195 = "", "", COUNT(Q$4:$Q195))</f>
        <v/>
      </c>
      <c r="P195" s="241" t="str">
        <f t="shared" si="20"/>
        <v/>
      </c>
      <c r="Q195" s="242" t="str">
        <f t="shared" si="21"/>
        <v/>
      </c>
      <c r="R195" s="243" t="str">
        <f t="shared" si="24"/>
        <v/>
      </c>
      <c r="S195" s="244" t="str">
        <f t="shared" si="22"/>
        <v/>
      </c>
      <c r="T195" s="245" t="str">
        <f t="shared" si="25"/>
        <v/>
      </c>
      <c r="U195" s="246" t="str">
        <f t="shared" si="23"/>
        <v/>
      </c>
      <c r="V195" s="8"/>
      <c r="AR195" t="str">
        <f t="shared" si="27"/>
        <v/>
      </c>
      <c r="AS195" t="str">
        <f t="shared" si="26"/>
        <v/>
      </c>
    </row>
    <row r="196" spans="1:45" x14ac:dyDescent="0.3">
      <c r="A196" s="231"/>
      <c r="B196" s="235"/>
      <c r="C196" s="214"/>
      <c r="D196" s="214"/>
      <c r="E196" s="214"/>
      <c r="F196" s="214"/>
      <c r="G196" s="222"/>
      <c r="H196" s="221"/>
      <c r="I196" s="213"/>
      <c r="J196" s="213"/>
      <c r="K196" s="215"/>
      <c r="L196" s="216"/>
      <c r="M196" s="217"/>
      <c r="O196" s="241" t="str">
        <f>IF(Q196 = "", "", COUNT(Q$4:$Q196))</f>
        <v/>
      </c>
      <c r="P196" s="241" t="str">
        <f t="shared" ref="P196:P259" si="28">IF(C196 &gt; 0, YEAR(B196), "")</f>
        <v/>
      </c>
      <c r="Q196" s="242" t="str">
        <f t="shared" ref="Q196:Q259" si="29">IF(A196="", "", IF(G196="",1,IF(G196="O",1,IF(G196="C",8.4,IF(G196="B",8.4,IF(G196="A",76.8,IF(G196="K",76.8,"ERR")))))))</f>
        <v/>
      </c>
      <c r="R196" s="243" t="str">
        <f t="shared" si="24"/>
        <v/>
      </c>
      <c r="S196" s="244" t="str">
        <f t="shared" ref="S196:S259" si="30">IF(IF(L196&lt;&gt;"",G196,"")=0, "O", IF(L196&lt;&gt;"",G196,""))</f>
        <v/>
      </c>
      <c r="T196" s="245" t="str">
        <f t="shared" si="25"/>
        <v/>
      </c>
      <c r="U196" s="246" t="str">
        <f t="shared" ref="U196:U259" si="31">IF(IF(M196&lt;&gt;"",G196,"")=0, "O", IF(M196&lt;&gt;"",G196,""))</f>
        <v/>
      </c>
      <c r="V196" s="8"/>
      <c r="AR196" t="str">
        <f t="shared" si="27"/>
        <v/>
      </c>
      <c r="AS196" t="str">
        <f t="shared" si="26"/>
        <v/>
      </c>
    </row>
    <row r="197" spans="1:45" x14ac:dyDescent="0.3">
      <c r="A197" s="231"/>
      <c r="B197" s="235"/>
      <c r="C197" s="214"/>
      <c r="D197" s="214"/>
      <c r="E197" s="214"/>
      <c r="F197" s="214"/>
      <c r="G197" s="222"/>
      <c r="H197" s="221"/>
      <c r="I197" s="213"/>
      <c r="J197" s="213"/>
      <c r="K197" s="215"/>
      <c r="L197" s="216"/>
      <c r="M197" s="217"/>
      <c r="O197" s="241" t="str">
        <f>IF(Q197 = "", "", COUNT(Q$4:$Q197))</f>
        <v/>
      </c>
      <c r="P197" s="241" t="str">
        <f t="shared" si="28"/>
        <v/>
      </c>
      <c r="Q197" s="242" t="str">
        <f t="shared" si="29"/>
        <v/>
      </c>
      <c r="R197" s="243" t="str">
        <f t="shared" ref="R197:R260" si="32">IF(L197&lt;&gt;"",Q197,"")</f>
        <v/>
      </c>
      <c r="S197" s="244" t="str">
        <f t="shared" si="30"/>
        <v/>
      </c>
      <c r="T197" s="245" t="str">
        <f t="shared" ref="T197:T260" si="33">IF(M197&lt;&gt;"",Q197,"")</f>
        <v/>
      </c>
      <c r="U197" s="246" t="str">
        <f t="shared" si="31"/>
        <v/>
      </c>
      <c r="V197" s="8"/>
      <c r="AR197" t="str">
        <f t="shared" si="27"/>
        <v/>
      </c>
      <c r="AS197" t="str">
        <f t="shared" si="26"/>
        <v/>
      </c>
    </row>
    <row r="198" spans="1:45" x14ac:dyDescent="0.3">
      <c r="A198" s="231"/>
      <c r="B198" s="235"/>
      <c r="C198" s="214"/>
      <c r="D198" s="214"/>
      <c r="E198" s="214"/>
      <c r="F198" s="214"/>
      <c r="G198" s="222"/>
      <c r="H198" s="221"/>
      <c r="I198" s="213"/>
      <c r="J198" s="213"/>
      <c r="K198" s="215"/>
      <c r="L198" s="216"/>
      <c r="M198" s="217"/>
      <c r="O198" s="241" t="str">
        <f>IF(Q198 = "", "", COUNT(Q$4:$Q198))</f>
        <v/>
      </c>
      <c r="P198" s="241" t="str">
        <f t="shared" si="28"/>
        <v/>
      </c>
      <c r="Q198" s="242" t="str">
        <f t="shared" si="29"/>
        <v/>
      </c>
      <c r="R198" s="243" t="str">
        <f t="shared" si="32"/>
        <v/>
      </c>
      <c r="S198" s="244" t="str">
        <f t="shared" si="30"/>
        <v/>
      </c>
      <c r="T198" s="245" t="str">
        <f t="shared" si="33"/>
        <v/>
      </c>
      <c r="U198" s="246" t="str">
        <f t="shared" si="31"/>
        <v/>
      </c>
      <c r="V198" s="8"/>
      <c r="AR198" t="str">
        <f t="shared" si="27"/>
        <v/>
      </c>
      <c r="AS198" t="str">
        <f t="shared" si="26"/>
        <v/>
      </c>
    </row>
    <row r="199" spans="1:45" x14ac:dyDescent="0.3">
      <c r="A199" s="231"/>
      <c r="B199" s="235"/>
      <c r="C199" s="214"/>
      <c r="D199" s="214"/>
      <c r="E199" s="214"/>
      <c r="F199" s="214"/>
      <c r="G199" s="222"/>
      <c r="H199" s="221"/>
      <c r="I199" s="213"/>
      <c r="J199" s="213"/>
      <c r="K199" s="215"/>
      <c r="L199" s="216"/>
      <c r="M199" s="217"/>
      <c r="O199" s="241" t="str">
        <f>IF(Q199 = "", "", COUNT(Q$4:$Q199))</f>
        <v/>
      </c>
      <c r="P199" s="241" t="str">
        <f t="shared" si="28"/>
        <v/>
      </c>
      <c r="Q199" s="242" t="str">
        <f t="shared" si="29"/>
        <v/>
      </c>
      <c r="R199" s="243" t="str">
        <f t="shared" si="32"/>
        <v/>
      </c>
      <c r="S199" s="244" t="str">
        <f t="shared" si="30"/>
        <v/>
      </c>
      <c r="T199" s="245" t="str">
        <f t="shared" si="33"/>
        <v/>
      </c>
      <c r="U199" s="246" t="str">
        <f t="shared" si="31"/>
        <v/>
      </c>
      <c r="V199" s="8"/>
      <c r="AR199" t="str">
        <f t="shared" si="27"/>
        <v/>
      </c>
      <c r="AS199" t="str">
        <f t="shared" si="26"/>
        <v/>
      </c>
    </row>
    <row r="200" spans="1:45" x14ac:dyDescent="0.3">
      <c r="A200" s="231"/>
      <c r="B200" s="235"/>
      <c r="C200" s="214"/>
      <c r="D200" s="214"/>
      <c r="E200" s="214"/>
      <c r="F200" s="214"/>
      <c r="G200" s="222"/>
      <c r="H200" s="221"/>
      <c r="I200" s="213"/>
      <c r="J200" s="213"/>
      <c r="K200" s="215"/>
      <c r="L200" s="216"/>
      <c r="M200" s="217"/>
      <c r="O200" s="241" t="str">
        <f>IF(Q200 = "", "", COUNT(Q$4:$Q200))</f>
        <v/>
      </c>
      <c r="P200" s="241" t="str">
        <f t="shared" si="28"/>
        <v/>
      </c>
      <c r="Q200" s="242" t="str">
        <f t="shared" si="29"/>
        <v/>
      </c>
      <c r="R200" s="243" t="str">
        <f t="shared" si="32"/>
        <v/>
      </c>
      <c r="S200" s="244" t="str">
        <f t="shared" si="30"/>
        <v/>
      </c>
      <c r="T200" s="245" t="str">
        <f t="shared" si="33"/>
        <v/>
      </c>
      <c r="U200" s="246" t="str">
        <f t="shared" si="31"/>
        <v/>
      </c>
      <c r="V200" s="8"/>
      <c r="AR200" t="str">
        <f t="shared" si="27"/>
        <v/>
      </c>
      <c r="AS200" t="str">
        <f t="shared" si="26"/>
        <v/>
      </c>
    </row>
    <row r="201" spans="1:45" x14ac:dyDescent="0.3">
      <c r="A201" s="231"/>
      <c r="B201" s="235"/>
      <c r="C201" s="214"/>
      <c r="D201" s="214"/>
      <c r="E201" s="214"/>
      <c r="F201" s="214"/>
      <c r="G201" s="222"/>
      <c r="H201" s="221"/>
      <c r="I201" s="213"/>
      <c r="J201" s="213"/>
      <c r="K201" s="215"/>
      <c r="L201" s="216"/>
      <c r="M201" s="217"/>
      <c r="O201" s="241" t="str">
        <f>IF(Q201 = "", "", COUNT(Q$4:$Q201))</f>
        <v/>
      </c>
      <c r="P201" s="241" t="str">
        <f t="shared" si="28"/>
        <v/>
      </c>
      <c r="Q201" s="242" t="str">
        <f t="shared" si="29"/>
        <v/>
      </c>
      <c r="R201" s="243" t="str">
        <f t="shared" si="32"/>
        <v/>
      </c>
      <c r="S201" s="244" t="str">
        <f t="shared" si="30"/>
        <v/>
      </c>
      <c r="T201" s="245" t="str">
        <f t="shared" si="33"/>
        <v/>
      </c>
      <c r="U201" s="246" t="str">
        <f t="shared" si="31"/>
        <v/>
      </c>
      <c r="V201" s="8"/>
      <c r="AR201" t="str">
        <f t="shared" si="27"/>
        <v/>
      </c>
      <c r="AS201" t="str">
        <f t="shared" si="26"/>
        <v/>
      </c>
    </row>
    <row r="202" spans="1:45" x14ac:dyDescent="0.3">
      <c r="A202" s="231"/>
      <c r="B202" s="235"/>
      <c r="C202" s="214"/>
      <c r="D202" s="214"/>
      <c r="E202" s="214"/>
      <c r="F202" s="214"/>
      <c r="G202" s="222"/>
      <c r="H202" s="221"/>
      <c r="I202" s="213"/>
      <c r="J202" s="213"/>
      <c r="K202" s="215"/>
      <c r="L202" s="216"/>
      <c r="M202" s="217"/>
      <c r="O202" s="241" t="str">
        <f>IF(Q202 = "", "", COUNT(Q$4:$Q202))</f>
        <v/>
      </c>
      <c r="P202" s="241" t="str">
        <f t="shared" si="28"/>
        <v/>
      </c>
      <c r="Q202" s="242" t="str">
        <f t="shared" si="29"/>
        <v/>
      </c>
      <c r="R202" s="243" t="str">
        <f t="shared" si="32"/>
        <v/>
      </c>
      <c r="S202" s="244" t="str">
        <f t="shared" si="30"/>
        <v/>
      </c>
      <c r="T202" s="245" t="str">
        <f t="shared" si="33"/>
        <v/>
      </c>
      <c r="U202" s="246" t="str">
        <f t="shared" si="31"/>
        <v/>
      </c>
      <c r="V202" s="8"/>
      <c r="AR202" t="str">
        <f t="shared" si="27"/>
        <v/>
      </c>
      <c r="AS202" t="str">
        <f t="shared" si="26"/>
        <v/>
      </c>
    </row>
    <row r="203" spans="1:45" x14ac:dyDescent="0.3">
      <c r="A203" s="231"/>
      <c r="B203" s="235"/>
      <c r="C203" s="214"/>
      <c r="D203" s="214"/>
      <c r="E203" s="214"/>
      <c r="F203" s="214"/>
      <c r="G203" s="222"/>
      <c r="H203" s="221"/>
      <c r="I203" s="213"/>
      <c r="J203" s="213"/>
      <c r="K203" s="215"/>
      <c r="L203" s="216"/>
      <c r="M203" s="217"/>
      <c r="O203" s="241" t="str">
        <f>IF(Q203 = "", "", COUNT(Q$4:$Q203))</f>
        <v/>
      </c>
      <c r="P203" s="241" t="str">
        <f t="shared" si="28"/>
        <v/>
      </c>
      <c r="Q203" s="242" t="str">
        <f t="shared" si="29"/>
        <v/>
      </c>
      <c r="R203" s="243" t="str">
        <f t="shared" si="32"/>
        <v/>
      </c>
      <c r="S203" s="244" t="str">
        <f t="shared" si="30"/>
        <v/>
      </c>
      <c r="T203" s="245" t="str">
        <f t="shared" si="33"/>
        <v/>
      </c>
      <c r="U203" s="246" t="str">
        <f t="shared" si="31"/>
        <v/>
      </c>
      <c r="V203" s="8"/>
      <c r="AR203" t="str">
        <f t="shared" si="27"/>
        <v/>
      </c>
      <c r="AS203" t="str">
        <f t="shared" si="26"/>
        <v/>
      </c>
    </row>
    <row r="204" spans="1:45" x14ac:dyDescent="0.3">
      <c r="A204" s="231"/>
      <c r="B204" s="235"/>
      <c r="C204" s="214"/>
      <c r="D204" s="214"/>
      <c r="E204" s="214"/>
      <c r="F204" s="214"/>
      <c r="G204" s="222"/>
      <c r="H204" s="221"/>
      <c r="I204" s="213"/>
      <c r="J204" s="213"/>
      <c r="K204" s="215"/>
      <c r="L204" s="216"/>
      <c r="M204" s="217"/>
      <c r="O204" s="241" t="str">
        <f>IF(Q204 = "", "", COUNT(Q$4:$Q204))</f>
        <v/>
      </c>
      <c r="P204" s="241" t="str">
        <f t="shared" si="28"/>
        <v/>
      </c>
      <c r="Q204" s="242" t="str">
        <f t="shared" si="29"/>
        <v/>
      </c>
      <c r="R204" s="243" t="str">
        <f t="shared" si="32"/>
        <v/>
      </c>
      <c r="S204" s="244" t="str">
        <f t="shared" si="30"/>
        <v/>
      </c>
      <c r="T204" s="245" t="str">
        <f t="shared" si="33"/>
        <v/>
      </c>
      <c r="U204" s="246" t="str">
        <f t="shared" si="31"/>
        <v/>
      </c>
      <c r="V204" s="8"/>
      <c r="AR204" t="str">
        <f t="shared" si="27"/>
        <v/>
      </c>
      <c r="AS204" t="str">
        <f t="shared" si="26"/>
        <v/>
      </c>
    </row>
    <row r="205" spans="1:45" x14ac:dyDescent="0.3">
      <c r="A205" s="231"/>
      <c r="B205" s="235"/>
      <c r="C205" s="214"/>
      <c r="D205" s="214"/>
      <c r="E205" s="214"/>
      <c r="F205" s="214"/>
      <c r="G205" s="222"/>
      <c r="H205" s="221"/>
      <c r="I205" s="213"/>
      <c r="J205" s="213"/>
      <c r="K205" s="215"/>
      <c r="L205" s="216"/>
      <c r="M205" s="217"/>
      <c r="O205" s="241" t="str">
        <f>IF(Q205 = "", "", COUNT(Q$4:$Q205))</f>
        <v/>
      </c>
      <c r="P205" s="241" t="str">
        <f t="shared" si="28"/>
        <v/>
      </c>
      <c r="Q205" s="242" t="str">
        <f t="shared" si="29"/>
        <v/>
      </c>
      <c r="R205" s="243" t="str">
        <f t="shared" si="32"/>
        <v/>
      </c>
      <c r="S205" s="244" t="str">
        <f t="shared" si="30"/>
        <v/>
      </c>
      <c r="T205" s="245" t="str">
        <f t="shared" si="33"/>
        <v/>
      </c>
      <c r="U205" s="246" t="str">
        <f t="shared" si="31"/>
        <v/>
      </c>
      <c r="V205" s="8"/>
      <c r="AR205" t="str">
        <f t="shared" si="27"/>
        <v/>
      </c>
      <c r="AS205" t="str">
        <f t="shared" si="26"/>
        <v/>
      </c>
    </row>
    <row r="206" spans="1:45" x14ac:dyDescent="0.3">
      <c r="A206" s="231"/>
      <c r="B206" s="235"/>
      <c r="C206" s="214"/>
      <c r="D206" s="214"/>
      <c r="E206" s="214"/>
      <c r="F206" s="214"/>
      <c r="G206" s="222"/>
      <c r="H206" s="221"/>
      <c r="I206" s="213"/>
      <c r="J206" s="213"/>
      <c r="K206" s="215"/>
      <c r="L206" s="216"/>
      <c r="M206" s="217"/>
      <c r="O206" s="241" t="str">
        <f>IF(Q206 = "", "", COUNT(Q$4:$Q206))</f>
        <v/>
      </c>
      <c r="P206" s="241" t="str">
        <f t="shared" si="28"/>
        <v/>
      </c>
      <c r="Q206" s="242" t="str">
        <f t="shared" si="29"/>
        <v/>
      </c>
      <c r="R206" s="243" t="str">
        <f t="shared" si="32"/>
        <v/>
      </c>
      <c r="S206" s="244" t="str">
        <f t="shared" si="30"/>
        <v/>
      </c>
      <c r="T206" s="245" t="str">
        <f t="shared" si="33"/>
        <v/>
      </c>
      <c r="U206" s="246" t="str">
        <f t="shared" si="31"/>
        <v/>
      </c>
      <c r="V206" s="8"/>
      <c r="AR206" t="str">
        <f t="shared" si="27"/>
        <v/>
      </c>
      <c r="AS206" t="str">
        <f t="shared" si="26"/>
        <v/>
      </c>
    </row>
    <row r="207" spans="1:45" x14ac:dyDescent="0.3">
      <c r="A207" s="231"/>
      <c r="B207" s="235"/>
      <c r="C207" s="214"/>
      <c r="D207" s="214"/>
      <c r="E207" s="214"/>
      <c r="F207" s="214"/>
      <c r="G207" s="222"/>
      <c r="H207" s="221"/>
      <c r="I207" s="213"/>
      <c r="J207" s="213"/>
      <c r="K207" s="215"/>
      <c r="L207" s="216"/>
      <c r="M207" s="217"/>
      <c r="O207" s="241" t="str">
        <f>IF(Q207 = "", "", COUNT(Q$4:$Q207))</f>
        <v/>
      </c>
      <c r="P207" s="241" t="str">
        <f t="shared" si="28"/>
        <v/>
      </c>
      <c r="Q207" s="242" t="str">
        <f t="shared" si="29"/>
        <v/>
      </c>
      <c r="R207" s="243" t="str">
        <f t="shared" si="32"/>
        <v/>
      </c>
      <c r="S207" s="244" t="str">
        <f t="shared" si="30"/>
        <v/>
      </c>
      <c r="T207" s="245" t="str">
        <f t="shared" si="33"/>
        <v/>
      </c>
      <c r="U207" s="246" t="str">
        <f t="shared" si="31"/>
        <v/>
      </c>
      <c r="V207" s="8"/>
      <c r="AR207" t="str">
        <f t="shared" si="27"/>
        <v/>
      </c>
      <c r="AS207" t="str">
        <f t="shared" si="26"/>
        <v/>
      </c>
    </row>
    <row r="208" spans="1:45" x14ac:dyDescent="0.3">
      <c r="A208" s="231"/>
      <c r="B208" s="235"/>
      <c r="C208" s="214"/>
      <c r="D208" s="214"/>
      <c r="E208" s="214"/>
      <c r="F208" s="214"/>
      <c r="G208" s="222"/>
      <c r="H208" s="221"/>
      <c r="I208" s="213"/>
      <c r="J208" s="213"/>
      <c r="K208" s="215"/>
      <c r="L208" s="216"/>
      <c r="M208" s="217"/>
      <c r="O208" s="241" t="str">
        <f>IF(Q208 = "", "", COUNT(Q$4:$Q208))</f>
        <v/>
      </c>
      <c r="P208" s="241" t="str">
        <f t="shared" si="28"/>
        <v/>
      </c>
      <c r="Q208" s="242" t="str">
        <f t="shared" si="29"/>
        <v/>
      </c>
      <c r="R208" s="243" t="str">
        <f t="shared" si="32"/>
        <v/>
      </c>
      <c r="S208" s="244" t="str">
        <f t="shared" si="30"/>
        <v/>
      </c>
      <c r="T208" s="245" t="str">
        <f t="shared" si="33"/>
        <v/>
      </c>
      <c r="U208" s="246" t="str">
        <f t="shared" si="31"/>
        <v/>
      </c>
      <c r="V208" s="8"/>
      <c r="AR208" t="str">
        <f t="shared" si="27"/>
        <v/>
      </c>
      <c r="AS208" t="str">
        <f t="shared" si="26"/>
        <v/>
      </c>
    </row>
    <row r="209" spans="1:45" x14ac:dyDescent="0.3">
      <c r="A209" s="231"/>
      <c r="B209" s="235"/>
      <c r="C209" s="214"/>
      <c r="D209" s="214"/>
      <c r="E209" s="214"/>
      <c r="F209" s="214"/>
      <c r="G209" s="222"/>
      <c r="H209" s="221"/>
      <c r="I209" s="213"/>
      <c r="J209" s="213"/>
      <c r="K209" s="215"/>
      <c r="L209" s="216"/>
      <c r="M209" s="217"/>
      <c r="O209" s="241" t="str">
        <f>IF(Q209 = "", "", COUNT(Q$4:$Q209))</f>
        <v/>
      </c>
      <c r="P209" s="241" t="str">
        <f t="shared" si="28"/>
        <v/>
      </c>
      <c r="Q209" s="242" t="str">
        <f t="shared" si="29"/>
        <v/>
      </c>
      <c r="R209" s="243" t="str">
        <f t="shared" si="32"/>
        <v/>
      </c>
      <c r="S209" s="244" t="str">
        <f t="shared" si="30"/>
        <v/>
      </c>
      <c r="T209" s="245" t="str">
        <f t="shared" si="33"/>
        <v/>
      </c>
      <c r="U209" s="246" t="str">
        <f t="shared" si="31"/>
        <v/>
      </c>
      <c r="V209" s="8"/>
      <c r="AR209" t="str">
        <f t="shared" si="27"/>
        <v/>
      </c>
      <c r="AS209" t="str">
        <f t="shared" si="26"/>
        <v/>
      </c>
    </row>
    <row r="210" spans="1:45" x14ac:dyDescent="0.3">
      <c r="A210" s="231"/>
      <c r="B210" s="235"/>
      <c r="C210" s="214"/>
      <c r="D210" s="214"/>
      <c r="E210" s="214"/>
      <c r="F210" s="214"/>
      <c r="G210" s="222"/>
      <c r="H210" s="221"/>
      <c r="I210" s="213"/>
      <c r="J210" s="213"/>
      <c r="K210" s="215"/>
      <c r="L210" s="216"/>
      <c r="M210" s="217"/>
      <c r="O210" s="241" t="str">
        <f>IF(Q210 = "", "", COUNT(Q$4:$Q210))</f>
        <v/>
      </c>
      <c r="P210" s="241" t="str">
        <f t="shared" si="28"/>
        <v/>
      </c>
      <c r="Q210" s="242" t="str">
        <f t="shared" si="29"/>
        <v/>
      </c>
      <c r="R210" s="243" t="str">
        <f t="shared" si="32"/>
        <v/>
      </c>
      <c r="S210" s="244" t="str">
        <f t="shared" si="30"/>
        <v/>
      </c>
      <c r="T210" s="245" t="str">
        <f t="shared" si="33"/>
        <v/>
      </c>
      <c r="U210" s="246" t="str">
        <f t="shared" si="31"/>
        <v/>
      </c>
      <c r="V210" s="8"/>
      <c r="AR210" t="str">
        <f t="shared" si="27"/>
        <v/>
      </c>
      <c r="AS210" t="str">
        <f t="shared" si="26"/>
        <v/>
      </c>
    </row>
    <row r="211" spans="1:45" x14ac:dyDescent="0.3">
      <c r="A211" s="231"/>
      <c r="B211" s="235"/>
      <c r="C211" s="214"/>
      <c r="D211" s="214"/>
      <c r="E211" s="214"/>
      <c r="F211" s="214"/>
      <c r="G211" s="222"/>
      <c r="H211" s="221"/>
      <c r="I211" s="213"/>
      <c r="J211" s="213"/>
      <c r="K211" s="215"/>
      <c r="L211" s="216"/>
      <c r="M211" s="217"/>
      <c r="O211" s="241" t="str">
        <f>IF(Q211 = "", "", COUNT(Q$4:$Q211))</f>
        <v/>
      </c>
      <c r="P211" s="241" t="str">
        <f t="shared" si="28"/>
        <v/>
      </c>
      <c r="Q211" s="242" t="str">
        <f t="shared" si="29"/>
        <v/>
      </c>
      <c r="R211" s="243" t="str">
        <f t="shared" si="32"/>
        <v/>
      </c>
      <c r="S211" s="244" t="str">
        <f t="shared" si="30"/>
        <v/>
      </c>
      <c r="T211" s="245" t="str">
        <f t="shared" si="33"/>
        <v/>
      </c>
      <c r="U211" s="246" t="str">
        <f t="shared" si="31"/>
        <v/>
      </c>
      <c r="V211" s="8"/>
      <c r="AR211" t="str">
        <f t="shared" si="27"/>
        <v/>
      </c>
      <c r="AS211" t="str">
        <f t="shared" si="26"/>
        <v/>
      </c>
    </row>
    <row r="212" spans="1:45" x14ac:dyDescent="0.3">
      <c r="A212" s="231"/>
      <c r="B212" s="235"/>
      <c r="C212" s="214"/>
      <c r="D212" s="214"/>
      <c r="E212" s="214"/>
      <c r="F212" s="214"/>
      <c r="G212" s="222"/>
      <c r="H212" s="221"/>
      <c r="I212" s="213"/>
      <c r="J212" s="213"/>
      <c r="K212" s="215"/>
      <c r="L212" s="216"/>
      <c r="M212" s="217"/>
      <c r="O212" s="241" t="str">
        <f>IF(Q212 = "", "", COUNT(Q$4:$Q212))</f>
        <v/>
      </c>
      <c r="P212" s="241" t="str">
        <f t="shared" si="28"/>
        <v/>
      </c>
      <c r="Q212" s="242" t="str">
        <f t="shared" si="29"/>
        <v/>
      </c>
      <c r="R212" s="243" t="str">
        <f t="shared" si="32"/>
        <v/>
      </c>
      <c r="S212" s="244" t="str">
        <f t="shared" si="30"/>
        <v/>
      </c>
      <c r="T212" s="245" t="str">
        <f t="shared" si="33"/>
        <v/>
      </c>
      <c r="U212" s="246" t="str">
        <f t="shared" si="31"/>
        <v/>
      </c>
      <c r="V212" s="8"/>
      <c r="AR212" t="str">
        <f t="shared" si="27"/>
        <v/>
      </c>
      <c r="AS212" t="str">
        <f t="shared" si="26"/>
        <v/>
      </c>
    </row>
    <row r="213" spans="1:45" x14ac:dyDescent="0.3">
      <c r="A213" s="231"/>
      <c r="B213" s="235"/>
      <c r="C213" s="214"/>
      <c r="D213" s="214"/>
      <c r="E213" s="214"/>
      <c r="F213" s="214"/>
      <c r="G213" s="222"/>
      <c r="H213" s="221"/>
      <c r="I213" s="213"/>
      <c r="J213" s="213"/>
      <c r="K213" s="215"/>
      <c r="L213" s="216"/>
      <c r="M213" s="217"/>
      <c r="O213" s="241" t="str">
        <f>IF(Q213 = "", "", COUNT(Q$4:$Q213))</f>
        <v/>
      </c>
      <c r="P213" s="241" t="str">
        <f t="shared" si="28"/>
        <v/>
      </c>
      <c r="Q213" s="242" t="str">
        <f t="shared" si="29"/>
        <v/>
      </c>
      <c r="R213" s="243" t="str">
        <f t="shared" si="32"/>
        <v/>
      </c>
      <c r="S213" s="244" t="str">
        <f t="shared" si="30"/>
        <v/>
      </c>
      <c r="T213" s="245" t="str">
        <f t="shared" si="33"/>
        <v/>
      </c>
      <c r="U213" s="246" t="str">
        <f t="shared" si="31"/>
        <v/>
      </c>
      <c r="V213" s="8"/>
      <c r="AR213" t="str">
        <f t="shared" si="27"/>
        <v/>
      </c>
      <c r="AS213" t="str">
        <f t="shared" ref="AS213:AS276" si="34">IF(OR(L213="Y",M213="Y"),"Y","")</f>
        <v/>
      </c>
    </row>
    <row r="214" spans="1:45" x14ac:dyDescent="0.3">
      <c r="A214" s="231"/>
      <c r="B214" s="235"/>
      <c r="C214" s="214"/>
      <c r="D214" s="214"/>
      <c r="E214" s="214"/>
      <c r="F214" s="214"/>
      <c r="G214" s="222"/>
      <c r="H214" s="221"/>
      <c r="I214" s="213"/>
      <c r="J214" s="213"/>
      <c r="K214" s="215"/>
      <c r="L214" s="216"/>
      <c r="M214" s="217"/>
      <c r="O214" s="241" t="str">
        <f>IF(Q214 = "", "", COUNT(Q$4:$Q214))</f>
        <v/>
      </c>
      <c r="P214" s="241" t="str">
        <f t="shared" si="28"/>
        <v/>
      </c>
      <c r="Q214" s="242" t="str">
        <f t="shared" si="29"/>
        <v/>
      </c>
      <c r="R214" s="243" t="str">
        <f t="shared" si="32"/>
        <v/>
      </c>
      <c r="S214" s="244" t="str">
        <f t="shared" si="30"/>
        <v/>
      </c>
      <c r="T214" s="245" t="str">
        <f t="shared" si="33"/>
        <v/>
      </c>
      <c r="U214" s="246" t="str">
        <f t="shared" si="31"/>
        <v/>
      </c>
      <c r="V214" s="8"/>
      <c r="AR214" t="str">
        <f t="shared" ref="AR214:AR277" si="35">IF(O214&gt;0, O214, "")</f>
        <v/>
      </c>
      <c r="AS214" t="str">
        <f t="shared" si="34"/>
        <v/>
      </c>
    </row>
    <row r="215" spans="1:45" x14ac:dyDescent="0.3">
      <c r="A215" s="231"/>
      <c r="B215" s="235"/>
      <c r="C215" s="214"/>
      <c r="D215" s="214"/>
      <c r="E215" s="214"/>
      <c r="F215" s="214"/>
      <c r="G215" s="222"/>
      <c r="H215" s="221"/>
      <c r="I215" s="213"/>
      <c r="J215" s="213"/>
      <c r="K215" s="215"/>
      <c r="L215" s="216"/>
      <c r="M215" s="217"/>
      <c r="O215" s="241" t="str">
        <f>IF(Q215 = "", "", COUNT(Q$4:$Q215))</f>
        <v/>
      </c>
      <c r="P215" s="241" t="str">
        <f t="shared" si="28"/>
        <v/>
      </c>
      <c r="Q215" s="242" t="str">
        <f t="shared" si="29"/>
        <v/>
      </c>
      <c r="R215" s="243" t="str">
        <f t="shared" si="32"/>
        <v/>
      </c>
      <c r="S215" s="244" t="str">
        <f t="shared" si="30"/>
        <v/>
      </c>
      <c r="T215" s="245" t="str">
        <f t="shared" si="33"/>
        <v/>
      </c>
      <c r="U215" s="246" t="str">
        <f t="shared" si="31"/>
        <v/>
      </c>
      <c r="V215" s="8"/>
      <c r="AR215" t="str">
        <f t="shared" si="35"/>
        <v/>
      </c>
      <c r="AS215" t="str">
        <f t="shared" si="34"/>
        <v/>
      </c>
    </row>
    <row r="216" spans="1:45" x14ac:dyDescent="0.3">
      <c r="A216" s="231"/>
      <c r="B216" s="235"/>
      <c r="C216" s="214"/>
      <c r="D216" s="214"/>
      <c r="E216" s="214"/>
      <c r="F216" s="214"/>
      <c r="G216" s="222"/>
      <c r="H216" s="221"/>
      <c r="I216" s="213"/>
      <c r="J216" s="213"/>
      <c r="K216" s="215"/>
      <c r="L216" s="216"/>
      <c r="M216" s="217"/>
      <c r="O216" s="241" t="str">
        <f>IF(Q216 = "", "", COUNT(Q$4:$Q216))</f>
        <v/>
      </c>
      <c r="P216" s="241" t="str">
        <f t="shared" si="28"/>
        <v/>
      </c>
      <c r="Q216" s="242" t="str">
        <f t="shared" si="29"/>
        <v/>
      </c>
      <c r="R216" s="243" t="str">
        <f t="shared" si="32"/>
        <v/>
      </c>
      <c r="S216" s="244" t="str">
        <f t="shared" si="30"/>
        <v/>
      </c>
      <c r="T216" s="245" t="str">
        <f t="shared" si="33"/>
        <v/>
      </c>
      <c r="U216" s="246" t="str">
        <f t="shared" si="31"/>
        <v/>
      </c>
      <c r="V216" s="8"/>
      <c r="AR216" t="str">
        <f t="shared" si="35"/>
        <v/>
      </c>
      <c r="AS216" t="str">
        <f t="shared" si="34"/>
        <v/>
      </c>
    </row>
    <row r="217" spans="1:45" x14ac:dyDescent="0.3">
      <c r="A217" s="231"/>
      <c r="B217" s="235"/>
      <c r="C217" s="214"/>
      <c r="D217" s="214"/>
      <c r="E217" s="214"/>
      <c r="F217" s="214"/>
      <c r="G217" s="222"/>
      <c r="H217" s="221"/>
      <c r="I217" s="213"/>
      <c r="J217" s="213"/>
      <c r="K217" s="215"/>
      <c r="L217" s="216"/>
      <c r="M217" s="217"/>
      <c r="O217" s="241" t="str">
        <f>IF(Q217 = "", "", COUNT(Q$4:$Q217))</f>
        <v/>
      </c>
      <c r="P217" s="241" t="str">
        <f t="shared" si="28"/>
        <v/>
      </c>
      <c r="Q217" s="242" t="str">
        <f t="shared" si="29"/>
        <v/>
      </c>
      <c r="R217" s="243" t="str">
        <f t="shared" si="32"/>
        <v/>
      </c>
      <c r="S217" s="244" t="str">
        <f t="shared" si="30"/>
        <v/>
      </c>
      <c r="T217" s="245" t="str">
        <f t="shared" si="33"/>
        <v/>
      </c>
      <c r="U217" s="246" t="str">
        <f t="shared" si="31"/>
        <v/>
      </c>
      <c r="V217" s="8"/>
      <c r="AR217" t="str">
        <f t="shared" si="35"/>
        <v/>
      </c>
      <c r="AS217" t="str">
        <f t="shared" si="34"/>
        <v/>
      </c>
    </row>
    <row r="218" spans="1:45" x14ac:dyDescent="0.3">
      <c r="A218" s="231"/>
      <c r="B218" s="235"/>
      <c r="C218" s="214"/>
      <c r="D218" s="214"/>
      <c r="E218" s="214"/>
      <c r="F218" s="214"/>
      <c r="G218" s="222"/>
      <c r="H218" s="221"/>
      <c r="I218" s="213"/>
      <c r="J218" s="213"/>
      <c r="K218" s="215"/>
      <c r="L218" s="216"/>
      <c r="M218" s="217"/>
      <c r="O218" s="241" t="str">
        <f>IF(Q218 = "", "", COUNT(Q$4:$Q218))</f>
        <v/>
      </c>
      <c r="P218" s="241" t="str">
        <f t="shared" si="28"/>
        <v/>
      </c>
      <c r="Q218" s="242" t="str">
        <f t="shared" si="29"/>
        <v/>
      </c>
      <c r="R218" s="243" t="str">
        <f t="shared" si="32"/>
        <v/>
      </c>
      <c r="S218" s="244" t="str">
        <f t="shared" si="30"/>
        <v/>
      </c>
      <c r="T218" s="245" t="str">
        <f t="shared" si="33"/>
        <v/>
      </c>
      <c r="U218" s="246" t="str">
        <f t="shared" si="31"/>
        <v/>
      </c>
      <c r="V218" s="8"/>
      <c r="AR218" t="str">
        <f t="shared" si="35"/>
        <v/>
      </c>
      <c r="AS218" t="str">
        <f t="shared" si="34"/>
        <v/>
      </c>
    </row>
    <row r="219" spans="1:45" x14ac:dyDescent="0.3">
      <c r="A219" s="231"/>
      <c r="B219" s="235"/>
      <c r="C219" s="214"/>
      <c r="D219" s="214"/>
      <c r="E219" s="214"/>
      <c r="F219" s="214"/>
      <c r="G219" s="222"/>
      <c r="H219" s="221"/>
      <c r="I219" s="213"/>
      <c r="J219" s="213"/>
      <c r="K219" s="215"/>
      <c r="L219" s="216"/>
      <c r="M219" s="217"/>
      <c r="O219" s="241" t="str">
        <f>IF(Q219 = "", "", COUNT(Q$4:$Q219))</f>
        <v/>
      </c>
      <c r="P219" s="241" t="str">
        <f t="shared" si="28"/>
        <v/>
      </c>
      <c r="Q219" s="242" t="str">
        <f t="shared" si="29"/>
        <v/>
      </c>
      <c r="R219" s="243" t="str">
        <f t="shared" si="32"/>
        <v/>
      </c>
      <c r="S219" s="244" t="str">
        <f t="shared" si="30"/>
        <v/>
      </c>
      <c r="T219" s="245" t="str">
        <f t="shared" si="33"/>
        <v/>
      </c>
      <c r="U219" s="246" t="str">
        <f t="shared" si="31"/>
        <v/>
      </c>
      <c r="V219" s="8"/>
      <c r="AR219" t="str">
        <f t="shared" si="35"/>
        <v/>
      </c>
      <c r="AS219" t="str">
        <f t="shared" si="34"/>
        <v/>
      </c>
    </row>
    <row r="220" spans="1:45" x14ac:dyDescent="0.3">
      <c r="A220" s="231"/>
      <c r="B220" s="235"/>
      <c r="C220" s="214"/>
      <c r="D220" s="214"/>
      <c r="E220" s="214"/>
      <c r="F220" s="214"/>
      <c r="G220" s="222"/>
      <c r="H220" s="221"/>
      <c r="I220" s="213"/>
      <c r="J220" s="213"/>
      <c r="K220" s="215"/>
      <c r="L220" s="216"/>
      <c r="M220" s="217"/>
      <c r="O220" s="241" t="str">
        <f>IF(Q220 = "", "", COUNT(Q$4:$Q220))</f>
        <v/>
      </c>
      <c r="P220" s="241" t="str">
        <f t="shared" si="28"/>
        <v/>
      </c>
      <c r="Q220" s="242" t="str">
        <f t="shared" si="29"/>
        <v/>
      </c>
      <c r="R220" s="243" t="str">
        <f t="shared" si="32"/>
        <v/>
      </c>
      <c r="S220" s="244" t="str">
        <f t="shared" si="30"/>
        <v/>
      </c>
      <c r="T220" s="245" t="str">
        <f t="shared" si="33"/>
        <v/>
      </c>
      <c r="U220" s="246" t="str">
        <f t="shared" si="31"/>
        <v/>
      </c>
      <c r="V220" s="8"/>
      <c r="AR220" t="str">
        <f t="shared" si="35"/>
        <v/>
      </c>
      <c r="AS220" t="str">
        <f t="shared" si="34"/>
        <v/>
      </c>
    </row>
    <row r="221" spans="1:45" x14ac:dyDescent="0.3">
      <c r="A221" s="231"/>
      <c r="B221" s="235"/>
      <c r="C221" s="214"/>
      <c r="D221" s="214"/>
      <c r="E221" s="214"/>
      <c r="F221" s="214"/>
      <c r="G221" s="222"/>
      <c r="H221" s="221"/>
      <c r="I221" s="213"/>
      <c r="J221" s="213"/>
      <c r="K221" s="215"/>
      <c r="L221" s="216"/>
      <c r="M221" s="217"/>
      <c r="O221" s="241" t="str">
        <f>IF(Q221 = "", "", COUNT(Q$4:$Q221))</f>
        <v/>
      </c>
      <c r="P221" s="241" t="str">
        <f t="shared" si="28"/>
        <v/>
      </c>
      <c r="Q221" s="242" t="str">
        <f t="shared" si="29"/>
        <v/>
      </c>
      <c r="R221" s="243" t="str">
        <f t="shared" si="32"/>
        <v/>
      </c>
      <c r="S221" s="244" t="str">
        <f t="shared" si="30"/>
        <v/>
      </c>
      <c r="T221" s="245" t="str">
        <f t="shared" si="33"/>
        <v/>
      </c>
      <c r="U221" s="246" t="str">
        <f t="shared" si="31"/>
        <v/>
      </c>
      <c r="V221" s="8"/>
      <c r="AR221" t="str">
        <f t="shared" si="35"/>
        <v/>
      </c>
      <c r="AS221" t="str">
        <f t="shared" si="34"/>
        <v/>
      </c>
    </row>
    <row r="222" spans="1:45" x14ac:dyDescent="0.3">
      <c r="A222" s="231"/>
      <c r="B222" s="235"/>
      <c r="C222" s="214"/>
      <c r="D222" s="214"/>
      <c r="E222" s="214"/>
      <c r="F222" s="214"/>
      <c r="G222" s="222"/>
      <c r="H222" s="221"/>
      <c r="I222" s="213"/>
      <c r="J222" s="213"/>
      <c r="K222" s="215"/>
      <c r="L222" s="216"/>
      <c r="M222" s="217"/>
      <c r="O222" s="241" t="str">
        <f>IF(Q222 = "", "", COUNT(Q$4:$Q222))</f>
        <v/>
      </c>
      <c r="P222" s="241" t="str">
        <f t="shared" si="28"/>
        <v/>
      </c>
      <c r="Q222" s="242" t="str">
        <f t="shared" si="29"/>
        <v/>
      </c>
      <c r="R222" s="243" t="str">
        <f t="shared" si="32"/>
        <v/>
      </c>
      <c r="S222" s="244" t="str">
        <f t="shared" si="30"/>
        <v/>
      </c>
      <c r="T222" s="245" t="str">
        <f t="shared" si="33"/>
        <v/>
      </c>
      <c r="U222" s="246" t="str">
        <f t="shared" si="31"/>
        <v/>
      </c>
      <c r="V222" s="8"/>
      <c r="AR222" t="str">
        <f t="shared" si="35"/>
        <v/>
      </c>
      <c r="AS222" t="str">
        <f t="shared" si="34"/>
        <v/>
      </c>
    </row>
    <row r="223" spans="1:45" x14ac:dyDescent="0.3">
      <c r="A223" s="231"/>
      <c r="B223" s="235"/>
      <c r="C223" s="214"/>
      <c r="D223" s="214"/>
      <c r="E223" s="214"/>
      <c r="F223" s="214"/>
      <c r="G223" s="222"/>
      <c r="H223" s="221"/>
      <c r="I223" s="213"/>
      <c r="J223" s="213"/>
      <c r="K223" s="215"/>
      <c r="L223" s="216"/>
      <c r="M223" s="217"/>
      <c r="O223" s="241" t="str">
        <f>IF(Q223 = "", "", COUNT(Q$4:$Q223))</f>
        <v/>
      </c>
      <c r="P223" s="241" t="str">
        <f t="shared" si="28"/>
        <v/>
      </c>
      <c r="Q223" s="242" t="str">
        <f t="shared" si="29"/>
        <v/>
      </c>
      <c r="R223" s="243" t="str">
        <f t="shared" si="32"/>
        <v/>
      </c>
      <c r="S223" s="244" t="str">
        <f t="shared" si="30"/>
        <v/>
      </c>
      <c r="T223" s="245" t="str">
        <f t="shared" si="33"/>
        <v/>
      </c>
      <c r="U223" s="246" t="str">
        <f t="shared" si="31"/>
        <v/>
      </c>
      <c r="V223" s="8"/>
      <c r="AR223" t="str">
        <f t="shared" si="35"/>
        <v/>
      </c>
      <c r="AS223" t="str">
        <f t="shared" si="34"/>
        <v/>
      </c>
    </row>
    <row r="224" spans="1:45" x14ac:dyDescent="0.3">
      <c r="A224" s="231"/>
      <c r="B224" s="235"/>
      <c r="C224" s="214"/>
      <c r="D224" s="214"/>
      <c r="E224" s="214"/>
      <c r="F224" s="214"/>
      <c r="G224" s="222"/>
      <c r="H224" s="221"/>
      <c r="I224" s="213"/>
      <c r="J224" s="213"/>
      <c r="K224" s="215"/>
      <c r="L224" s="216"/>
      <c r="M224" s="217"/>
      <c r="O224" s="241" t="str">
        <f>IF(Q224 = "", "", COUNT(Q$4:$Q224))</f>
        <v/>
      </c>
      <c r="P224" s="241" t="str">
        <f t="shared" si="28"/>
        <v/>
      </c>
      <c r="Q224" s="242" t="str">
        <f t="shared" si="29"/>
        <v/>
      </c>
      <c r="R224" s="243" t="str">
        <f t="shared" si="32"/>
        <v/>
      </c>
      <c r="S224" s="244" t="str">
        <f t="shared" si="30"/>
        <v/>
      </c>
      <c r="T224" s="245" t="str">
        <f t="shared" si="33"/>
        <v/>
      </c>
      <c r="U224" s="246" t="str">
        <f t="shared" si="31"/>
        <v/>
      </c>
      <c r="V224" s="8"/>
      <c r="AR224" t="str">
        <f t="shared" si="35"/>
        <v/>
      </c>
      <c r="AS224" t="str">
        <f t="shared" si="34"/>
        <v/>
      </c>
    </row>
    <row r="225" spans="1:45" x14ac:dyDescent="0.3">
      <c r="A225" s="231"/>
      <c r="B225" s="235"/>
      <c r="C225" s="214"/>
      <c r="D225" s="214"/>
      <c r="E225" s="214"/>
      <c r="F225" s="214"/>
      <c r="G225" s="222"/>
      <c r="H225" s="221"/>
      <c r="I225" s="213"/>
      <c r="J225" s="213"/>
      <c r="K225" s="215"/>
      <c r="L225" s="216"/>
      <c r="M225" s="217"/>
      <c r="O225" s="241" t="str">
        <f>IF(Q225 = "", "", COUNT(Q$4:$Q225))</f>
        <v/>
      </c>
      <c r="P225" s="241" t="str">
        <f t="shared" si="28"/>
        <v/>
      </c>
      <c r="Q225" s="242" t="str">
        <f t="shared" si="29"/>
        <v/>
      </c>
      <c r="R225" s="243" t="str">
        <f t="shared" si="32"/>
        <v/>
      </c>
      <c r="S225" s="244" t="str">
        <f t="shared" si="30"/>
        <v/>
      </c>
      <c r="T225" s="245" t="str">
        <f t="shared" si="33"/>
        <v/>
      </c>
      <c r="U225" s="246" t="str">
        <f t="shared" si="31"/>
        <v/>
      </c>
      <c r="V225" s="8"/>
      <c r="AR225" t="str">
        <f t="shared" si="35"/>
        <v/>
      </c>
      <c r="AS225" t="str">
        <f t="shared" si="34"/>
        <v/>
      </c>
    </row>
    <row r="226" spans="1:45" x14ac:dyDescent="0.3">
      <c r="A226" s="231"/>
      <c r="B226" s="235"/>
      <c r="C226" s="214"/>
      <c r="D226" s="214"/>
      <c r="E226" s="214"/>
      <c r="F226" s="214"/>
      <c r="G226" s="222"/>
      <c r="H226" s="221"/>
      <c r="I226" s="213"/>
      <c r="J226" s="213"/>
      <c r="K226" s="215"/>
      <c r="L226" s="216"/>
      <c r="M226" s="217"/>
      <c r="O226" s="241" t="str">
        <f>IF(Q226 = "", "", COUNT(Q$4:$Q226))</f>
        <v/>
      </c>
      <c r="P226" s="241" t="str">
        <f t="shared" si="28"/>
        <v/>
      </c>
      <c r="Q226" s="242" t="str">
        <f t="shared" si="29"/>
        <v/>
      </c>
      <c r="R226" s="243" t="str">
        <f t="shared" si="32"/>
        <v/>
      </c>
      <c r="S226" s="244" t="str">
        <f t="shared" si="30"/>
        <v/>
      </c>
      <c r="T226" s="245" t="str">
        <f t="shared" si="33"/>
        <v/>
      </c>
      <c r="U226" s="246" t="str">
        <f t="shared" si="31"/>
        <v/>
      </c>
      <c r="V226" s="8"/>
      <c r="AR226" t="str">
        <f t="shared" si="35"/>
        <v/>
      </c>
      <c r="AS226" t="str">
        <f t="shared" si="34"/>
        <v/>
      </c>
    </row>
    <row r="227" spans="1:45" x14ac:dyDescent="0.3">
      <c r="A227" s="231"/>
      <c r="B227" s="235"/>
      <c r="C227" s="214"/>
      <c r="D227" s="214"/>
      <c r="E227" s="214"/>
      <c r="F227" s="214"/>
      <c r="G227" s="222"/>
      <c r="H227" s="221"/>
      <c r="I227" s="213"/>
      <c r="J227" s="213"/>
      <c r="K227" s="215"/>
      <c r="L227" s="216"/>
      <c r="M227" s="217"/>
      <c r="O227" s="241" t="str">
        <f>IF(Q227 = "", "", COUNT(Q$4:$Q227))</f>
        <v/>
      </c>
      <c r="P227" s="241" t="str">
        <f t="shared" si="28"/>
        <v/>
      </c>
      <c r="Q227" s="242" t="str">
        <f t="shared" si="29"/>
        <v/>
      </c>
      <c r="R227" s="243" t="str">
        <f t="shared" si="32"/>
        <v/>
      </c>
      <c r="S227" s="244" t="str">
        <f t="shared" si="30"/>
        <v/>
      </c>
      <c r="T227" s="245" t="str">
        <f t="shared" si="33"/>
        <v/>
      </c>
      <c r="U227" s="246" t="str">
        <f t="shared" si="31"/>
        <v/>
      </c>
      <c r="V227" s="8"/>
      <c r="AR227" t="str">
        <f t="shared" si="35"/>
        <v/>
      </c>
      <c r="AS227" t="str">
        <f t="shared" si="34"/>
        <v/>
      </c>
    </row>
    <row r="228" spans="1:45" x14ac:dyDescent="0.3">
      <c r="A228" s="231"/>
      <c r="B228" s="235"/>
      <c r="C228" s="214"/>
      <c r="D228" s="214"/>
      <c r="E228" s="214"/>
      <c r="F228" s="214"/>
      <c r="G228" s="222"/>
      <c r="H228" s="221"/>
      <c r="I228" s="213"/>
      <c r="J228" s="213"/>
      <c r="K228" s="215"/>
      <c r="L228" s="216"/>
      <c r="M228" s="217"/>
      <c r="O228" s="241" t="str">
        <f>IF(Q228 = "", "", COUNT(Q$4:$Q228))</f>
        <v/>
      </c>
      <c r="P228" s="241" t="str">
        <f t="shared" si="28"/>
        <v/>
      </c>
      <c r="Q228" s="242" t="str">
        <f t="shared" si="29"/>
        <v/>
      </c>
      <c r="R228" s="243" t="str">
        <f t="shared" si="32"/>
        <v/>
      </c>
      <c r="S228" s="244" t="str">
        <f t="shared" si="30"/>
        <v/>
      </c>
      <c r="T228" s="245" t="str">
        <f t="shared" si="33"/>
        <v/>
      </c>
      <c r="U228" s="246" t="str">
        <f t="shared" si="31"/>
        <v/>
      </c>
      <c r="V228" s="8"/>
      <c r="AR228" t="str">
        <f t="shared" si="35"/>
        <v/>
      </c>
      <c r="AS228" t="str">
        <f t="shared" si="34"/>
        <v/>
      </c>
    </row>
    <row r="229" spans="1:45" x14ac:dyDescent="0.3">
      <c r="A229" s="231"/>
      <c r="B229" s="235"/>
      <c r="C229" s="214"/>
      <c r="D229" s="214"/>
      <c r="E229" s="214"/>
      <c r="F229" s="214"/>
      <c r="G229" s="222"/>
      <c r="H229" s="221"/>
      <c r="I229" s="213"/>
      <c r="J229" s="213"/>
      <c r="K229" s="215"/>
      <c r="L229" s="216"/>
      <c r="M229" s="217"/>
      <c r="O229" s="241" t="str">
        <f>IF(Q229 = "", "", COUNT(Q$4:$Q229))</f>
        <v/>
      </c>
      <c r="P229" s="241" t="str">
        <f t="shared" si="28"/>
        <v/>
      </c>
      <c r="Q229" s="242" t="str">
        <f t="shared" si="29"/>
        <v/>
      </c>
      <c r="R229" s="243" t="str">
        <f t="shared" si="32"/>
        <v/>
      </c>
      <c r="S229" s="244" t="str">
        <f t="shared" si="30"/>
        <v/>
      </c>
      <c r="T229" s="245" t="str">
        <f t="shared" si="33"/>
        <v/>
      </c>
      <c r="U229" s="246" t="str">
        <f t="shared" si="31"/>
        <v/>
      </c>
      <c r="V229" s="8"/>
      <c r="AR229" t="str">
        <f t="shared" si="35"/>
        <v/>
      </c>
      <c r="AS229" t="str">
        <f t="shared" si="34"/>
        <v/>
      </c>
    </row>
    <row r="230" spans="1:45" x14ac:dyDescent="0.3">
      <c r="A230" s="231"/>
      <c r="B230" s="235"/>
      <c r="C230" s="214"/>
      <c r="D230" s="214"/>
      <c r="E230" s="214"/>
      <c r="F230" s="214"/>
      <c r="G230" s="222"/>
      <c r="H230" s="221"/>
      <c r="I230" s="213"/>
      <c r="J230" s="213"/>
      <c r="K230" s="215"/>
      <c r="L230" s="216"/>
      <c r="M230" s="217"/>
      <c r="O230" s="241" t="str">
        <f>IF(Q230 = "", "", COUNT(Q$4:$Q230))</f>
        <v/>
      </c>
      <c r="P230" s="241" t="str">
        <f t="shared" si="28"/>
        <v/>
      </c>
      <c r="Q230" s="242" t="str">
        <f t="shared" si="29"/>
        <v/>
      </c>
      <c r="R230" s="243" t="str">
        <f t="shared" si="32"/>
        <v/>
      </c>
      <c r="S230" s="244" t="str">
        <f t="shared" si="30"/>
        <v/>
      </c>
      <c r="T230" s="245" t="str">
        <f t="shared" si="33"/>
        <v/>
      </c>
      <c r="U230" s="246" t="str">
        <f t="shared" si="31"/>
        <v/>
      </c>
      <c r="V230" s="8"/>
      <c r="AR230" t="str">
        <f t="shared" si="35"/>
        <v/>
      </c>
      <c r="AS230" t="str">
        <f t="shared" si="34"/>
        <v/>
      </c>
    </row>
    <row r="231" spans="1:45" x14ac:dyDescent="0.3">
      <c r="A231" s="231"/>
      <c r="B231" s="235"/>
      <c r="C231" s="214"/>
      <c r="D231" s="214"/>
      <c r="E231" s="214"/>
      <c r="F231" s="214"/>
      <c r="G231" s="222"/>
      <c r="H231" s="221"/>
      <c r="I231" s="213"/>
      <c r="J231" s="213"/>
      <c r="K231" s="215"/>
      <c r="L231" s="216"/>
      <c r="M231" s="217"/>
      <c r="O231" s="241" t="str">
        <f>IF(Q231 = "", "", COUNT(Q$4:$Q231))</f>
        <v/>
      </c>
      <c r="P231" s="241" t="str">
        <f t="shared" si="28"/>
        <v/>
      </c>
      <c r="Q231" s="242" t="str">
        <f t="shared" si="29"/>
        <v/>
      </c>
      <c r="R231" s="243" t="str">
        <f t="shared" si="32"/>
        <v/>
      </c>
      <c r="S231" s="244" t="str">
        <f t="shared" si="30"/>
        <v/>
      </c>
      <c r="T231" s="245" t="str">
        <f t="shared" si="33"/>
        <v/>
      </c>
      <c r="U231" s="246" t="str">
        <f t="shared" si="31"/>
        <v/>
      </c>
      <c r="V231" s="8"/>
      <c r="AR231" t="str">
        <f t="shared" si="35"/>
        <v/>
      </c>
      <c r="AS231" t="str">
        <f t="shared" si="34"/>
        <v/>
      </c>
    </row>
    <row r="232" spans="1:45" x14ac:dyDescent="0.3">
      <c r="A232" s="231"/>
      <c r="B232" s="235"/>
      <c r="C232" s="214"/>
      <c r="D232" s="214"/>
      <c r="E232" s="214"/>
      <c r="F232" s="214"/>
      <c r="G232" s="222"/>
      <c r="H232" s="221"/>
      <c r="I232" s="213"/>
      <c r="J232" s="213"/>
      <c r="K232" s="215"/>
      <c r="L232" s="216"/>
      <c r="M232" s="217"/>
      <c r="O232" s="241" t="str">
        <f>IF(Q232 = "", "", COUNT(Q$4:$Q232))</f>
        <v/>
      </c>
      <c r="P232" s="241" t="str">
        <f t="shared" si="28"/>
        <v/>
      </c>
      <c r="Q232" s="242" t="str">
        <f t="shared" si="29"/>
        <v/>
      </c>
      <c r="R232" s="243" t="str">
        <f t="shared" si="32"/>
        <v/>
      </c>
      <c r="S232" s="244" t="str">
        <f t="shared" si="30"/>
        <v/>
      </c>
      <c r="T232" s="245" t="str">
        <f t="shared" si="33"/>
        <v/>
      </c>
      <c r="U232" s="246" t="str">
        <f t="shared" si="31"/>
        <v/>
      </c>
      <c r="V232" s="8"/>
      <c r="AR232" t="str">
        <f t="shared" si="35"/>
        <v/>
      </c>
      <c r="AS232" t="str">
        <f t="shared" si="34"/>
        <v/>
      </c>
    </row>
    <row r="233" spans="1:45" x14ac:dyDescent="0.3">
      <c r="A233" s="231"/>
      <c r="B233" s="235"/>
      <c r="C233" s="214"/>
      <c r="D233" s="214"/>
      <c r="E233" s="214"/>
      <c r="F233" s="214"/>
      <c r="G233" s="222"/>
      <c r="H233" s="221"/>
      <c r="I233" s="213"/>
      <c r="J233" s="213"/>
      <c r="K233" s="215"/>
      <c r="L233" s="216"/>
      <c r="M233" s="217"/>
      <c r="O233" s="241" t="str">
        <f>IF(Q233 = "", "", COUNT(Q$4:$Q233))</f>
        <v/>
      </c>
      <c r="P233" s="241" t="str">
        <f t="shared" si="28"/>
        <v/>
      </c>
      <c r="Q233" s="242" t="str">
        <f t="shared" si="29"/>
        <v/>
      </c>
      <c r="R233" s="243" t="str">
        <f t="shared" si="32"/>
        <v/>
      </c>
      <c r="S233" s="244" t="str">
        <f t="shared" si="30"/>
        <v/>
      </c>
      <c r="T233" s="245" t="str">
        <f t="shared" si="33"/>
        <v/>
      </c>
      <c r="U233" s="246" t="str">
        <f t="shared" si="31"/>
        <v/>
      </c>
      <c r="V233" s="8"/>
      <c r="AR233" t="str">
        <f t="shared" si="35"/>
        <v/>
      </c>
      <c r="AS233" t="str">
        <f t="shared" si="34"/>
        <v/>
      </c>
    </row>
    <row r="234" spans="1:45" x14ac:dyDescent="0.3">
      <c r="A234" s="231"/>
      <c r="B234" s="235"/>
      <c r="C234" s="214"/>
      <c r="D234" s="214"/>
      <c r="E234" s="214"/>
      <c r="F234" s="214"/>
      <c r="G234" s="222"/>
      <c r="H234" s="221"/>
      <c r="I234" s="213"/>
      <c r="J234" s="213"/>
      <c r="K234" s="215"/>
      <c r="L234" s="216"/>
      <c r="M234" s="217"/>
      <c r="O234" s="241" t="str">
        <f>IF(Q234 = "", "", COUNT(Q$4:$Q234))</f>
        <v/>
      </c>
      <c r="P234" s="241" t="str">
        <f t="shared" si="28"/>
        <v/>
      </c>
      <c r="Q234" s="242" t="str">
        <f t="shared" si="29"/>
        <v/>
      </c>
      <c r="R234" s="243" t="str">
        <f t="shared" si="32"/>
        <v/>
      </c>
      <c r="S234" s="244" t="str">
        <f t="shared" si="30"/>
        <v/>
      </c>
      <c r="T234" s="245" t="str">
        <f t="shared" si="33"/>
        <v/>
      </c>
      <c r="U234" s="246" t="str">
        <f t="shared" si="31"/>
        <v/>
      </c>
      <c r="V234" s="8"/>
      <c r="AR234" t="str">
        <f t="shared" si="35"/>
        <v/>
      </c>
      <c r="AS234" t="str">
        <f t="shared" si="34"/>
        <v/>
      </c>
    </row>
    <row r="235" spans="1:45" x14ac:dyDescent="0.3">
      <c r="A235" s="231"/>
      <c r="B235" s="235"/>
      <c r="C235" s="214"/>
      <c r="D235" s="214"/>
      <c r="E235" s="214"/>
      <c r="F235" s="214"/>
      <c r="G235" s="222"/>
      <c r="H235" s="221"/>
      <c r="I235" s="213"/>
      <c r="J235" s="213"/>
      <c r="K235" s="215"/>
      <c r="L235" s="216"/>
      <c r="M235" s="217"/>
      <c r="O235" s="241" t="str">
        <f>IF(Q235 = "", "", COUNT(Q$4:$Q235))</f>
        <v/>
      </c>
      <c r="P235" s="241" t="str">
        <f t="shared" si="28"/>
        <v/>
      </c>
      <c r="Q235" s="242" t="str">
        <f t="shared" si="29"/>
        <v/>
      </c>
      <c r="R235" s="243" t="str">
        <f t="shared" si="32"/>
        <v/>
      </c>
      <c r="S235" s="244" t="str">
        <f t="shared" si="30"/>
        <v/>
      </c>
      <c r="T235" s="245" t="str">
        <f t="shared" si="33"/>
        <v/>
      </c>
      <c r="U235" s="246" t="str">
        <f t="shared" si="31"/>
        <v/>
      </c>
      <c r="V235" s="8"/>
      <c r="AR235" t="str">
        <f t="shared" si="35"/>
        <v/>
      </c>
      <c r="AS235" t="str">
        <f t="shared" si="34"/>
        <v/>
      </c>
    </row>
    <row r="236" spans="1:45" x14ac:dyDescent="0.3">
      <c r="A236" s="231"/>
      <c r="B236" s="235"/>
      <c r="C236" s="214"/>
      <c r="D236" s="214"/>
      <c r="E236" s="214"/>
      <c r="F236" s="214"/>
      <c r="G236" s="222"/>
      <c r="H236" s="221"/>
      <c r="I236" s="213"/>
      <c r="J236" s="213"/>
      <c r="K236" s="215"/>
      <c r="L236" s="216"/>
      <c r="M236" s="217"/>
      <c r="O236" s="241" t="str">
        <f>IF(Q236 = "", "", COUNT(Q$4:$Q236))</f>
        <v/>
      </c>
      <c r="P236" s="241" t="str">
        <f t="shared" si="28"/>
        <v/>
      </c>
      <c r="Q236" s="242" t="str">
        <f t="shared" si="29"/>
        <v/>
      </c>
      <c r="R236" s="243" t="str">
        <f t="shared" si="32"/>
        <v/>
      </c>
      <c r="S236" s="244" t="str">
        <f t="shared" si="30"/>
        <v/>
      </c>
      <c r="T236" s="245" t="str">
        <f t="shared" si="33"/>
        <v/>
      </c>
      <c r="U236" s="246" t="str">
        <f t="shared" si="31"/>
        <v/>
      </c>
      <c r="V236" s="8"/>
      <c r="AR236" t="str">
        <f t="shared" si="35"/>
        <v/>
      </c>
      <c r="AS236" t="str">
        <f t="shared" si="34"/>
        <v/>
      </c>
    </row>
    <row r="237" spans="1:45" x14ac:dyDescent="0.3">
      <c r="A237" s="231"/>
      <c r="B237" s="235"/>
      <c r="C237" s="214"/>
      <c r="D237" s="214"/>
      <c r="E237" s="214"/>
      <c r="F237" s="214"/>
      <c r="G237" s="222"/>
      <c r="H237" s="221"/>
      <c r="I237" s="213"/>
      <c r="J237" s="213"/>
      <c r="K237" s="215"/>
      <c r="L237" s="216"/>
      <c r="M237" s="217"/>
      <c r="O237" s="241" t="str">
        <f>IF(Q237 = "", "", COUNT(Q$4:$Q237))</f>
        <v/>
      </c>
      <c r="P237" s="241" t="str">
        <f t="shared" si="28"/>
        <v/>
      </c>
      <c r="Q237" s="242" t="str">
        <f t="shared" si="29"/>
        <v/>
      </c>
      <c r="R237" s="243" t="str">
        <f t="shared" si="32"/>
        <v/>
      </c>
      <c r="S237" s="244" t="str">
        <f t="shared" si="30"/>
        <v/>
      </c>
      <c r="T237" s="245" t="str">
        <f t="shared" si="33"/>
        <v/>
      </c>
      <c r="U237" s="246" t="str">
        <f t="shared" si="31"/>
        <v/>
      </c>
      <c r="V237" s="8"/>
      <c r="AR237" t="str">
        <f t="shared" si="35"/>
        <v/>
      </c>
      <c r="AS237" t="str">
        <f t="shared" si="34"/>
        <v/>
      </c>
    </row>
    <row r="238" spans="1:45" x14ac:dyDescent="0.3">
      <c r="A238" s="231"/>
      <c r="B238" s="235"/>
      <c r="C238" s="214"/>
      <c r="D238" s="214"/>
      <c r="E238" s="214"/>
      <c r="F238" s="214"/>
      <c r="G238" s="222"/>
      <c r="H238" s="221"/>
      <c r="I238" s="213"/>
      <c r="J238" s="213"/>
      <c r="K238" s="215"/>
      <c r="L238" s="216"/>
      <c r="M238" s="217"/>
      <c r="O238" s="241" t="str">
        <f>IF(Q238 = "", "", COUNT(Q$4:$Q238))</f>
        <v/>
      </c>
      <c r="P238" s="241" t="str">
        <f t="shared" si="28"/>
        <v/>
      </c>
      <c r="Q238" s="242" t="str">
        <f t="shared" si="29"/>
        <v/>
      </c>
      <c r="R238" s="243" t="str">
        <f t="shared" si="32"/>
        <v/>
      </c>
      <c r="S238" s="244" t="str">
        <f t="shared" si="30"/>
        <v/>
      </c>
      <c r="T238" s="245" t="str">
        <f t="shared" si="33"/>
        <v/>
      </c>
      <c r="U238" s="246" t="str">
        <f t="shared" si="31"/>
        <v/>
      </c>
      <c r="V238" s="8"/>
      <c r="AR238" t="str">
        <f t="shared" si="35"/>
        <v/>
      </c>
      <c r="AS238" t="str">
        <f t="shared" si="34"/>
        <v/>
      </c>
    </row>
    <row r="239" spans="1:45" x14ac:dyDescent="0.3">
      <c r="A239" s="231"/>
      <c r="B239" s="235"/>
      <c r="C239" s="214"/>
      <c r="D239" s="214"/>
      <c r="E239" s="214"/>
      <c r="F239" s="214"/>
      <c r="G239" s="222"/>
      <c r="H239" s="221"/>
      <c r="I239" s="213"/>
      <c r="J239" s="213"/>
      <c r="K239" s="215"/>
      <c r="L239" s="216"/>
      <c r="M239" s="217"/>
      <c r="O239" s="241" t="str">
        <f>IF(Q239 = "", "", COUNT(Q$4:$Q239))</f>
        <v/>
      </c>
      <c r="P239" s="241" t="str">
        <f t="shared" si="28"/>
        <v/>
      </c>
      <c r="Q239" s="242" t="str">
        <f t="shared" si="29"/>
        <v/>
      </c>
      <c r="R239" s="243" t="str">
        <f t="shared" si="32"/>
        <v/>
      </c>
      <c r="S239" s="244" t="str">
        <f t="shared" si="30"/>
        <v/>
      </c>
      <c r="T239" s="245" t="str">
        <f t="shared" si="33"/>
        <v/>
      </c>
      <c r="U239" s="246" t="str">
        <f t="shared" si="31"/>
        <v/>
      </c>
      <c r="V239" s="8"/>
      <c r="AR239" t="str">
        <f t="shared" si="35"/>
        <v/>
      </c>
      <c r="AS239" t="str">
        <f t="shared" si="34"/>
        <v/>
      </c>
    </row>
    <row r="240" spans="1:45" x14ac:dyDescent="0.3">
      <c r="A240" s="231"/>
      <c r="B240" s="235"/>
      <c r="C240" s="214"/>
      <c r="D240" s="214"/>
      <c r="E240" s="214"/>
      <c r="F240" s="214"/>
      <c r="G240" s="222"/>
      <c r="H240" s="221"/>
      <c r="I240" s="213"/>
      <c r="J240" s="213"/>
      <c r="K240" s="215"/>
      <c r="L240" s="216"/>
      <c r="M240" s="217"/>
      <c r="O240" s="241" t="str">
        <f>IF(Q240 = "", "", COUNT(Q$4:$Q240))</f>
        <v/>
      </c>
      <c r="P240" s="241" t="str">
        <f t="shared" si="28"/>
        <v/>
      </c>
      <c r="Q240" s="242" t="str">
        <f t="shared" si="29"/>
        <v/>
      </c>
      <c r="R240" s="243" t="str">
        <f t="shared" si="32"/>
        <v/>
      </c>
      <c r="S240" s="244" t="str">
        <f t="shared" si="30"/>
        <v/>
      </c>
      <c r="T240" s="245" t="str">
        <f t="shared" si="33"/>
        <v/>
      </c>
      <c r="U240" s="246" t="str">
        <f t="shared" si="31"/>
        <v/>
      </c>
      <c r="V240" s="8"/>
      <c r="AR240" t="str">
        <f t="shared" si="35"/>
        <v/>
      </c>
      <c r="AS240" t="str">
        <f t="shared" si="34"/>
        <v/>
      </c>
    </row>
    <row r="241" spans="1:45" x14ac:dyDescent="0.3">
      <c r="A241" s="231"/>
      <c r="B241" s="235"/>
      <c r="C241" s="214"/>
      <c r="D241" s="214"/>
      <c r="E241" s="214"/>
      <c r="F241" s="214"/>
      <c r="G241" s="222"/>
      <c r="H241" s="221"/>
      <c r="I241" s="213"/>
      <c r="J241" s="213"/>
      <c r="K241" s="215"/>
      <c r="L241" s="216"/>
      <c r="M241" s="217"/>
      <c r="O241" s="241" t="str">
        <f>IF(Q241 = "", "", COUNT(Q$4:$Q241))</f>
        <v/>
      </c>
      <c r="P241" s="241" t="str">
        <f t="shared" si="28"/>
        <v/>
      </c>
      <c r="Q241" s="242" t="str">
        <f t="shared" si="29"/>
        <v/>
      </c>
      <c r="R241" s="243" t="str">
        <f t="shared" si="32"/>
        <v/>
      </c>
      <c r="S241" s="244" t="str">
        <f t="shared" si="30"/>
        <v/>
      </c>
      <c r="T241" s="245" t="str">
        <f t="shared" si="33"/>
        <v/>
      </c>
      <c r="U241" s="246" t="str">
        <f t="shared" si="31"/>
        <v/>
      </c>
      <c r="V241" s="8"/>
      <c r="AR241" t="str">
        <f t="shared" si="35"/>
        <v/>
      </c>
      <c r="AS241" t="str">
        <f t="shared" si="34"/>
        <v/>
      </c>
    </row>
    <row r="242" spans="1:45" x14ac:dyDescent="0.3">
      <c r="A242" s="231"/>
      <c r="B242" s="235"/>
      <c r="C242" s="214"/>
      <c r="D242" s="214"/>
      <c r="E242" s="214"/>
      <c r="F242" s="214"/>
      <c r="G242" s="222"/>
      <c r="H242" s="221"/>
      <c r="I242" s="213"/>
      <c r="J242" s="213"/>
      <c r="K242" s="215"/>
      <c r="L242" s="216"/>
      <c r="M242" s="217"/>
      <c r="O242" s="241" t="str">
        <f>IF(Q242 = "", "", COUNT(Q$4:$Q242))</f>
        <v/>
      </c>
      <c r="P242" s="241" t="str">
        <f t="shared" si="28"/>
        <v/>
      </c>
      <c r="Q242" s="242" t="str">
        <f t="shared" si="29"/>
        <v/>
      </c>
      <c r="R242" s="243" t="str">
        <f t="shared" si="32"/>
        <v/>
      </c>
      <c r="S242" s="244" t="str">
        <f t="shared" si="30"/>
        <v/>
      </c>
      <c r="T242" s="245" t="str">
        <f t="shared" si="33"/>
        <v/>
      </c>
      <c r="U242" s="246" t="str">
        <f t="shared" si="31"/>
        <v/>
      </c>
      <c r="V242" s="8"/>
      <c r="AR242" t="str">
        <f t="shared" si="35"/>
        <v/>
      </c>
      <c r="AS242" t="str">
        <f t="shared" si="34"/>
        <v/>
      </c>
    </row>
    <row r="243" spans="1:45" x14ac:dyDescent="0.3">
      <c r="A243" s="231"/>
      <c r="B243" s="235"/>
      <c r="C243" s="214"/>
      <c r="D243" s="214"/>
      <c r="E243" s="214"/>
      <c r="F243" s="214"/>
      <c r="G243" s="222"/>
      <c r="H243" s="221"/>
      <c r="I243" s="213"/>
      <c r="J243" s="213"/>
      <c r="K243" s="215"/>
      <c r="L243" s="216"/>
      <c r="M243" s="217"/>
      <c r="O243" s="241" t="str">
        <f>IF(Q243 = "", "", COUNT(Q$4:$Q243))</f>
        <v/>
      </c>
      <c r="P243" s="241" t="str">
        <f t="shared" si="28"/>
        <v/>
      </c>
      <c r="Q243" s="242" t="str">
        <f t="shared" si="29"/>
        <v/>
      </c>
      <c r="R243" s="243" t="str">
        <f t="shared" si="32"/>
        <v/>
      </c>
      <c r="S243" s="244" t="str">
        <f t="shared" si="30"/>
        <v/>
      </c>
      <c r="T243" s="245" t="str">
        <f t="shared" si="33"/>
        <v/>
      </c>
      <c r="U243" s="246" t="str">
        <f t="shared" si="31"/>
        <v/>
      </c>
      <c r="V243" s="8"/>
      <c r="AR243" t="str">
        <f t="shared" si="35"/>
        <v/>
      </c>
      <c r="AS243" t="str">
        <f t="shared" si="34"/>
        <v/>
      </c>
    </row>
    <row r="244" spans="1:45" x14ac:dyDescent="0.3">
      <c r="A244" s="231"/>
      <c r="B244" s="235"/>
      <c r="C244" s="214"/>
      <c r="D244" s="214"/>
      <c r="E244" s="214"/>
      <c r="F244" s="214"/>
      <c r="G244" s="222"/>
      <c r="H244" s="221"/>
      <c r="I244" s="213"/>
      <c r="J244" s="213"/>
      <c r="K244" s="215"/>
      <c r="L244" s="216"/>
      <c r="M244" s="217"/>
      <c r="O244" s="241" t="str">
        <f>IF(Q244 = "", "", COUNT(Q$4:$Q244))</f>
        <v/>
      </c>
      <c r="P244" s="241" t="str">
        <f t="shared" si="28"/>
        <v/>
      </c>
      <c r="Q244" s="242" t="str">
        <f t="shared" si="29"/>
        <v/>
      </c>
      <c r="R244" s="243" t="str">
        <f t="shared" si="32"/>
        <v/>
      </c>
      <c r="S244" s="244" t="str">
        <f t="shared" si="30"/>
        <v/>
      </c>
      <c r="T244" s="245" t="str">
        <f t="shared" si="33"/>
        <v/>
      </c>
      <c r="U244" s="246" t="str">
        <f t="shared" si="31"/>
        <v/>
      </c>
      <c r="V244" s="8"/>
      <c r="AR244" t="str">
        <f t="shared" si="35"/>
        <v/>
      </c>
      <c r="AS244" t="str">
        <f t="shared" si="34"/>
        <v/>
      </c>
    </row>
    <row r="245" spans="1:45" x14ac:dyDescent="0.3">
      <c r="A245" s="231"/>
      <c r="B245" s="235"/>
      <c r="C245" s="214"/>
      <c r="D245" s="214"/>
      <c r="E245" s="214"/>
      <c r="F245" s="214"/>
      <c r="G245" s="222"/>
      <c r="H245" s="221"/>
      <c r="I245" s="213"/>
      <c r="J245" s="213"/>
      <c r="K245" s="215"/>
      <c r="L245" s="216"/>
      <c r="M245" s="217"/>
      <c r="O245" s="241" t="str">
        <f>IF(Q245 = "", "", COUNT(Q$4:$Q245))</f>
        <v/>
      </c>
      <c r="P245" s="241" t="str">
        <f t="shared" si="28"/>
        <v/>
      </c>
      <c r="Q245" s="242" t="str">
        <f t="shared" si="29"/>
        <v/>
      </c>
      <c r="R245" s="243" t="str">
        <f t="shared" si="32"/>
        <v/>
      </c>
      <c r="S245" s="244" t="str">
        <f t="shared" si="30"/>
        <v/>
      </c>
      <c r="T245" s="245" t="str">
        <f t="shared" si="33"/>
        <v/>
      </c>
      <c r="U245" s="246" t="str">
        <f t="shared" si="31"/>
        <v/>
      </c>
      <c r="V245" s="8"/>
      <c r="AR245" t="str">
        <f t="shared" si="35"/>
        <v/>
      </c>
      <c r="AS245" t="str">
        <f t="shared" si="34"/>
        <v/>
      </c>
    </row>
    <row r="246" spans="1:45" x14ac:dyDescent="0.3">
      <c r="A246" s="231"/>
      <c r="B246" s="235"/>
      <c r="C246" s="214"/>
      <c r="D246" s="214"/>
      <c r="E246" s="214"/>
      <c r="F246" s="214"/>
      <c r="G246" s="222"/>
      <c r="H246" s="221"/>
      <c r="I246" s="213"/>
      <c r="J246" s="213"/>
      <c r="K246" s="215"/>
      <c r="L246" s="216"/>
      <c r="M246" s="217"/>
      <c r="O246" s="241" t="str">
        <f>IF(Q246 = "", "", COUNT(Q$4:$Q246))</f>
        <v/>
      </c>
      <c r="P246" s="241" t="str">
        <f t="shared" si="28"/>
        <v/>
      </c>
      <c r="Q246" s="242" t="str">
        <f t="shared" si="29"/>
        <v/>
      </c>
      <c r="R246" s="243" t="str">
        <f t="shared" si="32"/>
        <v/>
      </c>
      <c r="S246" s="244" t="str">
        <f t="shared" si="30"/>
        <v/>
      </c>
      <c r="T246" s="245" t="str">
        <f t="shared" si="33"/>
        <v/>
      </c>
      <c r="U246" s="246" t="str">
        <f t="shared" si="31"/>
        <v/>
      </c>
      <c r="V246" s="8"/>
      <c r="AR246" t="str">
        <f t="shared" si="35"/>
        <v/>
      </c>
      <c r="AS246" t="str">
        <f t="shared" si="34"/>
        <v/>
      </c>
    </row>
    <row r="247" spans="1:45" x14ac:dyDescent="0.3">
      <c r="A247" s="231"/>
      <c r="B247" s="235"/>
      <c r="C247" s="214"/>
      <c r="D247" s="214"/>
      <c r="E247" s="214"/>
      <c r="F247" s="214"/>
      <c r="G247" s="222"/>
      <c r="H247" s="221"/>
      <c r="I247" s="213"/>
      <c r="J247" s="213"/>
      <c r="K247" s="215"/>
      <c r="L247" s="216"/>
      <c r="M247" s="217"/>
      <c r="O247" s="241" t="str">
        <f>IF(Q247 = "", "", COUNT(Q$4:$Q247))</f>
        <v/>
      </c>
      <c r="P247" s="241" t="str">
        <f t="shared" si="28"/>
        <v/>
      </c>
      <c r="Q247" s="242" t="str">
        <f t="shared" si="29"/>
        <v/>
      </c>
      <c r="R247" s="243" t="str">
        <f t="shared" si="32"/>
        <v/>
      </c>
      <c r="S247" s="244" t="str">
        <f t="shared" si="30"/>
        <v/>
      </c>
      <c r="T247" s="245" t="str">
        <f t="shared" si="33"/>
        <v/>
      </c>
      <c r="U247" s="246" t="str">
        <f t="shared" si="31"/>
        <v/>
      </c>
      <c r="V247" s="8"/>
      <c r="AR247" t="str">
        <f t="shared" si="35"/>
        <v/>
      </c>
      <c r="AS247" t="str">
        <f t="shared" si="34"/>
        <v/>
      </c>
    </row>
    <row r="248" spans="1:45" x14ac:dyDescent="0.3">
      <c r="A248" s="231"/>
      <c r="B248" s="235"/>
      <c r="C248" s="214"/>
      <c r="D248" s="214"/>
      <c r="E248" s="214"/>
      <c r="F248" s="214"/>
      <c r="G248" s="222"/>
      <c r="H248" s="221"/>
      <c r="I248" s="213"/>
      <c r="J248" s="213"/>
      <c r="K248" s="215"/>
      <c r="L248" s="216"/>
      <c r="M248" s="217"/>
      <c r="O248" s="241" t="str">
        <f>IF(Q248 = "", "", COUNT(Q$4:$Q248))</f>
        <v/>
      </c>
      <c r="P248" s="241" t="str">
        <f t="shared" si="28"/>
        <v/>
      </c>
      <c r="Q248" s="242" t="str">
        <f t="shared" si="29"/>
        <v/>
      </c>
      <c r="R248" s="243" t="str">
        <f t="shared" si="32"/>
        <v/>
      </c>
      <c r="S248" s="244" t="str">
        <f t="shared" si="30"/>
        <v/>
      </c>
      <c r="T248" s="245" t="str">
        <f t="shared" si="33"/>
        <v/>
      </c>
      <c r="U248" s="246" t="str">
        <f t="shared" si="31"/>
        <v/>
      </c>
      <c r="V248" s="8"/>
      <c r="AR248" t="str">
        <f t="shared" si="35"/>
        <v/>
      </c>
      <c r="AS248" t="str">
        <f t="shared" si="34"/>
        <v/>
      </c>
    </row>
    <row r="249" spans="1:45" x14ac:dyDescent="0.3">
      <c r="A249" s="231"/>
      <c r="B249" s="235"/>
      <c r="C249" s="214"/>
      <c r="D249" s="214"/>
      <c r="E249" s="214"/>
      <c r="F249" s="214"/>
      <c r="G249" s="222"/>
      <c r="H249" s="221"/>
      <c r="I249" s="213"/>
      <c r="J249" s="213"/>
      <c r="K249" s="215"/>
      <c r="L249" s="216"/>
      <c r="M249" s="217"/>
      <c r="O249" s="241" t="str">
        <f>IF(Q249 = "", "", COUNT(Q$4:$Q249))</f>
        <v/>
      </c>
      <c r="P249" s="241" t="str">
        <f t="shared" si="28"/>
        <v/>
      </c>
      <c r="Q249" s="242" t="str">
        <f t="shared" si="29"/>
        <v/>
      </c>
      <c r="R249" s="243" t="str">
        <f t="shared" si="32"/>
        <v/>
      </c>
      <c r="S249" s="244" t="str">
        <f t="shared" si="30"/>
        <v/>
      </c>
      <c r="T249" s="245" t="str">
        <f t="shared" si="33"/>
        <v/>
      </c>
      <c r="U249" s="246" t="str">
        <f t="shared" si="31"/>
        <v/>
      </c>
      <c r="V249" s="8"/>
      <c r="AR249" t="str">
        <f t="shared" si="35"/>
        <v/>
      </c>
      <c r="AS249" t="str">
        <f t="shared" si="34"/>
        <v/>
      </c>
    </row>
    <row r="250" spans="1:45" x14ac:dyDescent="0.3">
      <c r="A250" s="231"/>
      <c r="B250" s="235"/>
      <c r="C250" s="214"/>
      <c r="D250" s="214"/>
      <c r="E250" s="214"/>
      <c r="F250" s="214"/>
      <c r="G250" s="222"/>
      <c r="H250" s="221"/>
      <c r="I250" s="213"/>
      <c r="J250" s="213"/>
      <c r="K250" s="215"/>
      <c r="L250" s="216"/>
      <c r="M250" s="217"/>
      <c r="O250" s="241" t="str">
        <f>IF(Q250 = "", "", COUNT(Q$4:$Q250))</f>
        <v/>
      </c>
      <c r="P250" s="241" t="str">
        <f t="shared" si="28"/>
        <v/>
      </c>
      <c r="Q250" s="242" t="str">
        <f t="shared" si="29"/>
        <v/>
      </c>
      <c r="R250" s="243" t="str">
        <f t="shared" si="32"/>
        <v/>
      </c>
      <c r="S250" s="244" t="str">
        <f t="shared" si="30"/>
        <v/>
      </c>
      <c r="T250" s="245" t="str">
        <f t="shared" si="33"/>
        <v/>
      </c>
      <c r="U250" s="246" t="str">
        <f t="shared" si="31"/>
        <v/>
      </c>
      <c r="V250" s="8"/>
      <c r="AR250" t="str">
        <f t="shared" si="35"/>
        <v/>
      </c>
      <c r="AS250" t="str">
        <f t="shared" si="34"/>
        <v/>
      </c>
    </row>
    <row r="251" spans="1:45" x14ac:dyDescent="0.3">
      <c r="A251" s="231"/>
      <c r="B251" s="235"/>
      <c r="C251" s="214"/>
      <c r="D251" s="214"/>
      <c r="E251" s="214"/>
      <c r="F251" s="214"/>
      <c r="G251" s="222"/>
      <c r="H251" s="221"/>
      <c r="I251" s="213"/>
      <c r="J251" s="213"/>
      <c r="K251" s="215"/>
      <c r="L251" s="216"/>
      <c r="M251" s="217"/>
      <c r="O251" s="241" t="str">
        <f>IF(Q251 = "", "", COUNT(Q$4:$Q251))</f>
        <v/>
      </c>
      <c r="P251" s="241" t="str">
        <f t="shared" si="28"/>
        <v/>
      </c>
      <c r="Q251" s="242" t="str">
        <f t="shared" si="29"/>
        <v/>
      </c>
      <c r="R251" s="243" t="str">
        <f t="shared" si="32"/>
        <v/>
      </c>
      <c r="S251" s="244" t="str">
        <f t="shared" si="30"/>
        <v/>
      </c>
      <c r="T251" s="245" t="str">
        <f t="shared" si="33"/>
        <v/>
      </c>
      <c r="U251" s="246" t="str">
        <f t="shared" si="31"/>
        <v/>
      </c>
      <c r="V251" s="8"/>
      <c r="AR251" t="str">
        <f t="shared" si="35"/>
        <v/>
      </c>
      <c r="AS251" t="str">
        <f t="shared" si="34"/>
        <v/>
      </c>
    </row>
    <row r="252" spans="1:45" x14ac:dyDescent="0.3">
      <c r="A252" s="231"/>
      <c r="B252" s="235"/>
      <c r="C252" s="214"/>
      <c r="D252" s="214"/>
      <c r="E252" s="214"/>
      <c r="F252" s="214"/>
      <c r="G252" s="222"/>
      <c r="H252" s="221"/>
      <c r="I252" s="213"/>
      <c r="J252" s="213"/>
      <c r="K252" s="215"/>
      <c r="L252" s="216"/>
      <c r="M252" s="217"/>
      <c r="O252" s="241" t="str">
        <f>IF(Q252 = "", "", COUNT(Q$4:$Q252))</f>
        <v/>
      </c>
      <c r="P252" s="241" t="str">
        <f t="shared" si="28"/>
        <v/>
      </c>
      <c r="Q252" s="242" t="str">
        <f t="shared" si="29"/>
        <v/>
      </c>
      <c r="R252" s="243" t="str">
        <f t="shared" si="32"/>
        <v/>
      </c>
      <c r="S252" s="244" t="str">
        <f t="shared" si="30"/>
        <v/>
      </c>
      <c r="T252" s="245" t="str">
        <f t="shared" si="33"/>
        <v/>
      </c>
      <c r="U252" s="246" t="str">
        <f t="shared" si="31"/>
        <v/>
      </c>
      <c r="V252" s="8"/>
      <c r="AR252" t="str">
        <f t="shared" si="35"/>
        <v/>
      </c>
      <c r="AS252" t="str">
        <f t="shared" si="34"/>
        <v/>
      </c>
    </row>
    <row r="253" spans="1:45" x14ac:dyDescent="0.3">
      <c r="A253" s="231"/>
      <c r="B253" s="235"/>
      <c r="C253" s="214"/>
      <c r="D253" s="214"/>
      <c r="E253" s="214"/>
      <c r="F253" s="214"/>
      <c r="G253" s="222"/>
      <c r="H253" s="221"/>
      <c r="I253" s="213"/>
      <c r="J253" s="213"/>
      <c r="K253" s="215"/>
      <c r="L253" s="216"/>
      <c r="M253" s="217"/>
      <c r="O253" s="241" t="str">
        <f>IF(Q253 = "", "", COUNT(Q$4:$Q253))</f>
        <v/>
      </c>
      <c r="P253" s="241" t="str">
        <f t="shared" si="28"/>
        <v/>
      </c>
      <c r="Q253" s="242" t="str">
        <f t="shared" si="29"/>
        <v/>
      </c>
      <c r="R253" s="243" t="str">
        <f t="shared" si="32"/>
        <v/>
      </c>
      <c r="S253" s="244" t="str">
        <f t="shared" si="30"/>
        <v/>
      </c>
      <c r="T253" s="245" t="str">
        <f t="shared" si="33"/>
        <v/>
      </c>
      <c r="U253" s="246" t="str">
        <f t="shared" si="31"/>
        <v/>
      </c>
      <c r="V253" s="8"/>
      <c r="AR253" t="str">
        <f t="shared" si="35"/>
        <v/>
      </c>
      <c r="AS253" t="str">
        <f t="shared" si="34"/>
        <v/>
      </c>
    </row>
    <row r="254" spans="1:45" x14ac:dyDescent="0.3">
      <c r="A254" s="231"/>
      <c r="B254" s="235"/>
      <c r="C254" s="214"/>
      <c r="D254" s="214"/>
      <c r="E254" s="214"/>
      <c r="F254" s="214"/>
      <c r="G254" s="222"/>
      <c r="H254" s="221"/>
      <c r="I254" s="213"/>
      <c r="J254" s="213"/>
      <c r="K254" s="215"/>
      <c r="L254" s="216"/>
      <c r="M254" s="217"/>
      <c r="O254" s="241" t="str">
        <f>IF(Q254 = "", "", COUNT(Q$4:$Q254))</f>
        <v/>
      </c>
      <c r="P254" s="241" t="str">
        <f t="shared" si="28"/>
        <v/>
      </c>
      <c r="Q254" s="242" t="str">
        <f t="shared" si="29"/>
        <v/>
      </c>
      <c r="R254" s="243" t="str">
        <f t="shared" si="32"/>
        <v/>
      </c>
      <c r="S254" s="244" t="str">
        <f t="shared" si="30"/>
        <v/>
      </c>
      <c r="T254" s="245" t="str">
        <f t="shared" si="33"/>
        <v/>
      </c>
      <c r="U254" s="246" t="str">
        <f t="shared" si="31"/>
        <v/>
      </c>
      <c r="V254" s="8"/>
      <c r="AR254" t="str">
        <f t="shared" si="35"/>
        <v/>
      </c>
      <c r="AS254" t="str">
        <f t="shared" si="34"/>
        <v/>
      </c>
    </row>
    <row r="255" spans="1:45" x14ac:dyDescent="0.3">
      <c r="A255" s="231"/>
      <c r="B255" s="235"/>
      <c r="C255" s="214"/>
      <c r="D255" s="214"/>
      <c r="E255" s="214"/>
      <c r="F255" s="214"/>
      <c r="G255" s="222"/>
      <c r="H255" s="221"/>
      <c r="I255" s="213"/>
      <c r="J255" s="213"/>
      <c r="K255" s="215"/>
      <c r="L255" s="216"/>
      <c r="M255" s="217"/>
      <c r="O255" s="241" t="str">
        <f>IF(Q255 = "", "", COUNT(Q$4:$Q255))</f>
        <v/>
      </c>
      <c r="P255" s="241" t="str">
        <f t="shared" si="28"/>
        <v/>
      </c>
      <c r="Q255" s="242" t="str">
        <f t="shared" si="29"/>
        <v/>
      </c>
      <c r="R255" s="243" t="str">
        <f t="shared" si="32"/>
        <v/>
      </c>
      <c r="S255" s="244" t="str">
        <f t="shared" si="30"/>
        <v/>
      </c>
      <c r="T255" s="245" t="str">
        <f t="shared" si="33"/>
        <v/>
      </c>
      <c r="U255" s="246" t="str">
        <f t="shared" si="31"/>
        <v/>
      </c>
      <c r="V255" s="8"/>
      <c r="AR255" t="str">
        <f t="shared" si="35"/>
        <v/>
      </c>
      <c r="AS255" t="str">
        <f t="shared" si="34"/>
        <v/>
      </c>
    </row>
    <row r="256" spans="1:45" x14ac:dyDescent="0.3">
      <c r="A256" s="231"/>
      <c r="B256" s="235"/>
      <c r="C256" s="214"/>
      <c r="D256" s="214"/>
      <c r="E256" s="214"/>
      <c r="F256" s="214"/>
      <c r="G256" s="222"/>
      <c r="H256" s="221"/>
      <c r="I256" s="213"/>
      <c r="J256" s="213"/>
      <c r="K256" s="215"/>
      <c r="L256" s="216"/>
      <c r="M256" s="217"/>
      <c r="O256" s="241" t="str">
        <f>IF(Q256 = "", "", COUNT(Q$4:$Q256))</f>
        <v/>
      </c>
      <c r="P256" s="241" t="str">
        <f t="shared" si="28"/>
        <v/>
      </c>
      <c r="Q256" s="242" t="str">
        <f t="shared" si="29"/>
        <v/>
      </c>
      <c r="R256" s="243" t="str">
        <f t="shared" si="32"/>
        <v/>
      </c>
      <c r="S256" s="244" t="str">
        <f t="shared" si="30"/>
        <v/>
      </c>
      <c r="T256" s="245" t="str">
        <f t="shared" si="33"/>
        <v/>
      </c>
      <c r="U256" s="246" t="str">
        <f t="shared" si="31"/>
        <v/>
      </c>
      <c r="V256" s="8"/>
      <c r="AR256" t="str">
        <f t="shared" si="35"/>
        <v/>
      </c>
      <c r="AS256" t="str">
        <f t="shared" si="34"/>
        <v/>
      </c>
    </row>
    <row r="257" spans="1:45" x14ac:dyDescent="0.3">
      <c r="A257" s="231"/>
      <c r="B257" s="235"/>
      <c r="C257" s="214"/>
      <c r="D257" s="214"/>
      <c r="E257" s="214"/>
      <c r="F257" s="214"/>
      <c r="G257" s="222"/>
      <c r="H257" s="221"/>
      <c r="I257" s="213"/>
      <c r="J257" s="213"/>
      <c r="K257" s="215"/>
      <c r="L257" s="216"/>
      <c r="M257" s="217"/>
      <c r="O257" s="241" t="str">
        <f>IF(Q257 = "", "", COUNT(Q$4:$Q257))</f>
        <v/>
      </c>
      <c r="P257" s="241" t="str">
        <f t="shared" si="28"/>
        <v/>
      </c>
      <c r="Q257" s="242" t="str">
        <f t="shared" si="29"/>
        <v/>
      </c>
      <c r="R257" s="243" t="str">
        <f t="shared" si="32"/>
        <v/>
      </c>
      <c r="S257" s="244" t="str">
        <f t="shared" si="30"/>
        <v/>
      </c>
      <c r="T257" s="245" t="str">
        <f t="shared" si="33"/>
        <v/>
      </c>
      <c r="U257" s="246" t="str">
        <f t="shared" si="31"/>
        <v/>
      </c>
      <c r="V257" s="8"/>
      <c r="AR257" t="str">
        <f t="shared" si="35"/>
        <v/>
      </c>
      <c r="AS257" t="str">
        <f t="shared" si="34"/>
        <v/>
      </c>
    </row>
    <row r="258" spans="1:45" x14ac:dyDescent="0.3">
      <c r="A258" s="231"/>
      <c r="B258" s="235"/>
      <c r="C258" s="214"/>
      <c r="D258" s="214"/>
      <c r="E258" s="214"/>
      <c r="F258" s="214"/>
      <c r="G258" s="222"/>
      <c r="H258" s="221"/>
      <c r="I258" s="213"/>
      <c r="J258" s="213"/>
      <c r="K258" s="215"/>
      <c r="L258" s="216"/>
      <c r="M258" s="217"/>
      <c r="O258" s="241" t="str">
        <f>IF(Q258 = "", "", COUNT(Q$4:$Q258))</f>
        <v/>
      </c>
      <c r="P258" s="241" t="str">
        <f t="shared" si="28"/>
        <v/>
      </c>
      <c r="Q258" s="242" t="str">
        <f t="shared" si="29"/>
        <v/>
      </c>
      <c r="R258" s="243" t="str">
        <f t="shared" si="32"/>
        <v/>
      </c>
      <c r="S258" s="244" t="str">
        <f t="shared" si="30"/>
        <v/>
      </c>
      <c r="T258" s="245" t="str">
        <f t="shared" si="33"/>
        <v/>
      </c>
      <c r="U258" s="246" t="str">
        <f t="shared" si="31"/>
        <v/>
      </c>
      <c r="V258" s="8"/>
      <c r="AR258" t="str">
        <f t="shared" si="35"/>
        <v/>
      </c>
      <c r="AS258" t="str">
        <f t="shared" si="34"/>
        <v/>
      </c>
    </row>
    <row r="259" spans="1:45" x14ac:dyDescent="0.3">
      <c r="A259" s="231"/>
      <c r="B259" s="235"/>
      <c r="C259" s="214"/>
      <c r="D259" s="214"/>
      <c r="E259" s="214"/>
      <c r="F259" s="214"/>
      <c r="G259" s="222"/>
      <c r="H259" s="221"/>
      <c r="I259" s="213"/>
      <c r="J259" s="213"/>
      <c r="K259" s="215"/>
      <c r="L259" s="216"/>
      <c r="M259" s="217"/>
      <c r="O259" s="241" t="str">
        <f>IF(Q259 = "", "", COUNT(Q$4:$Q259))</f>
        <v/>
      </c>
      <c r="P259" s="241" t="str">
        <f t="shared" si="28"/>
        <v/>
      </c>
      <c r="Q259" s="242" t="str">
        <f t="shared" si="29"/>
        <v/>
      </c>
      <c r="R259" s="243" t="str">
        <f t="shared" si="32"/>
        <v/>
      </c>
      <c r="S259" s="244" t="str">
        <f t="shared" si="30"/>
        <v/>
      </c>
      <c r="T259" s="245" t="str">
        <f t="shared" si="33"/>
        <v/>
      </c>
      <c r="U259" s="246" t="str">
        <f t="shared" si="31"/>
        <v/>
      </c>
      <c r="V259" s="8"/>
      <c r="AR259" t="str">
        <f t="shared" si="35"/>
        <v/>
      </c>
      <c r="AS259" t="str">
        <f t="shared" si="34"/>
        <v/>
      </c>
    </row>
    <row r="260" spans="1:45" x14ac:dyDescent="0.3">
      <c r="A260" s="231"/>
      <c r="B260" s="235"/>
      <c r="C260" s="214"/>
      <c r="D260" s="214"/>
      <c r="E260" s="214"/>
      <c r="F260" s="214"/>
      <c r="G260" s="222"/>
      <c r="H260" s="221"/>
      <c r="I260" s="213"/>
      <c r="J260" s="213"/>
      <c r="K260" s="215"/>
      <c r="L260" s="216"/>
      <c r="M260" s="217"/>
      <c r="O260" s="241" t="str">
        <f>IF(Q260 = "", "", COUNT(Q$4:$Q260))</f>
        <v/>
      </c>
      <c r="P260" s="241" t="str">
        <f t="shared" ref="P260:P323" si="36">IF(C260 &gt; 0, YEAR(B260), "")</f>
        <v/>
      </c>
      <c r="Q260" s="242" t="str">
        <f t="shared" ref="Q260:Q323" si="37">IF(A260="", "", IF(G260="",1,IF(G260="O",1,IF(G260="C",8.4,IF(G260="B",8.4,IF(G260="A",76.8,IF(G260="K",76.8,"ERR")))))))</f>
        <v/>
      </c>
      <c r="R260" s="243" t="str">
        <f t="shared" si="32"/>
        <v/>
      </c>
      <c r="S260" s="244" t="str">
        <f t="shared" ref="S260:S323" si="38">IF(IF(L260&lt;&gt;"",G260,"")=0, "O", IF(L260&lt;&gt;"",G260,""))</f>
        <v/>
      </c>
      <c r="T260" s="245" t="str">
        <f t="shared" si="33"/>
        <v/>
      </c>
      <c r="U260" s="246" t="str">
        <f t="shared" ref="U260:U323" si="39">IF(IF(M260&lt;&gt;"",G260,"")=0, "O", IF(M260&lt;&gt;"",G260,""))</f>
        <v/>
      </c>
      <c r="V260" s="8"/>
      <c r="AR260" t="str">
        <f t="shared" si="35"/>
        <v/>
      </c>
      <c r="AS260" t="str">
        <f t="shared" si="34"/>
        <v/>
      </c>
    </row>
    <row r="261" spans="1:45" x14ac:dyDescent="0.3">
      <c r="A261" s="231"/>
      <c r="B261" s="235"/>
      <c r="C261" s="214"/>
      <c r="D261" s="214"/>
      <c r="E261" s="214"/>
      <c r="F261" s="214"/>
      <c r="G261" s="222"/>
      <c r="H261" s="221"/>
      <c r="I261" s="213"/>
      <c r="J261" s="213"/>
      <c r="K261" s="215"/>
      <c r="L261" s="216"/>
      <c r="M261" s="217"/>
      <c r="O261" s="241" t="str">
        <f>IF(Q261 = "", "", COUNT(Q$4:$Q261))</f>
        <v/>
      </c>
      <c r="P261" s="241" t="str">
        <f t="shared" si="36"/>
        <v/>
      </c>
      <c r="Q261" s="242" t="str">
        <f t="shared" si="37"/>
        <v/>
      </c>
      <c r="R261" s="243" t="str">
        <f t="shared" ref="R261:R324" si="40">IF(L261&lt;&gt;"",Q261,"")</f>
        <v/>
      </c>
      <c r="S261" s="244" t="str">
        <f t="shared" si="38"/>
        <v/>
      </c>
      <c r="T261" s="245" t="str">
        <f t="shared" ref="T261:T324" si="41">IF(M261&lt;&gt;"",Q261,"")</f>
        <v/>
      </c>
      <c r="U261" s="246" t="str">
        <f t="shared" si="39"/>
        <v/>
      </c>
      <c r="V261" s="8"/>
      <c r="AR261" t="str">
        <f t="shared" si="35"/>
        <v/>
      </c>
      <c r="AS261" t="str">
        <f t="shared" si="34"/>
        <v/>
      </c>
    </row>
    <row r="262" spans="1:45" x14ac:dyDescent="0.3">
      <c r="A262" s="231"/>
      <c r="B262" s="235"/>
      <c r="C262" s="214"/>
      <c r="D262" s="214"/>
      <c r="E262" s="214"/>
      <c r="F262" s="214"/>
      <c r="G262" s="222"/>
      <c r="H262" s="221"/>
      <c r="I262" s="213"/>
      <c r="J262" s="213"/>
      <c r="K262" s="215"/>
      <c r="L262" s="216"/>
      <c r="M262" s="217"/>
      <c r="O262" s="241" t="str">
        <f>IF(Q262 = "", "", COUNT(Q$4:$Q262))</f>
        <v/>
      </c>
      <c r="P262" s="241" t="str">
        <f t="shared" si="36"/>
        <v/>
      </c>
      <c r="Q262" s="242" t="str">
        <f t="shared" si="37"/>
        <v/>
      </c>
      <c r="R262" s="243" t="str">
        <f t="shared" si="40"/>
        <v/>
      </c>
      <c r="S262" s="244" t="str">
        <f t="shared" si="38"/>
        <v/>
      </c>
      <c r="T262" s="245" t="str">
        <f t="shared" si="41"/>
        <v/>
      </c>
      <c r="U262" s="246" t="str">
        <f t="shared" si="39"/>
        <v/>
      </c>
      <c r="V262" s="8"/>
      <c r="AR262" t="str">
        <f t="shared" si="35"/>
        <v/>
      </c>
      <c r="AS262" t="str">
        <f t="shared" si="34"/>
        <v/>
      </c>
    </row>
    <row r="263" spans="1:45" x14ac:dyDescent="0.3">
      <c r="A263" s="231"/>
      <c r="B263" s="235"/>
      <c r="C263" s="214"/>
      <c r="D263" s="214"/>
      <c r="E263" s="214"/>
      <c r="F263" s="214"/>
      <c r="G263" s="222"/>
      <c r="H263" s="221"/>
      <c r="I263" s="213"/>
      <c r="J263" s="213"/>
      <c r="K263" s="215"/>
      <c r="L263" s="216"/>
      <c r="M263" s="217"/>
      <c r="O263" s="241" t="str">
        <f>IF(Q263 = "", "", COUNT(Q$4:$Q263))</f>
        <v/>
      </c>
      <c r="P263" s="241" t="str">
        <f t="shared" si="36"/>
        <v/>
      </c>
      <c r="Q263" s="242" t="str">
        <f t="shared" si="37"/>
        <v/>
      </c>
      <c r="R263" s="243" t="str">
        <f t="shared" si="40"/>
        <v/>
      </c>
      <c r="S263" s="244" t="str">
        <f t="shared" si="38"/>
        <v/>
      </c>
      <c r="T263" s="245" t="str">
        <f t="shared" si="41"/>
        <v/>
      </c>
      <c r="U263" s="246" t="str">
        <f t="shared" si="39"/>
        <v/>
      </c>
      <c r="V263" s="8"/>
      <c r="AR263" t="str">
        <f t="shared" si="35"/>
        <v/>
      </c>
      <c r="AS263" t="str">
        <f t="shared" si="34"/>
        <v/>
      </c>
    </row>
    <row r="264" spans="1:45" x14ac:dyDescent="0.3">
      <c r="A264" s="231"/>
      <c r="B264" s="235"/>
      <c r="C264" s="214"/>
      <c r="D264" s="214"/>
      <c r="E264" s="214"/>
      <c r="F264" s="214"/>
      <c r="G264" s="222"/>
      <c r="H264" s="221"/>
      <c r="I264" s="213"/>
      <c r="J264" s="213"/>
      <c r="K264" s="215"/>
      <c r="L264" s="216"/>
      <c r="M264" s="217"/>
      <c r="O264" s="241" t="str">
        <f>IF(Q264 = "", "", COUNT(Q$4:$Q264))</f>
        <v/>
      </c>
      <c r="P264" s="241" t="str">
        <f t="shared" si="36"/>
        <v/>
      </c>
      <c r="Q264" s="242" t="str">
        <f t="shared" si="37"/>
        <v/>
      </c>
      <c r="R264" s="243" t="str">
        <f t="shared" si="40"/>
        <v/>
      </c>
      <c r="S264" s="244" t="str">
        <f t="shared" si="38"/>
        <v/>
      </c>
      <c r="T264" s="245" t="str">
        <f t="shared" si="41"/>
        <v/>
      </c>
      <c r="U264" s="246" t="str">
        <f t="shared" si="39"/>
        <v/>
      </c>
      <c r="V264" s="8"/>
      <c r="AR264" t="str">
        <f t="shared" si="35"/>
        <v/>
      </c>
      <c r="AS264" t="str">
        <f t="shared" si="34"/>
        <v/>
      </c>
    </row>
    <row r="265" spans="1:45" x14ac:dyDescent="0.3">
      <c r="A265" s="231"/>
      <c r="B265" s="235"/>
      <c r="C265" s="214"/>
      <c r="D265" s="214"/>
      <c r="E265" s="214"/>
      <c r="F265" s="214"/>
      <c r="G265" s="222"/>
      <c r="H265" s="221"/>
      <c r="I265" s="213"/>
      <c r="J265" s="213"/>
      <c r="K265" s="215"/>
      <c r="L265" s="216"/>
      <c r="M265" s="217"/>
      <c r="O265" s="241" t="str">
        <f>IF(Q265 = "", "", COUNT(Q$4:$Q265))</f>
        <v/>
      </c>
      <c r="P265" s="241" t="str">
        <f t="shared" si="36"/>
        <v/>
      </c>
      <c r="Q265" s="242" t="str">
        <f t="shared" si="37"/>
        <v/>
      </c>
      <c r="R265" s="243" t="str">
        <f t="shared" si="40"/>
        <v/>
      </c>
      <c r="S265" s="244" t="str">
        <f t="shared" si="38"/>
        <v/>
      </c>
      <c r="T265" s="245" t="str">
        <f t="shared" si="41"/>
        <v/>
      </c>
      <c r="U265" s="246" t="str">
        <f t="shared" si="39"/>
        <v/>
      </c>
      <c r="V265" s="8"/>
      <c r="AR265" t="str">
        <f t="shared" si="35"/>
        <v/>
      </c>
      <c r="AS265" t="str">
        <f t="shared" si="34"/>
        <v/>
      </c>
    </row>
    <row r="266" spans="1:45" x14ac:dyDescent="0.3">
      <c r="A266" s="231"/>
      <c r="B266" s="235"/>
      <c r="C266" s="214"/>
      <c r="D266" s="214"/>
      <c r="E266" s="214"/>
      <c r="F266" s="214"/>
      <c r="G266" s="222"/>
      <c r="H266" s="221"/>
      <c r="I266" s="213"/>
      <c r="J266" s="213"/>
      <c r="K266" s="215"/>
      <c r="L266" s="216"/>
      <c r="M266" s="217"/>
      <c r="O266" s="241" t="str">
        <f>IF(Q266 = "", "", COUNT(Q$4:$Q266))</f>
        <v/>
      </c>
      <c r="P266" s="241" t="str">
        <f t="shared" si="36"/>
        <v/>
      </c>
      <c r="Q266" s="242" t="str">
        <f t="shared" si="37"/>
        <v/>
      </c>
      <c r="R266" s="243" t="str">
        <f t="shared" si="40"/>
        <v/>
      </c>
      <c r="S266" s="244" t="str">
        <f t="shared" si="38"/>
        <v/>
      </c>
      <c r="T266" s="245" t="str">
        <f t="shared" si="41"/>
        <v/>
      </c>
      <c r="U266" s="246" t="str">
        <f t="shared" si="39"/>
        <v/>
      </c>
      <c r="V266" s="8"/>
      <c r="AR266" t="str">
        <f t="shared" si="35"/>
        <v/>
      </c>
      <c r="AS266" t="str">
        <f t="shared" si="34"/>
        <v/>
      </c>
    </row>
    <row r="267" spans="1:45" x14ac:dyDescent="0.3">
      <c r="A267" s="231"/>
      <c r="B267" s="235"/>
      <c r="C267" s="214"/>
      <c r="D267" s="214"/>
      <c r="E267" s="214"/>
      <c r="F267" s="214"/>
      <c r="G267" s="222"/>
      <c r="H267" s="221"/>
      <c r="I267" s="213"/>
      <c r="J267" s="213"/>
      <c r="K267" s="215"/>
      <c r="L267" s="216"/>
      <c r="M267" s="217"/>
      <c r="O267" s="241" t="str">
        <f>IF(Q267 = "", "", COUNT(Q$4:$Q267))</f>
        <v/>
      </c>
      <c r="P267" s="241" t="str">
        <f t="shared" si="36"/>
        <v/>
      </c>
      <c r="Q267" s="242" t="str">
        <f t="shared" si="37"/>
        <v/>
      </c>
      <c r="R267" s="243" t="str">
        <f t="shared" si="40"/>
        <v/>
      </c>
      <c r="S267" s="244" t="str">
        <f t="shared" si="38"/>
        <v/>
      </c>
      <c r="T267" s="245" t="str">
        <f t="shared" si="41"/>
        <v/>
      </c>
      <c r="U267" s="246" t="str">
        <f t="shared" si="39"/>
        <v/>
      </c>
      <c r="V267" s="8"/>
      <c r="AR267" t="str">
        <f t="shared" si="35"/>
        <v/>
      </c>
      <c r="AS267" t="str">
        <f t="shared" si="34"/>
        <v/>
      </c>
    </row>
    <row r="268" spans="1:45" x14ac:dyDescent="0.3">
      <c r="A268" s="231"/>
      <c r="B268" s="235"/>
      <c r="C268" s="214"/>
      <c r="D268" s="214"/>
      <c r="E268" s="214"/>
      <c r="F268" s="214"/>
      <c r="G268" s="222"/>
      <c r="H268" s="221"/>
      <c r="I268" s="213"/>
      <c r="J268" s="213"/>
      <c r="K268" s="215"/>
      <c r="L268" s="216"/>
      <c r="M268" s="217"/>
      <c r="O268" s="241" t="str">
        <f>IF(Q268 = "", "", COUNT(Q$4:$Q268))</f>
        <v/>
      </c>
      <c r="P268" s="241" t="str">
        <f t="shared" si="36"/>
        <v/>
      </c>
      <c r="Q268" s="242" t="str">
        <f t="shared" si="37"/>
        <v/>
      </c>
      <c r="R268" s="243" t="str">
        <f t="shared" si="40"/>
        <v/>
      </c>
      <c r="S268" s="244" t="str">
        <f t="shared" si="38"/>
        <v/>
      </c>
      <c r="T268" s="245" t="str">
        <f t="shared" si="41"/>
        <v/>
      </c>
      <c r="U268" s="246" t="str">
        <f t="shared" si="39"/>
        <v/>
      </c>
      <c r="V268" s="8"/>
      <c r="AR268" t="str">
        <f t="shared" si="35"/>
        <v/>
      </c>
      <c r="AS268" t="str">
        <f t="shared" si="34"/>
        <v/>
      </c>
    </row>
    <row r="269" spans="1:45" x14ac:dyDescent="0.3">
      <c r="A269" s="231"/>
      <c r="B269" s="235"/>
      <c r="C269" s="214"/>
      <c r="D269" s="214"/>
      <c r="E269" s="214"/>
      <c r="F269" s="214"/>
      <c r="G269" s="222"/>
      <c r="H269" s="221"/>
      <c r="I269" s="213"/>
      <c r="J269" s="213"/>
      <c r="K269" s="215"/>
      <c r="L269" s="216"/>
      <c r="M269" s="217"/>
      <c r="O269" s="241" t="str">
        <f>IF(Q269 = "", "", COUNT(Q$4:$Q269))</f>
        <v/>
      </c>
      <c r="P269" s="241" t="str">
        <f t="shared" si="36"/>
        <v/>
      </c>
      <c r="Q269" s="242" t="str">
        <f t="shared" si="37"/>
        <v/>
      </c>
      <c r="R269" s="243" t="str">
        <f t="shared" si="40"/>
        <v/>
      </c>
      <c r="S269" s="244" t="str">
        <f t="shared" si="38"/>
        <v/>
      </c>
      <c r="T269" s="245" t="str">
        <f t="shared" si="41"/>
        <v/>
      </c>
      <c r="U269" s="246" t="str">
        <f t="shared" si="39"/>
        <v/>
      </c>
      <c r="V269" s="8"/>
      <c r="AR269" t="str">
        <f t="shared" si="35"/>
        <v/>
      </c>
      <c r="AS269" t="str">
        <f t="shared" si="34"/>
        <v/>
      </c>
    </row>
    <row r="270" spans="1:45" x14ac:dyDescent="0.3">
      <c r="A270" s="231"/>
      <c r="B270" s="235"/>
      <c r="C270" s="214"/>
      <c r="D270" s="214"/>
      <c r="E270" s="214"/>
      <c r="F270" s="214"/>
      <c r="G270" s="222"/>
      <c r="H270" s="221"/>
      <c r="I270" s="213"/>
      <c r="J270" s="213"/>
      <c r="K270" s="215"/>
      <c r="L270" s="216"/>
      <c r="M270" s="217"/>
      <c r="O270" s="241" t="str">
        <f>IF(Q270 = "", "", COUNT(Q$4:$Q270))</f>
        <v/>
      </c>
      <c r="P270" s="241" t="str">
        <f t="shared" si="36"/>
        <v/>
      </c>
      <c r="Q270" s="242" t="str">
        <f t="shared" si="37"/>
        <v/>
      </c>
      <c r="R270" s="243" t="str">
        <f t="shared" si="40"/>
        <v/>
      </c>
      <c r="S270" s="244" t="str">
        <f t="shared" si="38"/>
        <v/>
      </c>
      <c r="T270" s="245" t="str">
        <f t="shared" si="41"/>
        <v/>
      </c>
      <c r="U270" s="246" t="str">
        <f t="shared" si="39"/>
        <v/>
      </c>
      <c r="V270" s="8"/>
      <c r="AR270" t="str">
        <f t="shared" si="35"/>
        <v/>
      </c>
      <c r="AS270" t="str">
        <f t="shared" si="34"/>
        <v/>
      </c>
    </row>
    <row r="271" spans="1:45" x14ac:dyDescent="0.3">
      <c r="A271" s="231"/>
      <c r="B271" s="235"/>
      <c r="C271" s="214"/>
      <c r="D271" s="214"/>
      <c r="E271" s="214"/>
      <c r="F271" s="214"/>
      <c r="G271" s="222"/>
      <c r="H271" s="221"/>
      <c r="I271" s="213"/>
      <c r="J271" s="213"/>
      <c r="K271" s="215"/>
      <c r="L271" s="216"/>
      <c r="M271" s="217"/>
      <c r="O271" s="241" t="str">
        <f>IF(Q271 = "", "", COUNT(Q$4:$Q271))</f>
        <v/>
      </c>
      <c r="P271" s="241" t="str">
        <f t="shared" si="36"/>
        <v/>
      </c>
      <c r="Q271" s="242" t="str">
        <f t="shared" si="37"/>
        <v/>
      </c>
      <c r="R271" s="243" t="str">
        <f t="shared" si="40"/>
        <v/>
      </c>
      <c r="S271" s="244" t="str">
        <f t="shared" si="38"/>
        <v/>
      </c>
      <c r="T271" s="245" t="str">
        <f t="shared" si="41"/>
        <v/>
      </c>
      <c r="U271" s="246" t="str">
        <f t="shared" si="39"/>
        <v/>
      </c>
      <c r="V271" s="8"/>
      <c r="AR271" t="str">
        <f t="shared" si="35"/>
        <v/>
      </c>
      <c r="AS271" t="str">
        <f t="shared" si="34"/>
        <v/>
      </c>
    </row>
    <row r="272" spans="1:45" x14ac:dyDescent="0.3">
      <c r="A272" s="231"/>
      <c r="B272" s="235"/>
      <c r="C272" s="214"/>
      <c r="D272" s="214"/>
      <c r="E272" s="214"/>
      <c r="F272" s="214"/>
      <c r="G272" s="222"/>
      <c r="H272" s="221"/>
      <c r="I272" s="213"/>
      <c r="J272" s="213"/>
      <c r="K272" s="215"/>
      <c r="L272" s="216"/>
      <c r="M272" s="217"/>
      <c r="O272" s="241" t="str">
        <f>IF(Q272 = "", "", COUNT(Q$4:$Q272))</f>
        <v/>
      </c>
      <c r="P272" s="241" t="str">
        <f t="shared" si="36"/>
        <v/>
      </c>
      <c r="Q272" s="242" t="str">
        <f t="shared" si="37"/>
        <v/>
      </c>
      <c r="R272" s="243" t="str">
        <f t="shared" si="40"/>
        <v/>
      </c>
      <c r="S272" s="244" t="str">
        <f t="shared" si="38"/>
        <v/>
      </c>
      <c r="T272" s="245" t="str">
        <f t="shared" si="41"/>
        <v/>
      </c>
      <c r="U272" s="246" t="str">
        <f t="shared" si="39"/>
        <v/>
      </c>
      <c r="V272" s="8"/>
      <c r="AR272" t="str">
        <f t="shared" si="35"/>
        <v/>
      </c>
      <c r="AS272" t="str">
        <f t="shared" si="34"/>
        <v/>
      </c>
    </row>
    <row r="273" spans="1:45" x14ac:dyDescent="0.3">
      <c r="A273" s="231"/>
      <c r="B273" s="235"/>
      <c r="C273" s="214"/>
      <c r="D273" s="214"/>
      <c r="E273" s="214"/>
      <c r="F273" s="214"/>
      <c r="G273" s="222"/>
      <c r="H273" s="221"/>
      <c r="I273" s="213"/>
      <c r="J273" s="213"/>
      <c r="K273" s="215"/>
      <c r="L273" s="216"/>
      <c r="M273" s="217"/>
      <c r="O273" s="241" t="str">
        <f>IF(Q273 = "", "", COUNT(Q$4:$Q273))</f>
        <v/>
      </c>
      <c r="P273" s="241" t="str">
        <f t="shared" si="36"/>
        <v/>
      </c>
      <c r="Q273" s="242" t="str">
        <f t="shared" si="37"/>
        <v/>
      </c>
      <c r="R273" s="243" t="str">
        <f t="shared" si="40"/>
        <v/>
      </c>
      <c r="S273" s="244" t="str">
        <f t="shared" si="38"/>
        <v/>
      </c>
      <c r="T273" s="245" t="str">
        <f t="shared" si="41"/>
        <v/>
      </c>
      <c r="U273" s="246" t="str">
        <f t="shared" si="39"/>
        <v/>
      </c>
      <c r="V273" s="8"/>
      <c r="AR273" t="str">
        <f t="shared" si="35"/>
        <v/>
      </c>
      <c r="AS273" t="str">
        <f t="shared" si="34"/>
        <v/>
      </c>
    </row>
    <row r="274" spans="1:45" x14ac:dyDescent="0.3">
      <c r="A274" s="231"/>
      <c r="B274" s="235"/>
      <c r="C274" s="214"/>
      <c r="D274" s="214"/>
      <c r="E274" s="214"/>
      <c r="F274" s="214"/>
      <c r="G274" s="222"/>
      <c r="H274" s="221"/>
      <c r="I274" s="213"/>
      <c r="J274" s="213"/>
      <c r="K274" s="215"/>
      <c r="L274" s="216"/>
      <c r="M274" s="217"/>
      <c r="O274" s="241" t="str">
        <f>IF(Q274 = "", "", COUNT(Q$4:$Q274))</f>
        <v/>
      </c>
      <c r="P274" s="241" t="str">
        <f t="shared" si="36"/>
        <v/>
      </c>
      <c r="Q274" s="242" t="str">
        <f t="shared" si="37"/>
        <v/>
      </c>
      <c r="R274" s="243" t="str">
        <f t="shared" si="40"/>
        <v/>
      </c>
      <c r="S274" s="244" t="str">
        <f t="shared" si="38"/>
        <v/>
      </c>
      <c r="T274" s="245" t="str">
        <f t="shared" si="41"/>
        <v/>
      </c>
      <c r="U274" s="246" t="str">
        <f t="shared" si="39"/>
        <v/>
      </c>
      <c r="V274" s="8"/>
      <c r="AR274" t="str">
        <f t="shared" si="35"/>
        <v/>
      </c>
      <c r="AS274" t="str">
        <f t="shared" si="34"/>
        <v/>
      </c>
    </row>
    <row r="275" spans="1:45" x14ac:dyDescent="0.3">
      <c r="A275" s="231"/>
      <c r="B275" s="235"/>
      <c r="C275" s="214"/>
      <c r="D275" s="214"/>
      <c r="E275" s="214"/>
      <c r="F275" s="214"/>
      <c r="G275" s="222"/>
      <c r="H275" s="221"/>
      <c r="I275" s="213"/>
      <c r="J275" s="213"/>
      <c r="K275" s="215"/>
      <c r="L275" s="216"/>
      <c r="M275" s="217"/>
      <c r="O275" s="241" t="str">
        <f>IF(Q275 = "", "", COUNT(Q$4:$Q275))</f>
        <v/>
      </c>
      <c r="P275" s="241" t="str">
        <f t="shared" si="36"/>
        <v/>
      </c>
      <c r="Q275" s="242" t="str">
        <f t="shared" si="37"/>
        <v/>
      </c>
      <c r="R275" s="243" t="str">
        <f t="shared" si="40"/>
        <v/>
      </c>
      <c r="S275" s="244" t="str">
        <f t="shared" si="38"/>
        <v/>
      </c>
      <c r="T275" s="245" t="str">
        <f t="shared" si="41"/>
        <v/>
      </c>
      <c r="U275" s="246" t="str">
        <f t="shared" si="39"/>
        <v/>
      </c>
      <c r="V275" s="8"/>
      <c r="AR275" t="str">
        <f t="shared" si="35"/>
        <v/>
      </c>
      <c r="AS275" t="str">
        <f t="shared" si="34"/>
        <v/>
      </c>
    </row>
    <row r="276" spans="1:45" x14ac:dyDescent="0.3">
      <c r="A276" s="231"/>
      <c r="B276" s="235"/>
      <c r="C276" s="214"/>
      <c r="D276" s="214"/>
      <c r="E276" s="214"/>
      <c r="F276" s="214"/>
      <c r="G276" s="222"/>
      <c r="H276" s="221"/>
      <c r="I276" s="213"/>
      <c r="J276" s="213"/>
      <c r="K276" s="215"/>
      <c r="L276" s="216"/>
      <c r="M276" s="217"/>
      <c r="O276" s="241" t="str">
        <f>IF(Q276 = "", "", COUNT(Q$4:$Q276))</f>
        <v/>
      </c>
      <c r="P276" s="241" t="str">
        <f t="shared" si="36"/>
        <v/>
      </c>
      <c r="Q276" s="242" t="str">
        <f t="shared" si="37"/>
        <v/>
      </c>
      <c r="R276" s="243" t="str">
        <f t="shared" si="40"/>
        <v/>
      </c>
      <c r="S276" s="244" t="str">
        <f t="shared" si="38"/>
        <v/>
      </c>
      <c r="T276" s="245" t="str">
        <f t="shared" si="41"/>
        <v/>
      </c>
      <c r="U276" s="246" t="str">
        <f t="shared" si="39"/>
        <v/>
      </c>
      <c r="V276" s="8"/>
      <c r="AR276" t="str">
        <f t="shared" si="35"/>
        <v/>
      </c>
      <c r="AS276" t="str">
        <f t="shared" si="34"/>
        <v/>
      </c>
    </row>
    <row r="277" spans="1:45" x14ac:dyDescent="0.3">
      <c r="A277" s="231"/>
      <c r="B277" s="235"/>
      <c r="C277" s="214"/>
      <c r="D277" s="214"/>
      <c r="E277" s="214"/>
      <c r="F277" s="214"/>
      <c r="G277" s="222"/>
      <c r="H277" s="221"/>
      <c r="I277" s="213"/>
      <c r="J277" s="213"/>
      <c r="K277" s="215"/>
      <c r="L277" s="216"/>
      <c r="M277" s="217"/>
      <c r="O277" s="241" t="str">
        <f>IF(Q277 = "", "", COUNT(Q$4:$Q277))</f>
        <v/>
      </c>
      <c r="P277" s="241" t="str">
        <f t="shared" si="36"/>
        <v/>
      </c>
      <c r="Q277" s="242" t="str">
        <f t="shared" si="37"/>
        <v/>
      </c>
      <c r="R277" s="243" t="str">
        <f t="shared" si="40"/>
        <v/>
      </c>
      <c r="S277" s="244" t="str">
        <f t="shared" si="38"/>
        <v/>
      </c>
      <c r="T277" s="245" t="str">
        <f t="shared" si="41"/>
        <v/>
      </c>
      <c r="U277" s="246" t="str">
        <f t="shared" si="39"/>
        <v/>
      </c>
      <c r="V277" s="8"/>
      <c r="AR277" t="str">
        <f t="shared" si="35"/>
        <v/>
      </c>
      <c r="AS277" t="str">
        <f t="shared" ref="AS277:AS340" si="42">IF(OR(L277="Y",M277="Y"),"Y","")</f>
        <v/>
      </c>
    </row>
    <row r="278" spans="1:45" x14ac:dyDescent="0.3">
      <c r="A278" s="231"/>
      <c r="B278" s="235"/>
      <c r="C278" s="214"/>
      <c r="D278" s="214"/>
      <c r="E278" s="214"/>
      <c r="F278" s="214"/>
      <c r="G278" s="222"/>
      <c r="H278" s="221"/>
      <c r="I278" s="213"/>
      <c r="J278" s="213"/>
      <c r="K278" s="215"/>
      <c r="L278" s="216"/>
      <c r="M278" s="217"/>
      <c r="O278" s="241" t="str">
        <f>IF(Q278 = "", "", COUNT(Q$4:$Q278))</f>
        <v/>
      </c>
      <c r="P278" s="241" t="str">
        <f t="shared" si="36"/>
        <v/>
      </c>
      <c r="Q278" s="242" t="str">
        <f t="shared" si="37"/>
        <v/>
      </c>
      <c r="R278" s="243" t="str">
        <f t="shared" si="40"/>
        <v/>
      </c>
      <c r="S278" s="244" t="str">
        <f t="shared" si="38"/>
        <v/>
      </c>
      <c r="T278" s="245" t="str">
        <f t="shared" si="41"/>
        <v/>
      </c>
      <c r="U278" s="246" t="str">
        <f t="shared" si="39"/>
        <v/>
      </c>
      <c r="V278" s="8"/>
      <c r="AR278" t="str">
        <f t="shared" ref="AR278:AR341" si="43">IF(O278&gt;0, O278, "")</f>
        <v/>
      </c>
      <c r="AS278" t="str">
        <f t="shared" si="42"/>
        <v/>
      </c>
    </row>
    <row r="279" spans="1:45" x14ac:dyDescent="0.3">
      <c r="A279" s="231"/>
      <c r="B279" s="235"/>
      <c r="C279" s="214"/>
      <c r="D279" s="214"/>
      <c r="E279" s="214"/>
      <c r="F279" s="214"/>
      <c r="G279" s="222"/>
      <c r="H279" s="221"/>
      <c r="I279" s="213"/>
      <c r="J279" s="213"/>
      <c r="K279" s="215"/>
      <c r="L279" s="216"/>
      <c r="M279" s="217"/>
      <c r="O279" s="241" t="str">
        <f>IF(Q279 = "", "", COUNT(Q$4:$Q279))</f>
        <v/>
      </c>
      <c r="P279" s="241" t="str">
        <f t="shared" si="36"/>
        <v/>
      </c>
      <c r="Q279" s="242" t="str">
        <f t="shared" si="37"/>
        <v/>
      </c>
      <c r="R279" s="243" t="str">
        <f t="shared" si="40"/>
        <v/>
      </c>
      <c r="S279" s="244" t="str">
        <f t="shared" si="38"/>
        <v/>
      </c>
      <c r="T279" s="245" t="str">
        <f t="shared" si="41"/>
        <v/>
      </c>
      <c r="U279" s="246" t="str">
        <f t="shared" si="39"/>
        <v/>
      </c>
      <c r="V279" s="8"/>
      <c r="AR279" t="str">
        <f t="shared" si="43"/>
        <v/>
      </c>
      <c r="AS279" t="str">
        <f t="shared" si="42"/>
        <v/>
      </c>
    </row>
    <row r="280" spans="1:45" x14ac:dyDescent="0.3">
      <c r="A280" s="231"/>
      <c r="B280" s="235"/>
      <c r="C280" s="214"/>
      <c r="D280" s="214"/>
      <c r="E280" s="214"/>
      <c r="F280" s="214"/>
      <c r="G280" s="222"/>
      <c r="H280" s="221"/>
      <c r="I280" s="213"/>
      <c r="J280" s="213"/>
      <c r="K280" s="215"/>
      <c r="L280" s="216"/>
      <c r="M280" s="217"/>
      <c r="O280" s="241" t="str">
        <f>IF(Q280 = "", "", COUNT(Q$4:$Q280))</f>
        <v/>
      </c>
      <c r="P280" s="241" t="str">
        <f t="shared" si="36"/>
        <v/>
      </c>
      <c r="Q280" s="242" t="str">
        <f t="shared" si="37"/>
        <v/>
      </c>
      <c r="R280" s="243" t="str">
        <f t="shared" si="40"/>
        <v/>
      </c>
      <c r="S280" s="244" t="str">
        <f t="shared" si="38"/>
        <v/>
      </c>
      <c r="T280" s="245" t="str">
        <f t="shared" si="41"/>
        <v/>
      </c>
      <c r="U280" s="246" t="str">
        <f t="shared" si="39"/>
        <v/>
      </c>
      <c r="V280" s="8"/>
      <c r="AR280" t="str">
        <f t="shared" si="43"/>
        <v/>
      </c>
      <c r="AS280" t="str">
        <f t="shared" si="42"/>
        <v/>
      </c>
    </row>
    <row r="281" spans="1:45" x14ac:dyDescent="0.3">
      <c r="A281" s="231"/>
      <c r="B281" s="235"/>
      <c r="C281" s="214"/>
      <c r="D281" s="214"/>
      <c r="E281" s="214"/>
      <c r="F281" s="214"/>
      <c r="G281" s="222"/>
      <c r="H281" s="221"/>
      <c r="I281" s="213"/>
      <c r="J281" s="213"/>
      <c r="K281" s="215"/>
      <c r="L281" s="216"/>
      <c r="M281" s="217"/>
      <c r="O281" s="241" t="str">
        <f>IF(Q281 = "", "", COUNT(Q$4:$Q281))</f>
        <v/>
      </c>
      <c r="P281" s="241" t="str">
        <f t="shared" si="36"/>
        <v/>
      </c>
      <c r="Q281" s="242" t="str">
        <f t="shared" si="37"/>
        <v/>
      </c>
      <c r="R281" s="243" t="str">
        <f t="shared" si="40"/>
        <v/>
      </c>
      <c r="S281" s="244" t="str">
        <f t="shared" si="38"/>
        <v/>
      </c>
      <c r="T281" s="245" t="str">
        <f t="shared" si="41"/>
        <v/>
      </c>
      <c r="U281" s="246" t="str">
        <f t="shared" si="39"/>
        <v/>
      </c>
      <c r="V281" s="8"/>
      <c r="AR281" t="str">
        <f t="shared" si="43"/>
        <v/>
      </c>
      <c r="AS281" t="str">
        <f t="shared" si="42"/>
        <v/>
      </c>
    </row>
    <row r="282" spans="1:45" x14ac:dyDescent="0.3">
      <c r="A282" s="231"/>
      <c r="B282" s="235"/>
      <c r="C282" s="214"/>
      <c r="D282" s="214"/>
      <c r="E282" s="214"/>
      <c r="F282" s="214"/>
      <c r="G282" s="222"/>
      <c r="H282" s="221"/>
      <c r="I282" s="213"/>
      <c r="J282" s="213"/>
      <c r="K282" s="215"/>
      <c r="L282" s="216"/>
      <c r="M282" s="217"/>
      <c r="O282" s="241" t="str">
        <f>IF(Q282 = "", "", COUNT(Q$4:$Q282))</f>
        <v/>
      </c>
      <c r="P282" s="241" t="str">
        <f t="shared" si="36"/>
        <v/>
      </c>
      <c r="Q282" s="242" t="str">
        <f t="shared" si="37"/>
        <v/>
      </c>
      <c r="R282" s="243" t="str">
        <f t="shared" si="40"/>
        <v/>
      </c>
      <c r="S282" s="244" t="str">
        <f t="shared" si="38"/>
        <v/>
      </c>
      <c r="T282" s="245" t="str">
        <f t="shared" si="41"/>
        <v/>
      </c>
      <c r="U282" s="246" t="str">
        <f t="shared" si="39"/>
        <v/>
      </c>
      <c r="V282" s="8"/>
      <c r="AR282" t="str">
        <f t="shared" si="43"/>
        <v/>
      </c>
      <c r="AS282" t="str">
        <f t="shared" si="42"/>
        <v/>
      </c>
    </row>
    <row r="283" spans="1:45" x14ac:dyDescent="0.3">
      <c r="A283" s="231"/>
      <c r="B283" s="235"/>
      <c r="C283" s="214"/>
      <c r="D283" s="214"/>
      <c r="E283" s="214"/>
      <c r="F283" s="214"/>
      <c r="G283" s="222"/>
      <c r="H283" s="221"/>
      <c r="I283" s="213"/>
      <c r="J283" s="213"/>
      <c r="K283" s="215"/>
      <c r="L283" s="216"/>
      <c r="M283" s="217"/>
      <c r="O283" s="241" t="str">
        <f>IF(Q283 = "", "", COUNT(Q$4:$Q283))</f>
        <v/>
      </c>
      <c r="P283" s="241" t="str">
        <f t="shared" si="36"/>
        <v/>
      </c>
      <c r="Q283" s="242" t="str">
        <f t="shared" si="37"/>
        <v/>
      </c>
      <c r="R283" s="243" t="str">
        <f t="shared" si="40"/>
        <v/>
      </c>
      <c r="S283" s="244" t="str">
        <f t="shared" si="38"/>
        <v/>
      </c>
      <c r="T283" s="245" t="str">
        <f t="shared" si="41"/>
        <v/>
      </c>
      <c r="U283" s="246" t="str">
        <f t="shared" si="39"/>
        <v/>
      </c>
      <c r="V283" s="8"/>
      <c r="AR283" t="str">
        <f t="shared" si="43"/>
        <v/>
      </c>
      <c r="AS283" t="str">
        <f t="shared" si="42"/>
        <v/>
      </c>
    </row>
    <row r="284" spans="1:45" x14ac:dyDescent="0.3">
      <c r="A284" s="231"/>
      <c r="B284" s="235"/>
      <c r="C284" s="214"/>
      <c r="D284" s="214"/>
      <c r="E284" s="214"/>
      <c r="F284" s="214"/>
      <c r="G284" s="222"/>
      <c r="H284" s="221"/>
      <c r="I284" s="213"/>
      <c r="J284" s="213"/>
      <c r="K284" s="215"/>
      <c r="L284" s="216"/>
      <c r="M284" s="217"/>
      <c r="O284" s="241" t="str">
        <f>IF(Q284 = "", "", COUNT(Q$4:$Q284))</f>
        <v/>
      </c>
      <c r="P284" s="241" t="str">
        <f t="shared" si="36"/>
        <v/>
      </c>
      <c r="Q284" s="242" t="str">
        <f t="shared" si="37"/>
        <v/>
      </c>
      <c r="R284" s="243" t="str">
        <f t="shared" si="40"/>
        <v/>
      </c>
      <c r="S284" s="244" t="str">
        <f t="shared" si="38"/>
        <v/>
      </c>
      <c r="T284" s="245" t="str">
        <f t="shared" si="41"/>
        <v/>
      </c>
      <c r="U284" s="246" t="str">
        <f t="shared" si="39"/>
        <v/>
      </c>
      <c r="V284" s="8"/>
      <c r="AR284" t="str">
        <f t="shared" si="43"/>
        <v/>
      </c>
      <c r="AS284" t="str">
        <f t="shared" si="42"/>
        <v/>
      </c>
    </row>
    <row r="285" spans="1:45" x14ac:dyDescent="0.3">
      <c r="A285" s="231"/>
      <c r="B285" s="235"/>
      <c r="C285" s="214"/>
      <c r="D285" s="214"/>
      <c r="E285" s="214"/>
      <c r="F285" s="214"/>
      <c r="G285" s="222"/>
      <c r="H285" s="221"/>
      <c r="I285" s="213"/>
      <c r="J285" s="213"/>
      <c r="K285" s="215"/>
      <c r="L285" s="216"/>
      <c r="M285" s="217"/>
      <c r="O285" s="241" t="str">
        <f>IF(Q285 = "", "", COUNT(Q$4:$Q285))</f>
        <v/>
      </c>
      <c r="P285" s="241" t="str">
        <f t="shared" si="36"/>
        <v/>
      </c>
      <c r="Q285" s="242" t="str">
        <f t="shared" si="37"/>
        <v/>
      </c>
      <c r="R285" s="243" t="str">
        <f t="shared" si="40"/>
        <v/>
      </c>
      <c r="S285" s="244" t="str">
        <f t="shared" si="38"/>
        <v/>
      </c>
      <c r="T285" s="245" t="str">
        <f t="shared" si="41"/>
        <v/>
      </c>
      <c r="U285" s="246" t="str">
        <f t="shared" si="39"/>
        <v/>
      </c>
      <c r="V285" s="8"/>
      <c r="AR285" t="str">
        <f t="shared" si="43"/>
        <v/>
      </c>
      <c r="AS285" t="str">
        <f t="shared" si="42"/>
        <v/>
      </c>
    </row>
    <row r="286" spans="1:45" x14ac:dyDescent="0.3">
      <c r="A286" s="231"/>
      <c r="B286" s="235"/>
      <c r="C286" s="214"/>
      <c r="D286" s="214"/>
      <c r="E286" s="214"/>
      <c r="F286" s="214"/>
      <c r="G286" s="222"/>
      <c r="H286" s="221"/>
      <c r="I286" s="213"/>
      <c r="J286" s="213"/>
      <c r="K286" s="215"/>
      <c r="L286" s="216"/>
      <c r="M286" s="217"/>
      <c r="O286" s="241" t="str">
        <f>IF(Q286 = "", "", COUNT(Q$4:$Q286))</f>
        <v/>
      </c>
      <c r="P286" s="241" t="str">
        <f t="shared" si="36"/>
        <v/>
      </c>
      <c r="Q286" s="242" t="str">
        <f t="shared" si="37"/>
        <v/>
      </c>
      <c r="R286" s="243" t="str">
        <f t="shared" si="40"/>
        <v/>
      </c>
      <c r="S286" s="244" t="str">
        <f t="shared" si="38"/>
        <v/>
      </c>
      <c r="T286" s="245" t="str">
        <f t="shared" si="41"/>
        <v/>
      </c>
      <c r="U286" s="246" t="str">
        <f t="shared" si="39"/>
        <v/>
      </c>
      <c r="V286" s="8"/>
      <c r="AR286" t="str">
        <f t="shared" si="43"/>
        <v/>
      </c>
      <c r="AS286" t="str">
        <f t="shared" si="42"/>
        <v/>
      </c>
    </row>
    <row r="287" spans="1:45" x14ac:dyDescent="0.3">
      <c r="A287" s="231"/>
      <c r="B287" s="235"/>
      <c r="C287" s="214"/>
      <c r="D287" s="214"/>
      <c r="E287" s="214"/>
      <c r="F287" s="214"/>
      <c r="G287" s="222"/>
      <c r="H287" s="221"/>
      <c r="I287" s="213"/>
      <c r="J287" s="213"/>
      <c r="K287" s="215"/>
      <c r="L287" s="216"/>
      <c r="M287" s="217"/>
      <c r="O287" s="241" t="str">
        <f>IF(Q287 = "", "", COUNT(Q$4:$Q287))</f>
        <v/>
      </c>
      <c r="P287" s="241" t="str">
        <f t="shared" si="36"/>
        <v/>
      </c>
      <c r="Q287" s="242" t="str">
        <f t="shared" si="37"/>
        <v/>
      </c>
      <c r="R287" s="243" t="str">
        <f t="shared" si="40"/>
        <v/>
      </c>
      <c r="S287" s="244" t="str">
        <f t="shared" si="38"/>
        <v/>
      </c>
      <c r="T287" s="245" t="str">
        <f t="shared" si="41"/>
        <v/>
      </c>
      <c r="U287" s="246" t="str">
        <f t="shared" si="39"/>
        <v/>
      </c>
      <c r="V287" s="8"/>
      <c r="AR287" t="str">
        <f t="shared" si="43"/>
        <v/>
      </c>
      <c r="AS287" t="str">
        <f t="shared" si="42"/>
        <v/>
      </c>
    </row>
    <row r="288" spans="1:45" x14ac:dyDescent="0.3">
      <c r="A288" s="231"/>
      <c r="B288" s="235"/>
      <c r="C288" s="214"/>
      <c r="D288" s="214"/>
      <c r="E288" s="214"/>
      <c r="F288" s="214"/>
      <c r="G288" s="222"/>
      <c r="H288" s="221"/>
      <c r="I288" s="213"/>
      <c r="J288" s="213"/>
      <c r="K288" s="215"/>
      <c r="L288" s="216"/>
      <c r="M288" s="217"/>
      <c r="O288" s="241" t="str">
        <f>IF(Q288 = "", "", COUNT(Q$4:$Q288))</f>
        <v/>
      </c>
      <c r="P288" s="241" t="str">
        <f t="shared" si="36"/>
        <v/>
      </c>
      <c r="Q288" s="242" t="str">
        <f t="shared" si="37"/>
        <v/>
      </c>
      <c r="R288" s="243" t="str">
        <f t="shared" si="40"/>
        <v/>
      </c>
      <c r="S288" s="244" t="str">
        <f t="shared" si="38"/>
        <v/>
      </c>
      <c r="T288" s="245" t="str">
        <f t="shared" si="41"/>
        <v/>
      </c>
      <c r="U288" s="246" t="str">
        <f t="shared" si="39"/>
        <v/>
      </c>
      <c r="V288" s="8"/>
      <c r="AR288" t="str">
        <f t="shared" si="43"/>
        <v/>
      </c>
      <c r="AS288" t="str">
        <f t="shared" si="42"/>
        <v/>
      </c>
    </row>
    <row r="289" spans="1:45" x14ac:dyDescent="0.3">
      <c r="A289" s="231"/>
      <c r="B289" s="235"/>
      <c r="C289" s="214"/>
      <c r="D289" s="214"/>
      <c r="E289" s="214"/>
      <c r="F289" s="214"/>
      <c r="G289" s="222"/>
      <c r="H289" s="221"/>
      <c r="I289" s="213"/>
      <c r="J289" s="213"/>
      <c r="K289" s="215"/>
      <c r="L289" s="216"/>
      <c r="M289" s="217"/>
      <c r="O289" s="241" t="str">
        <f>IF(Q289 = "", "", COUNT(Q$4:$Q289))</f>
        <v/>
      </c>
      <c r="P289" s="241" t="str">
        <f t="shared" si="36"/>
        <v/>
      </c>
      <c r="Q289" s="242" t="str">
        <f t="shared" si="37"/>
        <v/>
      </c>
      <c r="R289" s="243" t="str">
        <f t="shared" si="40"/>
        <v/>
      </c>
      <c r="S289" s="244" t="str">
        <f t="shared" si="38"/>
        <v/>
      </c>
      <c r="T289" s="245" t="str">
        <f t="shared" si="41"/>
        <v/>
      </c>
      <c r="U289" s="246" t="str">
        <f t="shared" si="39"/>
        <v/>
      </c>
      <c r="V289" s="8"/>
      <c r="AR289" t="str">
        <f t="shared" si="43"/>
        <v/>
      </c>
      <c r="AS289" t="str">
        <f t="shared" si="42"/>
        <v/>
      </c>
    </row>
    <row r="290" spans="1:45" x14ac:dyDescent="0.3">
      <c r="A290" s="231"/>
      <c r="B290" s="235"/>
      <c r="C290" s="214"/>
      <c r="D290" s="214"/>
      <c r="E290" s="214"/>
      <c r="F290" s="214"/>
      <c r="G290" s="222"/>
      <c r="H290" s="221"/>
      <c r="I290" s="213"/>
      <c r="J290" s="213"/>
      <c r="K290" s="215"/>
      <c r="L290" s="216"/>
      <c r="M290" s="217"/>
      <c r="O290" s="241" t="str">
        <f>IF(Q290 = "", "", COUNT(Q$4:$Q290))</f>
        <v/>
      </c>
      <c r="P290" s="241" t="str">
        <f t="shared" si="36"/>
        <v/>
      </c>
      <c r="Q290" s="242" t="str">
        <f t="shared" si="37"/>
        <v/>
      </c>
      <c r="R290" s="243" t="str">
        <f t="shared" si="40"/>
        <v/>
      </c>
      <c r="S290" s="244" t="str">
        <f t="shared" si="38"/>
        <v/>
      </c>
      <c r="T290" s="245" t="str">
        <f t="shared" si="41"/>
        <v/>
      </c>
      <c r="U290" s="246" t="str">
        <f t="shared" si="39"/>
        <v/>
      </c>
      <c r="V290" s="8"/>
      <c r="AR290" t="str">
        <f t="shared" si="43"/>
        <v/>
      </c>
      <c r="AS290" t="str">
        <f t="shared" si="42"/>
        <v/>
      </c>
    </row>
    <row r="291" spans="1:45" x14ac:dyDescent="0.3">
      <c r="A291" s="231"/>
      <c r="B291" s="235"/>
      <c r="C291" s="214"/>
      <c r="D291" s="214"/>
      <c r="E291" s="214"/>
      <c r="F291" s="214"/>
      <c r="G291" s="222"/>
      <c r="H291" s="221"/>
      <c r="I291" s="213"/>
      <c r="J291" s="213"/>
      <c r="K291" s="215"/>
      <c r="L291" s="216"/>
      <c r="M291" s="217"/>
      <c r="O291" s="241" t="str">
        <f>IF(Q291 = "", "", COUNT(Q$4:$Q291))</f>
        <v/>
      </c>
      <c r="P291" s="241" t="str">
        <f t="shared" si="36"/>
        <v/>
      </c>
      <c r="Q291" s="242" t="str">
        <f t="shared" si="37"/>
        <v/>
      </c>
      <c r="R291" s="243" t="str">
        <f t="shared" si="40"/>
        <v/>
      </c>
      <c r="S291" s="244" t="str">
        <f t="shared" si="38"/>
        <v/>
      </c>
      <c r="T291" s="245" t="str">
        <f t="shared" si="41"/>
        <v/>
      </c>
      <c r="U291" s="246" t="str">
        <f t="shared" si="39"/>
        <v/>
      </c>
      <c r="V291" s="8"/>
      <c r="AR291" t="str">
        <f t="shared" si="43"/>
        <v/>
      </c>
      <c r="AS291" t="str">
        <f t="shared" si="42"/>
        <v/>
      </c>
    </row>
    <row r="292" spans="1:45" x14ac:dyDescent="0.3">
      <c r="A292" s="231"/>
      <c r="B292" s="235"/>
      <c r="C292" s="214"/>
      <c r="D292" s="214"/>
      <c r="E292" s="214"/>
      <c r="F292" s="214"/>
      <c r="G292" s="222"/>
      <c r="H292" s="221"/>
      <c r="I292" s="213"/>
      <c r="J292" s="213"/>
      <c r="K292" s="215"/>
      <c r="L292" s="216"/>
      <c r="M292" s="217"/>
      <c r="O292" s="241" t="str">
        <f>IF(Q292 = "", "", COUNT(Q$4:$Q292))</f>
        <v/>
      </c>
      <c r="P292" s="241" t="str">
        <f t="shared" si="36"/>
        <v/>
      </c>
      <c r="Q292" s="242" t="str">
        <f t="shared" si="37"/>
        <v/>
      </c>
      <c r="R292" s="243" t="str">
        <f t="shared" si="40"/>
        <v/>
      </c>
      <c r="S292" s="244" t="str">
        <f t="shared" si="38"/>
        <v/>
      </c>
      <c r="T292" s="245" t="str">
        <f t="shared" si="41"/>
        <v/>
      </c>
      <c r="U292" s="246" t="str">
        <f t="shared" si="39"/>
        <v/>
      </c>
      <c r="V292" s="8"/>
      <c r="AR292" t="str">
        <f t="shared" si="43"/>
        <v/>
      </c>
      <c r="AS292" t="str">
        <f t="shared" si="42"/>
        <v/>
      </c>
    </row>
    <row r="293" spans="1:45" x14ac:dyDescent="0.3">
      <c r="A293" s="231"/>
      <c r="B293" s="235"/>
      <c r="C293" s="214"/>
      <c r="D293" s="214"/>
      <c r="E293" s="214"/>
      <c r="F293" s="214"/>
      <c r="G293" s="222"/>
      <c r="H293" s="221"/>
      <c r="I293" s="213"/>
      <c r="J293" s="213"/>
      <c r="K293" s="215"/>
      <c r="L293" s="216"/>
      <c r="M293" s="217"/>
      <c r="O293" s="241" t="str">
        <f>IF(Q293 = "", "", COUNT(Q$4:$Q293))</f>
        <v/>
      </c>
      <c r="P293" s="241" t="str">
        <f t="shared" si="36"/>
        <v/>
      </c>
      <c r="Q293" s="242" t="str">
        <f t="shared" si="37"/>
        <v/>
      </c>
      <c r="R293" s="243" t="str">
        <f t="shared" si="40"/>
        <v/>
      </c>
      <c r="S293" s="244" t="str">
        <f t="shared" si="38"/>
        <v/>
      </c>
      <c r="T293" s="245" t="str">
        <f t="shared" si="41"/>
        <v/>
      </c>
      <c r="U293" s="246" t="str">
        <f t="shared" si="39"/>
        <v/>
      </c>
      <c r="V293" s="8"/>
      <c r="AR293" t="str">
        <f t="shared" si="43"/>
        <v/>
      </c>
      <c r="AS293" t="str">
        <f t="shared" si="42"/>
        <v/>
      </c>
    </row>
    <row r="294" spans="1:45" x14ac:dyDescent="0.3">
      <c r="A294" s="231"/>
      <c r="B294" s="235"/>
      <c r="C294" s="214"/>
      <c r="D294" s="214"/>
      <c r="E294" s="214"/>
      <c r="F294" s="214"/>
      <c r="G294" s="222"/>
      <c r="H294" s="221"/>
      <c r="I294" s="213"/>
      <c r="J294" s="213"/>
      <c r="K294" s="215"/>
      <c r="L294" s="216"/>
      <c r="M294" s="217"/>
      <c r="O294" s="241" t="str">
        <f>IF(Q294 = "", "", COUNT(Q$4:$Q294))</f>
        <v/>
      </c>
      <c r="P294" s="241" t="str">
        <f t="shared" si="36"/>
        <v/>
      </c>
      <c r="Q294" s="242" t="str">
        <f t="shared" si="37"/>
        <v/>
      </c>
      <c r="R294" s="243" t="str">
        <f t="shared" si="40"/>
        <v/>
      </c>
      <c r="S294" s="244" t="str">
        <f t="shared" si="38"/>
        <v/>
      </c>
      <c r="T294" s="245" t="str">
        <f t="shared" si="41"/>
        <v/>
      </c>
      <c r="U294" s="246" t="str">
        <f t="shared" si="39"/>
        <v/>
      </c>
      <c r="V294" s="8"/>
      <c r="AR294" t="str">
        <f t="shared" si="43"/>
        <v/>
      </c>
      <c r="AS294" t="str">
        <f t="shared" si="42"/>
        <v/>
      </c>
    </row>
    <row r="295" spans="1:45" x14ac:dyDescent="0.3">
      <c r="A295" s="231"/>
      <c r="B295" s="235"/>
      <c r="C295" s="214"/>
      <c r="D295" s="214"/>
      <c r="E295" s="214"/>
      <c r="F295" s="214"/>
      <c r="G295" s="222"/>
      <c r="H295" s="221"/>
      <c r="I295" s="213"/>
      <c r="J295" s="213"/>
      <c r="K295" s="215"/>
      <c r="L295" s="216"/>
      <c r="M295" s="217"/>
      <c r="O295" s="241" t="str">
        <f>IF(Q295 = "", "", COUNT(Q$4:$Q295))</f>
        <v/>
      </c>
      <c r="P295" s="241" t="str">
        <f t="shared" si="36"/>
        <v/>
      </c>
      <c r="Q295" s="242" t="str">
        <f t="shared" si="37"/>
        <v/>
      </c>
      <c r="R295" s="243" t="str">
        <f t="shared" si="40"/>
        <v/>
      </c>
      <c r="S295" s="244" t="str">
        <f t="shared" si="38"/>
        <v/>
      </c>
      <c r="T295" s="245" t="str">
        <f t="shared" si="41"/>
        <v/>
      </c>
      <c r="U295" s="246" t="str">
        <f t="shared" si="39"/>
        <v/>
      </c>
      <c r="V295" s="8"/>
      <c r="AR295" t="str">
        <f t="shared" si="43"/>
        <v/>
      </c>
      <c r="AS295" t="str">
        <f t="shared" si="42"/>
        <v/>
      </c>
    </row>
    <row r="296" spans="1:45" x14ac:dyDescent="0.3">
      <c r="A296" s="231"/>
      <c r="B296" s="235"/>
      <c r="C296" s="214"/>
      <c r="D296" s="214"/>
      <c r="E296" s="214"/>
      <c r="F296" s="214"/>
      <c r="G296" s="222"/>
      <c r="H296" s="221"/>
      <c r="I296" s="213"/>
      <c r="J296" s="213"/>
      <c r="K296" s="215"/>
      <c r="L296" s="216"/>
      <c r="M296" s="217"/>
      <c r="O296" s="241" t="str">
        <f>IF(Q296 = "", "", COUNT(Q$4:$Q296))</f>
        <v/>
      </c>
      <c r="P296" s="241" t="str">
        <f t="shared" si="36"/>
        <v/>
      </c>
      <c r="Q296" s="242" t="str">
        <f t="shared" si="37"/>
        <v/>
      </c>
      <c r="R296" s="243" t="str">
        <f t="shared" si="40"/>
        <v/>
      </c>
      <c r="S296" s="244" t="str">
        <f t="shared" si="38"/>
        <v/>
      </c>
      <c r="T296" s="245" t="str">
        <f t="shared" si="41"/>
        <v/>
      </c>
      <c r="U296" s="246" t="str">
        <f t="shared" si="39"/>
        <v/>
      </c>
      <c r="V296" s="8"/>
      <c r="AR296" t="str">
        <f t="shared" si="43"/>
        <v/>
      </c>
      <c r="AS296" t="str">
        <f t="shared" si="42"/>
        <v/>
      </c>
    </row>
    <row r="297" spans="1:45" x14ac:dyDescent="0.3">
      <c r="A297" s="231"/>
      <c r="B297" s="235"/>
      <c r="C297" s="214"/>
      <c r="D297" s="214"/>
      <c r="E297" s="214"/>
      <c r="F297" s="214"/>
      <c r="G297" s="222"/>
      <c r="H297" s="221"/>
      <c r="I297" s="213"/>
      <c r="J297" s="213"/>
      <c r="K297" s="215"/>
      <c r="L297" s="216"/>
      <c r="M297" s="217"/>
      <c r="O297" s="241" t="str">
        <f>IF(Q297 = "", "", COUNT(Q$4:$Q297))</f>
        <v/>
      </c>
      <c r="P297" s="241" t="str">
        <f t="shared" si="36"/>
        <v/>
      </c>
      <c r="Q297" s="242" t="str">
        <f t="shared" si="37"/>
        <v/>
      </c>
      <c r="R297" s="243" t="str">
        <f t="shared" si="40"/>
        <v/>
      </c>
      <c r="S297" s="244" t="str">
        <f t="shared" si="38"/>
        <v/>
      </c>
      <c r="T297" s="245" t="str">
        <f t="shared" si="41"/>
        <v/>
      </c>
      <c r="U297" s="246" t="str">
        <f t="shared" si="39"/>
        <v/>
      </c>
      <c r="V297" s="8"/>
      <c r="AR297" t="str">
        <f t="shared" si="43"/>
        <v/>
      </c>
      <c r="AS297" t="str">
        <f t="shared" si="42"/>
        <v/>
      </c>
    </row>
    <row r="298" spans="1:45" x14ac:dyDescent="0.3">
      <c r="A298" s="231"/>
      <c r="B298" s="235"/>
      <c r="C298" s="214"/>
      <c r="D298" s="214"/>
      <c r="E298" s="214"/>
      <c r="F298" s="214"/>
      <c r="G298" s="222"/>
      <c r="H298" s="221"/>
      <c r="I298" s="213"/>
      <c r="J298" s="213"/>
      <c r="K298" s="215"/>
      <c r="L298" s="216"/>
      <c r="M298" s="217"/>
      <c r="O298" s="241" t="str">
        <f>IF(Q298 = "", "", COUNT(Q$4:$Q298))</f>
        <v/>
      </c>
      <c r="P298" s="241" t="str">
        <f t="shared" si="36"/>
        <v/>
      </c>
      <c r="Q298" s="242" t="str">
        <f t="shared" si="37"/>
        <v/>
      </c>
      <c r="R298" s="243" t="str">
        <f t="shared" si="40"/>
        <v/>
      </c>
      <c r="S298" s="244" t="str">
        <f t="shared" si="38"/>
        <v/>
      </c>
      <c r="T298" s="245" t="str">
        <f t="shared" si="41"/>
        <v/>
      </c>
      <c r="U298" s="246" t="str">
        <f t="shared" si="39"/>
        <v/>
      </c>
      <c r="V298" s="8"/>
      <c r="AR298" t="str">
        <f t="shared" si="43"/>
        <v/>
      </c>
      <c r="AS298" t="str">
        <f t="shared" si="42"/>
        <v/>
      </c>
    </row>
    <row r="299" spans="1:45" x14ac:dyDescent="0.3">
      <c r="A299" s="231"/>
      <c r="B299" s="235"/>
      <c r="C299" s="214"/>
      <c r="D299" s="214"/>
      <c r="E299" s="214"/>
      <c r="F299" s="214"/>
      <c r="G299" s="222"/>
      <c r="H299" s="221"/>
      <c r="I299" s="213"/>
      <c r="J299" s="213"/>
      <c r="K299" s="215"/>
      <c r="L299" s="216"/>
      <c r="M299" s="217"/>
      <c r="O299" s="241" t="str">
        <f>IF(Q299 = "", "", COUNT(Q$4:$Q299))</f>
        <v/>
      </c>
      <c r="P299" s="241" t="str">
        <f t="shared" si="36"/>
        <v/>
      </c>
      <c r="Q299" s="242" t="str">
        <f t="shared" si="37"/>
        <v/>
      </c>
      <c r="R299" s="243" t="str">
        <f t="shared" si="40"/>
        <v/>
      </c>
      <c r="S299" s="244" t="str">
        <f t="shared" si="38"/>
        <v/>
      </c>
      <c r="T299" s="245" t="str">
        <f t="shared" si="41"/>
        <v/>
      </c>
      <c r="U299" s="246" t="str">
        <f t="shared" si="39"/>
        <v/>
      </c>
      <c r="V299" s="8"/>
      <c r="AR299" t="str">
        <f t="shared" si="43"/>
        <v/>
      </c>
      <c r="AS299" t="str">
        <f t="shared" si="42"/>
        <v/>
      </c>
    </row>
    <row r="300" spans="1:45" x14ac:dyDescent="0.3">
      <c r="A300" s="231"/>
      <c r="B300" s="235"/>
      <c r="C300" s="214"/>
      <c r="D300" s="214"/>
      <c r="E300" s="214"/>
      <c r="F300" s="214"/>
      <c r="G300" s="222"/>
      <c r="H300" s="221"/>
      <c r="I300" s="213"/>
      <c r="J300" s="213"/>
      <c r="K300" s="215"/>
      <c r="L300" s="216"/>
      <c r="M300" s="217"/>
      <c r="O300" s="241" t="str">
        <f>IF(Q300 = "", "", COUNT(Q$4:$Q300))</f>
        <v/>
      </c>
      <c r="P300" s="241" t="str">
        <f t="shared" si="36"/>
        <v/>
      </c>
      <c r="Q300" s="242" t="str">
        <f t="shared" si="37"/>
        <v/>
      </c>
      <c r="R300" s="243" t="str">
        <f t="shared" si="40"/>
        <v/>
      </c>
      <c r="S300" s="244" t="str">
        <f t="shared" si="38"/>
        <v/>
      </c>
      <c r="T300" s="245" t="str">
        <f t="shared" si="41"/>
        <v/>
      </c>
      <c r="U300" s="246" t="str">
        <f t="shared" si="39"/>
        <v/>
      </c>
      <c r="V300" s="8"/>
      <c r="AR300" t="str">
        <f t="shared" si="43"/>
        <v/>
      </c>
      <c r="AS300" t="str">
        <f t="shared" si="42"/>
        <v/>
      </c>
    </row>
    <row r="301" spans="1:45" x14ac:dyDescent="0.3">
      <c r="A301" s="231"/>
      <c r="B301" s="235"/>
      <c r="C301" s="214"/>
      <c r="D301" s="214"/>
      <c r="E301" s="214"/>
      <c r="F301" s="214"/>
      <c r="G301" s="222"/>
      <c r="H301" s="221"/>
      <c r="I301" s="213"/>
      <c r="J301" s="213"/>
      <c r="K301" s="215"/>
      <c r="L301" s="216"/>
      <c r="M301" s="217"/>
      <c r="O301" s="241" t="str">
        <f>IF(Q301 = "", "", COUNT(Q$4:$Q301))</f>
        <v/>
      </c>
      <c r="P301" s="241" t="str">
        <f t="shared" si="36"/>
        <v/>
      </c>
      <c r="Q301" s="242" t="str">
        <f t="shared" si="37"/>
        <v/>
      </c>
      <c r="R301" s="243" t="str">
        <f t="shared" si="40"/>
        <v/>
      </c>
      <c r="S301" s="244" t="str">
        <f t="shared" si="38"/>
        <v/>
      </c>
      <c r="T301" s="245" t="str">
        <f t="shared" si="41"/>
        <v/>
      </c>
      <c r="U301" s="246" t="str">
        <f t="shared" si="39"/>
        <v/>
      </c>
      <c r="V301" s="8"/>
      <c r="AR301" t="str">
        <f t="shared" si="43"/>
        <v/>
      </c>
      <c r="AS301" t="str">
        <f t="shared" si="42"/>
        <v/>
      </c>
    </row>
    <row r="302" spans="1:45" x14ac:dyDescent="0.3">
      <c r="A302" s="231"/>
      <c r="B302" s="235"/>
      <c r="C302" s="214"/>
      <c r="D302" s="214"/>
      <c r="E302" s="214"/>
      <c r="F302" s="214"/>
      <c r="G302" s="222"/>
      <c r="H302" s="221"/>
      <c r="I302" s="213"/>
      <c r="J302" s="213"/>
      <c r="K302" s="215"/>
      <c r="L302" s="216"/>
      <c r="M302" s="217"/>
      <c r="O302" s="241" t="str">
        <f>IF(Q302 = "", "", COUNT(Q$4:$Q302))</f>
        <v/>
      </c>
      <c r="P302" s="241" t="str">
        <f t="shared" si="36"/>
        <v/>
      </c>
      <c r="Q302" s="242" t="str">
        <f t="shared" si="37"/>
        <v/>
      </c>
      <c r="R302" s="243" t="str">
        <f t="shared" si="40"/>
        <v/>
      </c>
      <c r="S302" s="244" t="str">
        <f t="shared" si="38"/>
        <v/>
      </c>
      <c r="T302" s="245" t="str">
        <f t="shared" si="41"/>
        <v/>
      </c>
      <c r="U302" s="246" t="str">
        <f t="shared" si="39"/>
        <v/>
      </c>
      <c r="V302" s="8"/>
      <c r="AR302" t="str">
        <f t="shared" si="43"/>
        <v/>
      </c>
      <c r="AS302" t="str">
        <f t="shared" si="42"/>
        <v/>
      </c>
    </row>
    <row r="303" spans="1:45" x14ac:dyDescent="0.3">
      <c r="A303" s="231"/>
      <c r="B303" s="235"/>
      <c r="C303" s="214"/>
      <c r="D303" s="214"/>
      <c r="E303" s="214"/>
      <c r="F303" s="214"/>
      <c r="G303" s="222"/>
      <c r="H303" s="221"/>
      <c r="I303" s="213"/>
      <c r="J303" s="213"/>
      <c r="K303" s="215"/>
      <c r="L303" s="216"/>
      <c r="M303" s="217"/>
      <c r="O303" s="241" t="str">
        <f>IF(Q303 = "", "", COUNT(Q$4:$Q303))</f>
        <v/>
      </c>
      <c r="P303" s="241" t="str">
        <f t="shared" si="36"/>
        <v/>
      </c>
      <c r="Q303" s="242" t="str">
        <f t="shared" si="37"/>
        <v/>
      </c>
      <c r="R303" s="243" t="str">
        <f t="shared" si="40"/>
        <v/>
      </c>
      <c r="S303" s="244" t="str">
        <f t="shared" si="38"/>
        <v/>
      </c>
      <c r="T303" s="245" t="str">
        <f t="shared" si="41"/>
        <v/>
      </c>
      <c r="U303" s="246" t="str">
        <f t="shared" si="39"/>
        <v/>
      </c>
      <c r="V303" s="8"/>
      <c r="AR303" t="str">
        <f t="shared" si="43"/>
        <v/>
      </c>
      <c r="AS303" t="str">
        <f t="shared" si="42"/>
        <v/>
      </c>
    </row>
    <row r="304" spans="1:45" x14ac:dyDescent="0.3">
      <c r="A304" s="231"/>
      <c r="B304" s="235"/>
      <c r="C304" s="214"/>
      <c r="D304" s="214"/>
      <c r="E304" s="214"/>
      <c r="F304" s="214"/>
      <c r="G304" s="222"/>
      <c r="H304" s="221"/>
      <c r="I304" s="213"/>
      <c r="J304" s="213"/>
      <c r="K304" s="215"/>
      <c r="L304" s="216"/>
      <c r="M304" s="217"/>
      <c r="O304" s="241" t="str">
        <f>IF(Q304 = "", "", COUNT(Q$4:$Q304))</f>
        <v/>
      </c>
      <c r="P304" s="241" t="str">
        <f t="shared" si="36"/>
        <v/>
      </c>
      <c r="Q304" s="242" t="str">
        <f t="shared" si="37"/>
        <v/>
      </c>
      <c r="R304" s="243" t="str">
        <f t="shared" si="40"/>
        <v/>
      </c>
      <c r="S304" s="244" t="str">
        <f t="shared" si="38"/>
        <v/>
      </c>
      <c r="T304" s="245" t="str">
        <f t="shared" si="41"/>
        <v/>
      </c>
      <c r="U304" s="246" t="str">
        <f t="shared" si="39"/>
        <v/>
      </c>
      <c r="V304" s="8"/>
      <c r="AR304" t="str">
        <f t="shared" si="43"/>
        <v/>
      </c>
      <c r="AS304" t="str">
        <f t="shared" si="42"/>
        <v/>
      </c>
    </row>
    <row r="305" spans="1:45" x14ac:dyDescent="0.3">
      <c r="A305" s="231"/>
      <c r="B305" s="235"/>
      <c r="C305" s="214"/>
      <c r="D305" s="214"/>
      <c r="E305" s="214"/>
      <c r="F305" s="214"/>
      <c r="G305" s="222"/>
      <c r="H305" s="221"/>
      <c r="I305" s="213"/>
      <c r="J305" s="213"/>
      <c r="K305" s="215"/>
      <c r="L305" s="216"/>
      <c r="M305" s="217"/>
      <c r="O305" s="241" t="str">
        <f>IF(Q305 = "", "", COUNT(Q$4:$Q305))</f>
        <v/>
      </c>
      <c r="P305" s="241" t="str">
        <f t="shared" si="36"/>
        <v/>
      </c>
      <c r="Q305" s="242" t="str">
        <f t="shared" si="37"/>
        <v/>
      </c>
      <c r="R305" s="243" t="str">
        <f t="shared" si="40"/>
        <v/>
      </c>
      <c r="S305" s="244" t="str">
        <f t="shared" si="38"/>
        <v/>
      </c>
      <c r="T305" s="245" t="str">
        <f t="shared" si="41"/>
        <v/>
      </c>
      <c r="U305" s="246" t="str">
        <f t="shared" si="39"/>
        <v/>
      </c>
      <c r="V305" s="8"/>
      <c r="AR305" t="str">
        <f t="shared" si="43"/>
        <v/>
      </c>
      <c r="AS305" t="str">
        <f t="shared" si="42"/>
        <v/>
      </c>
    </row>
    <row r="306" spans="1:45" x14ac:dyDescent="0.3">
      <c r="A306" s="231"/>
      <c r="B306" s="235"/>
      <c r="C306" s="214"/>
      <c r="D306" s="214"/>
      <c r="E306" s="214"/>
      <c r="F306" s="214"/>
      <c r="G306" s="222"/>
      <c r="H306" s="221"/>
      <c r="I306" s="213"/>
      <c r="J306" s="213"/>
      <c r="K306" s="215"/>
      <c r="L306" s="216"/>
      <c r="M306" s="217"/>
      <c r="O306" s="241" t="str">
        <f>IF(Q306 = "", "", COUNT(Q$4:$Q306))</f>
        <v/>
      </c>
      <c r="P306" s="241" t="str">
        <f t="shared" si="36"/>
        <v/>
      </c>
      <c r="Q306" s="242" t="str">
        <f t="shared" si="37"/>
        <v/>
      </c>
      <c r="R306" s="243" t="str">
        <f t="shared" si="40"/>
        <v/>
      </c>
      <c r="S306" s="244" t="str">
        <f t="shared" si="38"/>
        <v/>
      </c>
      <c r="T306" s="245" t="str">
        <f t="shared" si="41"/>
        <v/>
      </c>
      <c r="U306" s="246" t="str">
        <f t="shared" si="39"/>
        <v/>
      </c>
      <c r="V306" s="8"/>
      <c r="AR306" t="str">
        <f t="shared" si="43"/>
        <v/>
      </c>
      <c r="AS306" t="str">
        <f t="shared" si="42"/>
        <v/>
      </c>
    </row>
    <row r="307" spans="1:45" x14ac:dyDescent="0.3">
      <c r="A307" s="231"/>
      <c r="B307" s="235"/>
      <c r="C307" s="214"/>
      <c r="D307" s="214"/>
      <c r="E307" s="214"/>
      <c r="F307" s="214"/>
      <c r="G307" s="222"/>
      <c r="H307" s="221"/>
      <c r="I307" s="213"/>
      <c r="J307" s="213"/>
      <c r="K307" s="215"/>
      <c r="L307" s="216"/>
      <c r="M307" s="217"/>
      <c r="O307" s="241" t="str">
        <f>IF(Q307 = "", "", COUNT(Q$4:$Q307))</f>
        <v/>
      </c>
      <c r="P307" s="241" t="str">
        <f t="shared" si="36"/>
        <v/>
      </c>
      <c r="Q307" s="242" t="str">
        <f t="shared" si="37"/>
        <v/>
      </c>
      <c r="R307" s="243" t="str">
        <f t="shared" si="40"/>
        <v/>
      </c>
      <c r="S307" s="244" t="str">
        <f t="shared" si="38"/>
        <v/>
      </c>
      <c r="T307" s="245" t="str">
        <f t="shared" si="41"/>
        <v/>
      </c>
      <c r="U307" s="246" t="str">
        <f t="shared" si="39"/>
        <v/>
      </c>
      <c r="V307" s="8"/>
      <c r="AR307" t="str">
        <f t="shared" si="43"/>
        <v/>
      </c>
      <c r="AS307" t="str">
        <f t="shared" si="42"/>
        <v/>
      </c>
    </row>
    <row r="308" spans="1:45" x14ac:dyDescent="0.3">
      <c r="A308" s="231"/>
      <c r="B308" s="235"/>
      <c r="C308" s="214"/>
      <c r="D308" s="214"/>
      <c r="E308" s="214"/>
      <c r="F308" s="214"/>
      <c r="G308" s="222"/>
      <c r="H308" s="221"/>
      <c r="I308" s="213"/>
      <c r="J308" s="213"/>
      <c r="K308" s="215"/>
      <c r="L308" s="216"/>
      <c r="M308" s="217"/>
      <c r="O308" s="241" t="str">
        <f>IF(Q308 = "", "", COUNT(Q$4:$Q308))</f>
        <v/>
      </c>
      <c r="P308" s="241" t="str">
        <f t="shared" si="36"/>
        <v/>
      </c>
      <c r="Q308" s="242" t="str">
        <f t="shared" si="37"/>
        <v/>
      </c>
      <c r="R308" s="243" t="str">
        <f t="shared" si="40"/>
        <v/>
      </c>
      <c r="S308" s="244" t="str">
        <f t="shared" si="38"/>
        <v/>
      </c>
      <c r="T308" s="245" t="str">
        <f t="shared" si="41"/>
        <v/>
      </c>
      <c r="U308" s="246" t="str">
        <f t="shared" si="39"/>
        <v/>
      </c>
      <c r="V308" s="8"/>
      <c r="AR308" t="str">
        <f t="shared" si="43"/>
        <v/>
      </c>
      <c r="AS308" t="str">
        <f t="shared" si="42"/>
        <v/>
      </c>
    </row>
    <row r="309" spans="1:45" x14ac:dyDescent="0.3">
      <c r="A309" s="231"/>
      <c r="B309" s="235"/>
      <c r="C309" s="214"/>
      <c r="D309" s="214"/>
      <c r="E309" s="214"/>
      <c r="F309" s="214"/>
      <c r="G309" s="222"/>
      <c r="H309" s="221"/>
      <c r="I309" s="213"/>
      <c r="J309" s="213"/>
      <c r="K309" s="215"/>
      <c r="L309" s="216"/>
      <c r="M309" s="217"/>
      <c r="O309" s="241" t="str">
        <f>IF(Q309 = "", "", COUNT(Q$4:$Q309))</f>
        <v/>
      </c>
      <c r="P309" s="241" t="str">
        <f t="shared" si="36"/>
        <v/>
      </c>
      <c r="Q309" s="242" t="str">
        <f t="shared" si="37"/>
        <v/>
      </c>
      <c r="R309" s="243" t="str">
        <f t="shared" si="40"/>
        <v/>
      </c>
      <c r="S309" s="244" t="str">
        <f t="shared" si="38"/>
        <v/>
      </c>
      <c r="T309" s="245" t="str">
        <f t="shared" si="41"/>
        <v/>
      </c>
      <c r="U309" s="246" t="str">
        <f t="shared" si="39"/>
        <v/>
      </c>
      <c r="V309" s="8"/>
      <c r="AR309" t="str">
        <f t="shared" si="43"/>
        <v/>
      </c>
      <c r="AS309" t="str">
        <f t="shared" si="42"/>
        <v/>
      </c>
    </row>
    <row r="310" spans="1:45" x14ac:dyDescent="0.3">
      <c r="A310" s="231"/>
      <c r="B310" s="235"/>
      <c r="C310" s="214"/>
      <c r="D310" s="214"/>
      <c r="E310" s="214"/>
      <c r="F310" s="214"/>
      <c r="G310" s="222"/>
      <c r="H310" s="221"/>
      <c r="I310" s="213"/>
      <c r="J310" s="213"/>
      <c r="K310" s="215"/>
      <c r="L310" s="216"/>
      <c r="M310" s="217"/>
      <c r="O310" s="241" t="str">
        <f>IF(Q310 = "", "", COUNT(Q$4:$Q310))</f>
        <v/>
      </c>
      <c r="P310" s="241" t="str">
        <f t="shared" si="36"/>
        <v/>
      </c>
      <c r="Q310" s="242" t="str">
        <f t="shared" si="37"/>
        <v/>
      </c>
      <c r="R310" s="243" t="str">
        <f t="shared" si="40"/>
        <v/>
      </c>
      <c r="S310" s="244" t="str">
        <f t="shared" si="38"/>
        <v/>
      </c>
      <c r="T310" s="245" t="str">
        <f t="shared" si="41"/>
        <v/>
      </c>
      <c r="U310" s="246" t="str">
        <f t="shared" si="39"/>
        <v/>
      </c>
      <c r="V310" s="8"/>
      <c r="AR310" t="str">
        <f t="shared" si="43"/>
        <v/>
      </c>
      <c r="AS310" t="str">
        <f t="shared" si="42"/>
        <v/>
      </c>
    </row>
    <row r="311" spans="1:45" x14ac:dyDescent="0.3">
      <c r="A311" s="231"/>
      <c r="B311" s="235"/>
      <c r="C311" s="214"/>
      <c r="D311" s="214"/>
      <c r="E311" s="214"/>
      <c r="F311" s="214"/>
      <c r="G311" s="222"/>
      <c r="H311" s="221"/>
      <c r="I311" s="213"/>
      <c r="J311" s="213"/>
      <c r="K311" s="215"/>
      <c r="L311" s="216"/>
      <c r="M311" s="217"/>
      <c r="O311" s="241" t="str">
        <f>IF(Q311 = "", "", COUNT(Q$4:$Q311))</f>
        <v/>
      </c>
      <c r="P311" s="241" t="str">
        <f t="shared" si="36"/>
        <v/>
      </c>
      <c r="Q311" s="242" t="str">
        <f t="shared" si="37"/>
        <v/>
      </c>
      <c r="R311" s="243" t="str">
        <f t="shared" si="40"/>
        <v/>
      </c>
      <c r="S311" s="244" t="str">
        <f t="shared" si="38"/>
        <v/>
      </c>
      <c r="T311" s="245" t="str">
        <f t="shared" si="41"/>
        <v/>
      </c>
      <c r="U311" s="246" t="str">
        <f t="shared" si="39"/>
        <v/>
      </c>
      <c r="V311" s="8"/>
      <c r="AR311" t="str">
        <f t="shared" si="43"/>
        <v/>
      </c>
      <c r="AS311" t="str">
        <f t="shared" si="42"/>
        <v/>
      </c>
    </row>
    <row r="312" spans="1:45" x14ac:dyDescent="0.3">
      <c r="A312" s="231"/>
      <c r="B312" s="235"/>
      <c r="C312" s="214"/>
      <c r="D312" s="214"/>
      <c r="E312" s="214"/>
      <c r="F312" s="214"/>
      <c r="G312" s="222"/>
      <c r="H312" s="221"/>
      <c r="I312" s="213"/>
      <c r="J312" s="213"/>
      <c r="K312" s="215"/>
      <c r="L312" s="216"/>
      <c r="M312" s="217"/>
      <c r="O312" s="241" t="str">
        <f>IF(Q312 = "", "", COUNT(Q$4:$Q312))</f>
        <v/>
      </c>
      <c r="P312" s="241" t="str">
        <f t="shared" si="36"/>
        <v/>
      </c>
      <c r="Q312" s="242" t="str">
        <f t="shared" si="37"/>
        <v/>
      </c>
      <c r="R312" s="243" t="str">
        <f t="shared" si="40"/>
        <v/>
      </c>
      <c r="S312" s="244" t="str">
        <f t="shared" si="38"/>
        <v/>
      </c>
      <c r="T312" s="245" t="str">
        <f t="shared" si="41"/>
        <v/>
      </c>
      <c r="U312" s="246" t="str">
        <f t="shared" si="39"/>
        <v/>
      </c>
      <c r="V312" s="8"/>
      <c r="AR312" t="str">
        <f t="shared" si="43"/>
        <v/>
      </c>
      <c r="AS312" t="str">
        <f t="shared" si="42"/>
        <v/>
      </c>
    </row>
    <row r="313" spans="1:45" x14ac:dyDescent="0.3">
      <c r="A313" s="231"/>
      <c r="B313" s="235"/>
      <c r="C313" s="214"/>
      <c r="D313" s="214"/>
      <c r="E313" s="214"/>
      <c r="F313" s="214"/>
      <c r="G313" s="222"/>
      <c r="H313" s="221"/>
      <c r="I313" s="213"/>
      <c r="J313" s="213"/>
      <c r="K313" s="215"/>
      <c r="L313" s="216"/>
      <c r="M313" s="217"/>
      <c r="O313" s="241" t="str">
        <f>IF(Q313 = "", "", COUNT(Q$4:$Q313))</f>
        <v/>
      </c>
      <c r="P313" s="241" t="str">
        <f t="shared" si="36"/>
        <v/>
      </c>
      <c r="Q313" s="242" t="str">
        <f t="shared" si="37"/>
        <v/>
      </c>
      <c r="R313" s="243" t="str">
        <f t="shared" si="40"/>
        <v/>
      </c>
      <c r="S313" s="244" t="str">
        <f t="shared" si="38"/>
        <v/>
      </c>
      <c r="T313" s="245" t="str">
        <f t="shared" si="41"/>
        <v/>
      </c>
      <c r="U313" s="246" t="str">
        <f t="shared" si="39"/>
        <v/>
      </c>
      <c r="V313" s="8"/>
      <c r="AR313" t="str">
        <f t="shared" si="43"/>
        <v/>
      </c>
      <c r="AS313" t="str">
        <f t="shared" si="42"/>
        <v/>
      </c>
    </row>
    <row r="314" spans="1:45" x14ac:dyDescent="0.3">
      <c r="A314" s="231"/>
      <c r="B314" s="235"/>
      <c r="C314" s="214"/>
      <c r="D314" s="214"/>
      <c r="E314" s="214"/>
      <c r="F314" s="214"/>
      <c r="G314" s="222"/>
      <c r="H314" s="221"/>
      <c r="I314" s="213"/>
      <c r="J314" s="213"/>
      <c r="K314" s="215"/>
      <c r="L314" s="216"/>
      <c r="M314" s="217"/>
      <c r="O314" s="241" t="str">
        <f>IF(Q314 = "", "", COUNT(Q$4:$Q314))</f>
        <v/>
      </c>
      <c r="P314" s="241" t="str">
        <f t="shared" si="36"/>
        <v/>
      </c>
      <c r="Q314" s="242" t="str">
        <f t="shared" si="37"/>
        <v/>
      </c>
      <c r="R314" s="243" t="str">
        <f t="shared" si="40"/>
        <v/>
      </c>
      <c r="S314" s="244" t="str">
        <f t="shared" si="38"/>
        <v/>
      </c>
      <c r="T314" s="245" t="str">
        <f t="shared" si="41"/>
        <v/>
      </c>
      <c r="U314" s="246" t="str">
        <f t="shared" si="39"/>
        <v/>
      </c>
      <c r="V314" s="8"/>
      <c r="AR314" t="str">
        <f t="shared" si="43"/>
        <v/>
      </c>
      <c r="AS314" t="str">
        <f t="shared" si="42"/>
        <v/>
      </c>
    </row>
    <row r="315" spans="1:45" x14ac:dyDescent="0.3">
      <c r="A315" s="231"/>
      <c r="B315" s="235"/>
      <c r="C315" s="214"/>
      <c r="D315" s="214"/>
      <c r="E315" s="214"/>
      <c r="F315" s="214"/>
      <c r="G315" s="222"/>
      <c r="H315" s="221"/>
      <c r="I315" s="213"/>
      <c r="J315" s="213"/>
      <c r="K315" s="215"/>
      <c r="L315" s="216"/>
      <c r="M315" s="217"/>
      <c r="O315" s="241" t="str">
        <f>IF(Q315 = "", "", COUNT(Q$4:$Q315))</f>
        <v/>
      </c>
      <c r="P315" s="241" t="str">
        <f t="shared" si="36"/>
        <v/>
      </c>
      <c r="Q315" s="242" t="str">
        <f t="shared" si="37"/>
        <v/>
      </c>
      <c r="R315" s="243" t="str">
        <f t="shared" si="40"/>
        <v/>
      </c>
      <c r="S315" s="244" t="str">
        <f t="shared" si="38"/>
        <v/>
      </c>
      <c r="T315" s="245" t="str">
        <f t="shared" si="41"/>
        <v/>
      </c>
      <c r="U315" s="246" t="str">
        <f t="shared" si="39"/>
        <v/>
      </c>
      <c r="V315" s="8"/>
      <c r="AR315" t="str">
        <f t="shared" si="43"/>
        <v/>
      </c>
      <c r="AS315" t="str">
        <f t="shared" si="42"/>
        <v/>
      </c>
    </row>
    <row r="316" spans="1:45" x14ac:dyDescent="0.3">
      <c r="A316" s="231"/>
      <c r="B316" s="235"/>
      <c r="C316" s="214"/>
      <c r="D316" s="214"/>
      <c r="E316" s="214"/>
      <c r="F316" s="214"/>
      <c r="G316" s="222"/>
      <c r="H316" s="221"/>
      <c r="I316" s="213"/>
      <c r="J316" s="213"/>
      <c r="K316" s="215"/>
      <c r="L316" s="216"/>
      <c r="M316" s="217"/>
      <c r="O316" s="241" t="str">
        <f>IF(Q316 = "", "", COUNT(Q$4:$Q316))</f>
        <v/>
      </c>
      <c r="P316" s="241" t="str">
        <f t="shared" si="36"/>
        <v/>
      </c>
      <c r="Q316" s="242" t="str">
        <f t="shared" si="37"/>
        <v/>
      </c>
      <c r="R316" s="243" t="str">
        <f t="shared" si="40"/>
        <v/>
      </c>
      <c r="S316" s="244" t="str">
        <f t="shared" si="38"/>
        <v/>
      </c>
      <c r="T316" s="245" t="str">
        <f t="shared" si="41"/>
        <v/>
      </c>
      <c r="U316" s="246" t="str">
        <f t="shared" si="39"/>
        <v/>
      </c>
      <c r="V316" s="8"/>
      <c r="AR316" t="str">
        <f t="shared" si="43"/>
        <v/>
      </c>
      <c r="AS316" t="str">
        <f t="shared" si="42"/>
        <v/>
      </c>
    </row>
    <row r="317" spans="1:45" x14ac:dyDescent="0.3">
      <c r="A317" s="231"/>
      <c r="B317" s="235"/>
      <c r="C317" s="214"/>
      <c r="D317" s="214"/>
      <c r="E317" s="214"/>
      <c r="F317" s="214"/>
      <c r="G317" s="222"/>
      <c r="H317" s="221"/>
      <c r="I317" s="213"/>
      <c r="J317" s="213"/>
      <c r="K317" s="215"/>
      <c r="L317" s="216"/>
      <c r="M317" s="217"/>
      <c r="O317" s="241" t="str">
        <f>IF(Q317 = "", "", COUNT(Q$4:$Q317))</f>
        <v/>
      </c>
      <c r="P317" s="241" t="str">
        <f t="shared" si="36"/>
        <v/>
      </c>
      <c r="Q317" s="242" t="str">
        <f t="shared" si="37"/>
        <v/>
      </c>
      <c r="R317" s="243" t="str">
        <f t="shared" si="40"/>
        <v/>
      </c>
      <c r="S317" s="244" t="str">
        <f t="shared" si="38"/>
        <v/>
      </c>
      <c r="T317" s="245" t="str">
        <f t="shared" si="41"/>
        <v/>
      </c>
      <c r="U317" s="246" t="str">
        <f t="shared" si="39"/>
        <v/>
      </c>
      <c r="V317" s="8"/>
      <c r="AR317" t="str">
        <f t="shared" si="43"/>
        <v/>
      </c>
      <c r="AS317" t="str">
        <f t="shared" si="42"/>
        <v/>
      </c>
    </row>
    <row r="318" spans="1:45" x14ac:dyDescent="0.3">
      <c r="A318" s="231"/>
      <c r="B318" s="235"/>
      <c r="C318" s="214"/>
      <c r="D318" s="214"/>
      <c r="E318" s="214"/>
      <c r="F318" s="214"/>
      <c r="G318" s="222"/>
      <c r="H318" s="221"/>
      <c r="I318" s="213"/>
      <c r="J318" s="213"/>
      <c r="K318" s="215"/>
      <c r="L318" s="216"/>
      <c r="M318" s="217"/>
      <c r="O318" s="241" t="str">
        <f>IF(Q318 = "", "", COUNT(Q$4:$Q318))</f>
        <v/>
      </c>
      <c r="P318" s="241" t="str">
        <f t="shared" si="36"/>
        <v/>
      </c>
      <c r="Q318" s="242" t="str">
        <f t="shared" si="37"/>
        <v/>
      </c>
      <c r="R318" s="243" t="str">
        <f t="shared" si="40"/>
        <v/>
      </c>
      <c r="S318" s="244" t="str">
        <f t="shared" si="38"/>
        <v/>
      </c>
      <c r="T318" s="245" t="str">
        <f t="shared" si="41"/>
        <v/>
      </c>
      <c r="U318" s="246" t="str">
        <f t="shared" si="39"/>
        <v/>
      </c>
      <c r="V318" s="8"/>
      <c r="AR318" t="str">
        <f t="shared" si="43"/>
        <v/>
      </c>
      <c r="AS318" t="str">
        <f t="shared" si="42"/>
        <v/>
      </c>
    </row>
    <row r="319" spans="1:45" x14ac:dyDescent="0.3">
      <c r="A319" s="231"/>
      <c r="B319" s="235"/>
      <c r="C319" s="214"/>
      <c r="D319" s="214"/>
      <c r="E319" s="214"/>
      <c r="F319" s="214"/>
      <c r="G319" s="222"/>
      <c r="H319" s="221"/>
      <c r="I319" s="213"/>
      <c r="J319" s="213"/>
      <c r="K319" s="215"/>
      <c r="L319" s="216"/>
      <c r="M319" s="217"/>
      <c r="O319" s="241" t="str">
        <f>IF(Q319 = "", "", COUNT(Q$4:$Q319))</f>
        <v/>
      </c>
      <c r="P319" s="241" t="str">
        <f t="shared" si="36"/>
        <v/>
      </c>
      <c r="Q319" s="242" t="str">
        <f t="shared" si="37"/>
        <v/>
      </c>
      <c r="R319" s="243" t="str">
        <f t="shared" si="40"/>
        <v/>
      </c>
      <c r="S319" s="244" t="str">
        <f t="shared" si="38"/>
        <v/>
      </c>
      <c r="T319" s="245" t="str">
        <f t="shared" si="41"/>
        <v/>
      </c>
      <c r="U319" s="246" t="str">
        <f t="shared" si="39"/>
        <v/>
      </c>
      <c r="V319" s="8"/>
      <c r="AR319" t="str">
        <f t="shared" si="43"/>
        <v/>
      </c>
      <c r="AS319" t="str">
        <f t="shared" si="42"/>
        <v/>
      </c>
    </row>
    <row r="320" spans="1:45" x14ac:dyDescent="0.3">
      <c r="A320" s="231"/>
      <c r="B320" s="235"/>
      <c r="C320" s="214"/>
      <c r="D320" s="214"/>
      <c r="E320" s="214"/>
      <c r="F320" s="214"/>
      <c r="G320" s="222"/>
      <c r="H320" s="221"/>
      <c r="I320" s="213"/>
      <c r="J320" s="213"/>
      <c r="K320" s="215"/>
      <c r="L320" s="216"/>
      <c r="M320" s="217"/>
      <c r="O320" s="241" t="str">
        <f>IF(Q320 = "", "", COUNT(Q$4:$Q320))</f>
        <v/>
      </c>
      <c r="P320" s="241" t="str">
        <f t="shared" si="36"/>
        <v/>
      </c>
      <c r="Q320" s="242" t="str">
        <f t="shared" si="37"/>
        <v/>
      </c>
      <c r="R320" s="243" t="str">
        <f t="shared" si="40"/>
        <v/>
      </c>
      <c r="S320" s="244" t="str">
        <f t="shared" si="38"/>
        <v/>
      </c>
      <c r="T320" s="245" t="str">
        <f t="shared" si="41"/>
        <v/>
      </c>
      <c r="U320" s="246" t="str">
        <f t="shared" si="39"/>
        <v/>
      </c>
      <c r="V320" s="8"/>
      <c r="AR320" t="str">
        <f t="shared" si="43"/>
        <v/>
      </c>
      <c r="AS320" t="str">
        <f t="shared" si="42"/>
        <v/>
      </c>
    </row>
    <row r="321" spans="1:45" x14ac:dyDescent="0.3">
      <c r="A321" s="231"/>
      <c r="B321" s="235"/>
      <c r="C321" s="214"/>
      <c r="D321" s="214"/>
      <c r="E321" s="214"/>
      <c r="F321" s="214"/>
      <c r="G321" s="222"/>
      <c r="H321" s="221"/>
      <c r="I321" s="213"/>
      <c r="J321" s="213"/>
      <c r="K321" s="215"/>
      <c r="L321" s="216"/>
      <c r="M321" s="217"/>
      <c r="O321" s="241" t="str">
        <f>IF(Q321 = "", "", COUNT(Q$4:$Q321))</f>
        <v/>
      </c>
      <c r="P321" s="241" t="str">
        <f t="shared" si="36"/>
        <v/>
      </c>
      <c r="Q321" s="242" t="str">
        <f t="shared" si="37"/>
        <v/>
      </c>
      <c r="R321" s="243" t="str">
        <f t="shared" si="40"/>
        <v/>
      </c>
      <c r="S321" s="244" t="str">
        <f t="shared" si="38"/>
        <v/>
      </c>
      <c r="T321" s="245" t="str">
        <f t="shared" si="41"/>
        <v/>
      </c>
      <c r="U321" s="246" t="str">
        <f t="shared" si="39"/>
        <v/>
      </c>
      <c r="V321" s="8"/>
      <c r="AR321" t="str">
        <f t="shared" si="43"/>
        <v/>
      </c>
      <c r="AS321" t="str">
        <f t="shared" si="42"/>
        <v/>
      </c>
    </row>
    <row r="322" spans="1:45" x14ac:dyDescent="0.3">
      <c r="A322" s="231"/>
      <c r="B322" s="235"/>
      <c r="C322" s="214"/>
      <c r="D322" s="214"/>
      <c r="E322" s="214"/>
      <c r="F322" s="214"/>
      <c r="G322" s="222"/>
      <c r="H322" s="221"/>
      <c r="I322" s="213"/>
      <c r="J322" s="213"/>
      <c r="K322" s="215"/>
      <c r="L322" s="216"/>
      <c r="M322" s="217"/>
      <c r="O322" s="241" t="str">
        <f>IF(Q322 = "", "", COUNT(Q$4:$Q322))</f>
        <v/>
      </c>
      <c r="P322" s="241" t="str">
        <f t="shared" si="36"/>
        <v/>
      </c>
      <c r="Q322" s="242" t="str">
        <f t="shared" si="37"/>
        <v/>
      </c>
      <c r="R322" s="243" t="str">
        <f t="shared" si="40"/>
        <v/>
      </c>
      <c r="S322" s="244" t="str">
        <f t="shared" si="38"/>
        <v/>
      </c>
      <c r="T322" s="245" t="str">
        <f t="shared" si="41"/>
        <v/>
      </c>
      <c r="U322" s="246" t="str">
        <f t="shared" si="39"/>
        <v/>
      </c>
      <c r="V322" s="8"/>
      <c r="AR322" t="str">
        <f t="shared" si="43"/>
        <v/>
      </c>
      <c r="AS322" t="str">
        <f t="shared" si="42"/>
        <v/>
      </c>
    </row>
    <row r="323" spans="1:45" x14ac:dyDescent="0.3">
      <c r="A323" s="231"/>
      <c r="B323" s="235"/>
      <c r="C323" s="214"/>
      <c r="D323" s="214"/>
      <c r="E323" s="214"/>
      <c r="F323" s="214"/>
      <c r="G323" s="222"/>
      <c r="H323" s="221"/>
      <c r="I323" s="213"/>
      <c r="J323" s="213"/>
      <c r="K323" s="215"/>
      <c r="L323" s="216"/>
      <c r="M323" s="217"/>
      <c r="O323" s="241" t="str">
        <f>IF(Q323 = "", "", COUNT(Q$4:$Q323))</f>
        <v/>
      </c>
      <c r="P323" s="241" t="str">
        <f t="shared" si="36"/>
        <v/>
      </c>
      <c r="Q323" s="242" t="str">
        <f t="shared" si="37"/>
        <v/>
      </c>
      <c r="R323" s="243" t="str">
        <f t="shared" si="40"/>
        <v/>
      </c>
      <c r="S323" s="244" t="str">
        <f t="shared" si="38"/>
        <v/>
      </c>
      <c r="T323" s="245" t="str">
        <f t="shared" si="41"/>
        <v/>
      </c>
      <c r="U323" s="246" t="str">
        <f t="shared" si="39"/>
        <v/>
      </c>
      <c r="V323" s="8"/>
      <c r="AR323" t="str">
        <f t="shared" si="43"/>
        <v/>
      </c>
      <c r="AS323" t="str">
        <f t="shared" si="42"/>
        <v/>
      </c>
    </row>
    <row r="324" spans="1:45" x14ac:dyDescent="0.3">
      <c r="A324" s="231"/>
      <c r="B324" s="235"/>
      <c r="C324" s="214"/>
      <c r="D324" s="214"/>
      <c r="E324" s="214"/>
      <c r="F324" s="214"/>
      <c r="G324" s="222"/>
      <c r="H324" s="221"/>
      <c r="I324" s="213"/>
      <c r="J324" s="213"/>
      <c r="K324" s="215"/>
      <c r="L324" s="216"/>
      <c r="M324" s="217"/>
      <c r="O324" s="241" t="str">
        <f>IF(Q324 = "", "", COUNT(Q$4:$Q324))</f>
        <v/>
      </c>
      <c r="P324" s="241" t="str">
        <f t="shared" ref="P324:P387" si="44">IF(C324 &gt; 0, YEAR(B324), "")</f>
        <v/>
      </c>
      <c r="Q324" s="242" t="str">
        <f t="shared" ref="Q324:Q387" si="45">IF(A324="", "", IF(G324="",1,IF(G324="O",1,IF(G324="C",8.4,IF(G324="B",8.4,IF(G324="A",76.8,IF(G324="K",76.8,"ERR")))))))</f>
        <v/>
      </c>
      <c r="R324" s="243" t="str">
        <f t="shared" si="40"/>
        <v/>
      </c>
      <c r="S324" s="244" t="str">
        <f t="shared" ref="S324:S387" si="46">IF(IF(L324&lt;&gt;"",G324,"")=0, "O", IF(L324&lt;&gt;"",G324,""))</f>
        <v/>
      </c>
      <c r="T324" s="245" t="str">
        <f t="shared" si="41"/>
        <v/>
      </c>
      <c r="U324" s="246" t="str">
        <f t="shared" ref="U324:U387" si="47">IF(IF(M324&lt;&gt;"",G324,"")=0, "O", IF(M324&lt;&gt;"",G324,""))</f>
        <v/>
      </c>
      <c r="V324" s="8"/>
      <c r="AR324" t="str">
        <f t="shared" si="43"/>
        <v/>
      </c>
      <c r="AS324" t="str">
        <f t="shared" si="42"/>
        <v/>
      </c>
    </row>
    <row r="325" spans="1:45" x14ac:dyDescent="0.3">
      <c r="A325" s="231"/>
      <c r="B325" s="235"/>
      <c r="C325" s="214"/>
      <c r="D325" s="214"/>
      <c r="E325" s="214"/>
      <c r="F325" s="214"/>
      <c r="G325" s="222"/>
      <c r="H325" s="221"/>
      <c r="I325" s="213"/>
      <c r="J325" s="213"/>
      <c r="K325" s="215"/>
      <c r="L325" s="216"/>
      <c r="M325" s="217"/>
      <c r="O325" s="241" t="str">
        <f>IF(Q325 = "", "", COUNT(Q$4:$Q325))</f>
        <v/>
      </c>
      <c r="P325" s="241" t="str">
        <f t="shared" si="44"/>
        <v/>
      </c>
      <c r="Q325" s="242" t="str">
        <f t="shared" si="45"/>
        <v/>
      </c>
      <c r="R325" s="243" t="str">
        <f t="shared" ref="R325:R388" si="48">IF(L325&lt;&gt;"",Q325,"")</f>
        <v/>
      </c>
      <c r="S325" s="244" t="str">
        <f t="shared" si="46"/>
        <v/>
      </c>
      <c r="T325" s="245" t="str">
        <f t="shared" ref="T325:T388" si="49">IF(M325&lt;&gt;"",Q325,"")</f>
        <v/>
      </c>
      <c r="U325" s="246" t="str">
        <f t="shared" si="47"/>
        <v/>
      </c>
      <c r="V325" s="8"/>
      <c r="AR325" t="str">
        <f t="shared" si="43"/>
        <v/>
      </c>
      <c r="AS325" t="str">
        <f t="shared" si="42"/>
        <v/>
      </c>
    </row>
    <row r="326" spans="1:45" x14ac:dyDescent="0.3">
      <c r="A326" s="231"/>
      <c r="B326" s="235"/>
      <c r="C326" s="214"/>
      <c r="D326" s="214"/>
      <c r="E326" s="214"/>
      <c r="F326" s="214"/>
      <c r="G326" s="222"/>
      <c r="H326" s="221"/>
      <c r="I326" s="213"/>
      <c r="J326" s="213"/>
      <c r="K326" s="215"/>
      <c r="L326" s="216"/>
      <c r="M326" s="217"/>
      <c r="O326" s="241" t="str">
        <f>IF(Q326 = "", "", COUNT(Q$4:$Q326))</f>
        <v/>
      </c>
      <c r="P326" s="241" t="str">
        <f t="shared" si="44"/>
        <v/>
      </c>
      <c r="Q326" s="242" t="str">
        <f t="shared" si="45"/>
        <v/>
      </c>
      <c r="R326" s="243" t="str">
        <f t="shared" si="48"/>
        <v/>
      </c>
      <c r="S326" s="244" t="str">
        <f t="shared" si="46"/>
        <v/>
      </c>
      <c r="T326" s="245" t="str">
        <f t="shared" si="49"/>
        <v/>
      </c>
      <c r="U326" s="246" t="str">
        <f t="shared" si="47"/>
        <v/>
      </c>
      <c r="V326" s="8"/>
      <c r="AR326" t="str">
        <f t="shared" si="43"/>
        <v/>
      </c>
      <c r="AS326" t="str">
        <f t="shared" si="42"/>
        <v/>
      </c>
    </row>
    <row r="327" spans="1:45" x14ac:dyDescent="0.3">
      <c r="A327" s="231"/>
      <c r="B327" s="235"/>
      <c r="C327" s="214"/>
      <c r="D327" s="214"/>
      <c r="E327" s="214"/>
      <c r="F327" s="214"/>
      <c r="G327" s="222"/>
      <c r="H327" s="221"/>
      <c r="I327" s="213"/>
      <c r="J327" s="213"/>
      <c r="K327" s="215"/>
      <c r="L327" s="216"/>
      <c r="M327" s="217"/>
      <c r="O327" s="241" t="str">
        <f>IF(Q327 = "", "", COUNT(Q$4:$Q327))</f>
        <v/>
      </c>
      <c r="P327" s="241" t="str">
        <f t="shared" si="44"/>
        <v/>
      </c>
      <c r="Q327" s="242" t="str">
        <f t="shared" si="45"/>
        <v/>
      </c>
      <c r="R327" s="243" t="str">
        <f t="shared" si="48"/>
        <v/>
      </c>
      <c r="S327" s="244" t="str">
        <f t="shared" si="46"/>
        <v/>
      </c>
      <c r="T327" s="245" t="str">
        <f t="shared" si="49"/>
        <v/>
      </c>
      <c r="U327" s="246" t="str">
        <f t="shared" si="47"/>
        <v/>
      </c>
      <c r="V327" s="8"/>
      <c r="AR327" t="str">
        <f t="shared" si="43"/>
        <v/>
      </c>
      <c r="AS327" t="str">
        <f t="shared" si="42"/>
        <v/>
      </c>
    </row>
    <row r="328" spans="1:45" x14ac:dyDescent="0.3">
      <c r="A328" s="231"/>
      <c r="B328" s="235"/>
      <c r="C328" s="214"/>
      <c r="D328" s="214"/>
      <c r="E328" s="214"/>
      <c r="F328" s="214"/>
      <c r="G328" s="222"/>
      <c r="H328" s="221"/>
      <c r="I328" s="213"/>
      <c r="J328" s="213"/>
      <c r="K328" s="215"/>
      <c r="L328" s="216"/>
      <c r="M328" s="217"/>
      <c r="O328" s="241" t="str">
        <f>IF(Q328 = "", "", COUNT(Q$4:$Q328))</f>
        <v/>
      </c>
      <c r="P328" s="241" t="str">
        <f t="shared" si="44"/>
        <v/>
      </c>
      <c r="Q328" s="242" t="str">
        <f t="shared" si="45"/>
        <v/>
      </c>
      <c r="R328" s="243" t="str">
        <f t="shared" si="48"/>
        <v/>
      </c>
      <c r="S328" s="244" t="str">
        <f t="shared" si="46"/>
        <v/>
      </c>
      <c r="T328" s="245" t="str">
        <f t="shared" si="49"/>
        <v/>
      </c>
      <c r="U328" s="246" t="str">
        <f t="shared" si="47"/>
        <v/>
      </c>
      <c r="V328" s="8"/>
      <c r="AR328" t="str">
        <f t="shared" si="43"/>
        <v/>
      </c>
      <c r="AS328" t="str">
        <f t="shared" si="42"/>
        <v/>
      </c>
    </row>
    <row r="329" spans="1:45" x14ac:dyDescent="0.3">
      <c r="A329" s="231"/>
      <c r="B329" s="235"/>
      <c r="C329" s="214"/>
      <c r="D329" s="214"/>
      <c r="E329" s="214"/>
      <c r="F329" s="214"/>
      <c r="G329" s="222"/>
      <c r="H329" s="221"/>
      <c r="I329" s="213"/>
      <c r="J329" s="213"/>
      <c r="K329" s="215"/>
      <c r="L329" s="216"/>
      <c r="M329" s="217"/>
      <c r="O329" s="241" t="str">
        <f>IF(Q329 = "", "", COUNT(Q$4:$Q329))</f>
        <v/>
      </c>
      <c r="P329" s="241" t="str">
        <f t="shared" si="44"/>
        <v/>
      </c>
      <c r="Q329" s="242" t="str">
        <f t="shared" si="45"/>
        <v/>
      </c>
      <c r="R329" s="243" t="str">
        <f t="shared" si="48"/>
        <v/>
      </c>
      <c r="S329" s="244" t="str">
        <f t="shared" si="46"/>
        <v/>
      </c>
      <c r="T329" s="245" t="str">
        <f t="shared" si="49"/>
        <v/>
      </c>
      <c r="U329" s="246" t="str">
        <f t="shared" si="47"/>
        <v/>
      </c>
      <c r="V329" s="8"/>
      <c r="AR329" t="str">
        <f t="shared" si="43"/>
        <v/>
      </c>
      <c r="AS329" t="str">
        <f t="shared" si="42"/>
        <v/>
      </c>
    </row>
    <row r="330" spans="1:45" x14ac:dyDescent="0.3">
      <c r="A330" s="231"/>
      <c r="B330" s="235"/>
      <c r="C330" s="214"/>
      <c r="D330" s="214"/>
      <c r="E330" s="214"/>
      <c r="F330" s="214"/>
      <c r="G330" s="222"/>
      <c r="H330" s="221"/>
      <c r="I330" s="213"/>
      <c r="J330" s="213"/>
      <c r="K330" s="215"/>
      <c r="L330" s="216"/>
      <c r="M330" s="217"/>
      <c r="O330" s="241" t="str">
        <f>IF(Q330 = "", "", COUNT(Q$4:$Q330))</f>
        <v/>
      </c>
      <c r="P330" s="241" t="str">
        <f t="shared" si="44"/>
        <v/>
      </c>
      <c r="Q330" s="242" t="str">
        <f t="shared" si="45"/>
        <v/>
      </c>
      <c r="R330" s="243" t="str">
        <f t="shared" si="48"/>
        <v/>
      </c>
      <c r="S330" s="244" t="str">
        <f t="shared" si="46"/>
        <v/>
      </c>
      <c r="T330" s="245" t="str">
        <f t="shared" si="49"/>
        <v/>
      </c>
      <c r="U330" s="246" t="str">
        <f t="shared" si="47"/>
        <v/>
      </c>
      <c r="V330" s="8"/>
      <c r="AR330" t="str">
        <f t="shared" si="43"/>
        <v/>
      </c>
      <c r="AS330" t="str">
        <f t="shared" si="42"/>
        <v/>
      </c>
    </row>
    <row r="331" spans="1:45" x14ac:dyDescent="0.3">
      <c r="A331" s="231"/>
      <c r="B331" s="235"/>
      <c r="C331" s="214"/>
      <c r="D331" s="214"/>
      <c r="E331" s="214"/>
      <c r="F331" s="214"/>
      <c r="G331" s="222"/>
      <c r="H331" s="221"/>
      <c r="I331" s="213"/>
      <c r="J331" s="213"/>
      <c r="K331" s="215"/>
      <c r="L331" s="216"/>
      <c r="M331" s="217"/>
      <c r="O331" s="241" t="str">
        <f>IF(Q331 = "", "", COUNT(Q$4:$Q331))</f>
        <v/>
      </c>
      <c r="P331" s="241" t="str">
        <f t="shared" si="44"/>
        <v/>
      </c>
      <c r="Q331" s="242" t="str">
        <f t="shared" si="45"/>
        <v/>
      </c>
      <c r="R331" s="243" t="str">
        <f t="shared" si="48"/>
        <v/>
      </c>
      <c r="S331" s="244" t="str">
        <f t="shared" si="46"/>
        <v/>
      </c>
      <c r="T331" s="245" t="str">
        <f t="shared" si="49"/>
        <v/>
      </c>
      <c r="U331" s="246" t="str">
        <f t="shared" si="47"/>
        <v/>
      </c>
      <c r="V331" s="8"/>
      <c r="AR331" t="str">
        <f t="shared" si="43"/>
        <v/>
      </c>
      <c r="AS331" t="str">
        <f t="shared" si="42"/>
        <v/>
      </c>
    </row>
    <row r="332" spans="1:45" x14ac:dyDescent="0.3">
      <c r="A332" s="231"/>
      <c r="B332" s="235"/>
      <c r="C332" s="214"/>
      <c r="D332" s="214"/>
      <c r="E332" s="214"/>
      <c r="F332" s="214"/>
      <c r="G332" s="222"/>
      <c r="H332" s="221"/>
      <c r="I332" s="213"/>
      <c r="J332" s="213"/>
      <c r="K332" s="215"/>
      <c r="L332" s="216"/>
      <c r="M332" s="217"/>
      <c r="O332" s="241" t="str">
        <f>IF(Q332 = "", "", COUNT(Q$4:$Q332))</f>
        <v/>
      </c>
      <c r="P332" s="241" t="str">
        <f t="shared" si="44"/>
        <v/>
      </c>
      <c r="Q332" s="242" t="str">
        <f t="shared" si="45"/>
        <v/>
      </c>
      <c r="R332" s="243" t="str">
        <f t="shared" si="48"/>
        <v/>
      </c>
      <c r="S332" s="244" t="str">
        <f t="shared" si="46"/>
        <v/>
      </c>
      <c r="T332" s="245" t="str">
        <f t="shared" si="49"/>
        <v/>
      </c>
      <c r="U332" s="246" t="str">
        <f t="shared" si="47"/>
        <v/>
      </c>
      <c r="V332" s="8"/>
      <c r="AR332" t="str">
        <f t="shared" si="43"/>
        <v/>
      </c>
      <c r="AS332" t="str">
        <f t="shared" si="42"/>
        <v/>
      </c>
    </row>
    <row r="333" spans="1:45" x14ac:dyDescent="0.3">
      <c r="A333" s="231"/>
      <c r="B333" s="235"/>
      <c r="C333" s="214"/>
      <c r="D333" s="214"/>
      <c r="E333" s="214"/>
      <c r="F333" s="214"/>
      <c r="G333" s="222"/>
      <c r="H333" s="221"/>
      <c r="I333" s="213"/>
      <c r="J333" s="213"/>
      <c r="K333" s="215"/>
      <c r="L333" s="216"/>
      <c r="M333" s="217"/>
      <c r="O333" s="241" t="str">
        <f>IF(Q333 = "", "", COUNT(Q$4:$Q333))</f>
        <v/>
      </c>
      <c r="P333" s="241" t="str">
        <f t="shared" si="44"/>
        <v/>
      </c>
      <c r="Q333" s="242" t="str">
        <f t="shared" si="45"/>
        <v/>
      </c>
      <c r="R333" s="243" t="str">
        <f t="shared" si="48"/>
        <v/>
      </c>
      <c r="S333" s="244" t="str">
        <f t="shared" si="46"/>
        <v/>
      </c>
      <c r="T333" s="245" t="str">
        <f t="shared" si="49"/>
        <v/>
      </c>
      <c r="U333" s="246" t="str">
        <f t="shared" si="47"/>
        <v/>
      </c>
      <c r="V333" s="8"/>
      <c r="AR333" t="str">
        <f t="shared" si="43"/>
        <v/>
      </c>
      <c r="AS333" t="str">
        <f t="shared" si="42"/>
        <v/>
      </c>
    </row>
    <row r="334" spans="1:45" x14ac:dyDescent="0.3">
      <c r="A334" s="231"/>
      <c r="B334" s="235"/>
      <c r="C334" s="214"/>
      <c r="D334" s="214"/>
      <c r="E334" s="214"/>
      <c r="F334" s="214"/>
      <c r="G334" s="222"/>
      <c r="H334" s="221"/>
      <c r="I334" s="213"/>
      <c r="J334" s="213"/>
      <c r="K334" s="215"/>
      <c r="L334" s="216"/>
      <c r="M334" s="217"/>
      <c r="O334" s="241" t="str">
        <f>IF(Q334 = "", "", COUNT(Q$4:$Q334))</f>
        <v/>
      </c>
      <c r="P334" s="241" t="str">
        <f t="shared" si="44"/>
        <v/>
      </c>
      <c r="Q334" s="242" t="str">
        <f t="shared" si="45"/>
        <v/>
      </c>
      <c r="R334" s="243" t="str">
        <f t="shared" si="48"/>
        <v/>
      </c>
      <c r="S334" s="244" t="str">
        <f t="shared" si="46"/>
        <v/>
      </c>
      <c r="T334" s="245" t="str">
        <f t="shared" si="49"/>
        <v/>
      </c>
      <c r="U334" s="246" t="str">
        <f t="shared" si="47"/>
        <v/>
      </c>
      <c r="V334" s="8"/>
      <c r="AR334" t="str">
        <f t="shared" si="43"/>
        <v/>
      </c>
      <c r="AS334" t="str">
        <f t="shared" si="42"/>
        <v/>
      </c>
    </row>
    <row r="335" spans="1:45" x14ac:dyDescent="0.3">
      <c r="A335" s="231"/>
      <c r="B335" s="235"/>
      <c r="C335" s="214"/>
      <c r="D335" s="214"/>
      <c r="E335" s="214"/>
      <c r="F335" s="214"/>
      <c r="G335" s="222"/>
      <c r="H335" s="221"/>
      <c r="I335" s="213"/>
      <c r="J335" s="213"/>
      <c r="K335" s="215"/>
      <c r="L335" s="216"/>
      <c r="M335" s="217"/>
      <c r="O335" s="241" t="str">
        <f>IF(Q335 = "", "", COUNT(Q$4:$Q335))</f>
        <v/>
      </c>
      <c r="P335" s="241" t="str">
        <f t="shared" si="44"/>
        <v/>
      </c>
      <c r="Q335" s="242" t="str">
        <f t="shared" si="45"/>
        <v/>
      </c>
      <c r="R335" s="243" t="str">
        <f t="shared" si="48"/>
        <v/>
      </c>
      <c r="S335" s="244" t="str">
        <f t="shared" si="46"/>
        <v/>
      </c>
      <c r="T335" s="245" t="str">
        <f t="shared" si="49"/>
        <v/>
      </c>
      <c r="U335" s="246" t="str">
        <f t="shared" si="47"/>
        <v/>
      </c>
      <c r="V335" s="8"/>
      <c r="AR335" t="str">
        <f t="shared" si="43"/>
        <v/>
      </c>
      <c r="AS335" t="str">
        <f t="shared" si="42"/>
        <v/>
      </c>
    </row>
    <row r="336" spans="1:45" x14ac:dyDescent="0.3">
      <c r="A336" s="231"/>
      <c r="B336" s="235"/>
      <c r="C336" s="214"/>
      <c r="D336" s="214"/>
      <c r="E336" s="214"/>
      <c r="F336" s="214"/>
      <c r="G336" s="222"/>
      <c r="H336" s="221"/>
      <c r="I336" s="213"/>
      <c r="J336" s="213"/>
      <c r="K336" s="215"/>
      <c r="L336" s="216"/>
      <c r="M336" s="217"/>
      <c r="O336" s="241" t="str">
        <f>IF(Q336 = "", "", COUNT(Q$4:$Q336))</f>
        <v/>
      </c>
      <c r="P336" s="241" t="str">
        <f t="shared" si="44"/>
        <v/>
      </c>
      <c r="Q336" s="242" t="str">
        <f t="shared" si="45"/>
        <v/>
      </c>
      <c r="R336" s="243" t="str">
        <f t="shared" si="48"/>
        <v/>
      </c>
      <c r="S336" s="244" t="str">
        <f t="shared" si="46"/>
        <v/>
      </c>
      <c r="T336" s="245" t="str">
        <f t="shared" si="49"/>
        <v/>
      </c>
      <c r="U336" s="246" t="str">
        <f t="shared" si="47"/>
        <v/>
      </c>
      <c r="V336" s="8"/>
      <c r="AR336" t="str">
        <f t="shared" si="43"/>
        <v/>
      </c>
      <c r="AS336" t="str">
        <f t="shared" si="42"/>
        <v/>
      </c>
    </row>
    <row r="337" spans="1:45" x14ac:dyDescent="0.3">
      <c r="A337" s="231"/>
      <c r="B337" s="235"/>
      <c r="C337" s="214"/>
      <c r="D337" s="214"/>
      <c r="E337" s="214"/>
      <c r="F337" s="214"/>
      <c r="G337" s="222"/>
      <c r="H337" s="221"/>
      <c r="I337" s="213"/>
      <c r="J337" s="213"/>
      <c r="K337" s="215"/>
      <c r="L337" s="216"/>
      <c r="M337" s="217"/>
      <c r="O337" s="241" t="str">
        <f>IF(Q337 = "", "", COUNT(Q$4:$Q337))</f>
        <v/>
      </c>
      <c r="P337" s="241" t="str">
        <f t="shared" si="44"/>
        <v/>
      </c>
      <c r="Q337" s="242" t="str">
        <f t="shared" si="45"/>
        <v/>
      </c>
      <c r="R337" s="243" t="str">
        <f t="shared" si="48"/>
        <v/>
      </c>
      <c r="S337" s="244" t="str">
        <f t="shared" si="46"/>
        <v/>
      </c>
      <c r="T337" s="245" t="str">
        <f t="shared" si="49"/>
        <v/>
      </c>
      <c r="U337" s="246" t="str">
        <f t="shared" si="47"/>
        <v/>
      </c>
      <c r="V337" s="8"/>
      <c r="AR337" t="str">
        <f t="shared" si="43"/>
        <v/>
      </c>
      <c r="AS337" t="str">
        <f t="shared" si="42"/>
        <v/>
      </c>
    </row>
    <row r="338" spans="1:45" x14ac:dyDescent="0.3">
      <c r="A338" s="231"/>
      <c r="B338" s="235"/>
      <c r="C338" s="214"/>
      <c r="D338" s="214"/>
      <c r="E338" s="214"/>
      <c r="F338" s="214"/>
      <c r="G338" s="222"/>
      <c r="H338" s="221"/>
      <c r="I338" s="213"/>
      <c r="J338" s="213"/>
      <c r="K338" s="215"/>
      <c r="L338" s="216"/>
      <c r="M338" s="217"/>
      <c r="O338" s="241" t="str">
        <f>IF(Q338 = "", "", COUNT(Q$4:$Q338))</f>
        <v/>
      </c>
      <c r="P338" s="241" t="str">
        <f t="shared" si="44"/>
        <v/>
      </c>
      <c r="Q338" s="242" t="str">
        <f t="shared" si="45"/>
        <v/>
      </c>
      <c r="R338" s="243" t="str">
        <f t="shared" si="48"/>
        <v/>
      </c>
      <c r="S338" s="244" t="str">
        <f t="shared" si="46"/>
        <v/>
      </c>
      <c r="T338" s="245" t="str">
        <f t="shared" si="49"/>
        <v/>
      </c>
      <c r="U338" s="246" t="str">
        <f t="shared" si="47"/>
        <v/>
      </c>
      <c r="V338" s="8"/>
      <c r="AR338" t="str">
        <f t="shared" si="43"/>
        <v/>
      </c>
      <c r="AS338" t="str">
        <f t="shared" si="42"/>
        <v/>
      </c>
    </row>
    <row r="339" spans="1:45" x14ac:dyDescent="0.3">
      <c r="A339" s="231"/>
      <c r="B339" s="235"/>
      <c r="C339" s="214"/>
      <c r="D339" s="214"/>
      <c r="E339" s="214"/>
      <c r="F339" s="214"/>
      <c r="G339" s="222"/>
      <c r="H339" s="221"/>
      <c r="I339" s="213"/>
      <c r="J339" s="213"/>
      <c r="K339" s="215"/>
      <c r="L339" s="216"/>
      <c r="M339" s="217"/>
      <c r="O339" s="241" t="str">
        <f>IF(Q339 = "", "", COUNT(Q$4:$Q339))</f>
        <v/>
      </c>
      <c r="P339" s="241" t="str">
        <f t="shared" si="44"/>
        <v/>
      </c>
      <c r="Q339" s="242" t="str">
        <f t="shared" si="45"/>
        <v/>
      </c>
      <c r="R339" s="243" t="str">
        <f t="shared" si="48"/>
        <v/>
      </c>
      <c r="S339" s="244" t="str">
        <f t="shared" si="46"/>
        <v/>
      </c>
      <c r="T339" s="245" t="str">
        <f t="shared" si="49"/>
        <v/>
      </c>
      <c r="U339" s="246" t="str">
        <f t="shared" si="47"/>
        <v/>
      </c>
      <c r="V339" s="8"/>
      <c r="AR339" t="str">
        <f t="shared" si="43"/>
        <v/>
      </c>
      <c r="AS339" t="str">
        <f t="shared" si="42"/>
        <v/>
      </c>
    </row>
    <row r="340" spans="1:45" x14ac:dyDescent="0.3">
      <c r="A340" s="231"/>
      <c r="B340" s="235"/>
      <c r="C340" s="214"/>
      <c r="D340" s="214"/>
      <c r="E340" s="214"/>
      <c r="F340" s="214"/>
      <c r="G340" s="222"/>
      <c r="H340" s="221"/>
      <c r="I340" s="213"/>
      <c r="J340" s="213"/>
      <c r="K340" s="215"/>
      <c r="L340" s="216"/>
      <c r="M340" s="217"/>
      <c r="O340" s="241" t="str">
        <f>IF(Q340 = "", "", COUNT(Q$4:$Q340))</f>
        <v/>
      </c>
      <c r="P340" s="241" t="str">
        <f t="shared" si="44"/>
        <v/>
      </c>
      <c r="Q340" s="242" t="str">
        <f t="shared" si="45"/>
        <v/>
      </c>
      <c r="R340" s="243" t="str">
        <f t="shared" si="48"/>
        <v/>
      </c>
      <c r="S340" s="244" t="str">
        <f t="shared" si="46"/>
        <v/>
      </c>
      <c r="T340" s="245" t="str">
        <f t="shared" si="49"/>
        <v/>
      </c>
      <c r="U340" s="246" t="str">
        <f t="shared" si="47"/>
        <v/>
      </c>
      <c r="V340" s="8"/>
      <c r="AR340" t="str">
        <f t="shared" si="43"/>
        <v/>
      </c>
      <c r="AS340" t="str">
        <f t="shared" si="42"/>
        <v/>
      </c>
    </row>
    <row r="341" spans="1:45" x14ac:dyDescent="0.3">
      <c r="A341" s="231"/>
      <c r="B341" s="235"/>
      <c r="C341" s="214"/>
      <c r="D341" s="214"/>
      <c r="E341" s="214"/>
      <c r="F341" s="214"/>
      <c r="G341" s="222"/>
      <c r="H341" s="221"/>
      <c r="I341" s="213"/>
      <c r="J341" s="213"/>
      <c r="K341" s="215"/>
      <c r="L341" s="216"/>
      <c r="M341" s="217"/>
      <c r="O341" s="241" t="str">
        <f>IF(Q341 = "", "", COUNT(Q$4:$Q341))</f>
        <v/>
      </c>
      <c r="P341" s="241" t="str">
        <f t="shared" si="44"/>
        <v/>
      </c>
      <c r="Q341" s="242" t="str">
        <f t="shared" si="45"/>
        <v/>
      </c>
      <c r="R341" s="243" t="str">
        <f t="shared" si="48"/>
        <v/>
      </c>
      <c r="S341" s="244" t="str">
        <f t="shared" si="46"/>
        <v/>
      </c>
      <c r="T341" s="245" t="str">
        <f t="shared" si="49"/>
        <v/>
      </c>
      <c r="U341" s="246" t="str">
        <f t="shared" si="47"/>
        <v/>
      </c>
      <c r="V341" s="8"/>
      <c r="AR341" t="str">
        <f t="shared" si="43"/>
        <v/>
      </c>
      <c r="AS341" t="str">
        <f t="shared" ref="AS341:AS404" si="50">IF(OR(L341="Y",M341="Y"),"Y","")</f>
        <v/>
      </c>
    </row>
    <row r="342" spans="1:45" x14ac:dyDescent="0.3">
      <c r="A342" s="231"/>
      <c r="B342" s="235"/>
      <c r="C342" s="214"/>
      <c r="D342" s="214"/>
      <c r="E342" s="214"/>
      <c r="F342" s="214"/>
      <c r="G342" s="222"/>
      <c r="H342" s="221"/>
      <c r="I342" s="213"/>
      <c r="J342" s="213"/>
      <c r="K342" s="215"/>
      <c r="L342" s="216"/>
      <c r="M342" s="217"/>
      <c r="O342" s="241" t="str">
        <f>IF(Q342 = "", "", COUNT(Q$4:$Q342))</f>
        <v/>
      </c>
      <c r="P342" s="241" t="str">
        <f t="shared" si="44"/>
        <v/>
      </c>
      <c r="Q342" s="242" t="str">
        <f t="shared" si="45"/>
        <v/>
      </c>
      <c r="R342" s="243" t="str">
        <f t="shared" si="48"/>
        <v/>
      </c>
      <c r="S342" s="244" t="str">
        <f t="shared" si="46"/>
        <v/>
      </c>
      <c r="T342" s="245" t="str">
        <f t="shared" si="49"/>
        <v/>
      </c>
      <c r="U342" s="246" t="str">
        <f t="shared" si="47"/>
        <v/>
      </c>
      <c r="V342" s="8"/>
      <c r="AR342" t="str">
        <f t="shared" ref="AR342:AR405" si="51">IF(O342&gt;0, O342, "")</f>
        <v/>
      </c>
      <c r="AS342" t="str">
        <f t="shared" si="50"/>
        <v/>
      </c>
    </row>
    <row r="343" spans="1:45" x14ac:dyDescent="0.3">
      <c r="A343" s="231"/>
      <c r="B343" s="235"/>
      <c r="C343" s="214"/>
      <c r="D343" s="214"/>
      <c r="E343" s="214"/>
      <c r="F343" s="214"/>
      <c r="G343" s="222"/>
      <c r="H343" s="221"/>
      <c r="I343" s="213"/>
      <c r="J343" s="213"/>
      <c r="K343" s="215"/>
      <c r="L343" s="216"/>
      <c r="M343" s="217"/>
      <c r="O343" s="241" t="str">
        <f>IF(Q343 = "", "", COUNT(Q$4:$Q343))</f>
        <v/>
      </c>
      <c r="P343" s="241" t="str">
        <f t="shared" si="44"/>
        <v/>
      </c>
      <c r="Q343" s="242" t="str">
        <f t="shared" si="45"/>
        <v/>
      </c>
      <c r="R343" s="243" t="str">
        <f t="shared" si="48"/>
        <v/>
      </c>
      <c r="S343" s="244" t="str">
        <f t="shared" si="46"/>
        <v/>
      </c>
      <c r="T343" s="245" t="str">
        <f t="shared" si="49"/>
        <v/>
      </c>
      <c r="U343" s="246" t="str">
        <f t="shared" si="47"/>
        <v/>
      </c>
      <c r="V343" s="8"/>
      <c r="AR343" t="str">
        <f t="shared" si="51"/>
        <v/>
      </c>
      <c r="AS343" t="str">
        <f t="shared" si="50"/>
        <v/>
      </c>
    </row>
    <row r="344" spans="1:45" x14ac:dyDescent="0.3">
      <c r="A344" s="231"/>
      <c r="B344" s="235"/>
      <c r="C344" s="214"/>
      <c r="D344" s="214"/>
      <c r="E344" s="214"/>
      <c r="F344" s="214"/>
      <c r="G344" s="222"/>
      <c r="H344" s="221"/>
      <c r="I344" s="213"/>
      <c r="J344" s="213"/>
      <c r="K344" s="215"/>
      <c r="L344" s="216"/>
      <c r="M344" s="217"/>
      <c r="O344" s="241" t="str">
        <f>IF(Q344 = "", "", COUNT(Q$4:$Q344))</f>
        <v/>
      </c>
      <c r="P344" s="241" t="str">
        <f t="shared" si="44"/>
        <v/>
      </c>
      <c r="Q344" s="242" t="str">
        <f t="shared" si="45"/>
        <v/>
      </c>
      <c r="R344" s="243" t="str">
        <f t="shared" si="48"/>
        <v/>
      </c>
      <c r="S344" s="244" t="str">
        <f t="shared" si="46"/>
        <v/>
      </c>
      <c r="T344" s="245" t="str">
        <f t="shared" si="49"/>
        <v/>
      </c>
      <c r="U344" s="246" t="str">
        <f t="shared" si="47"/>
        <v/>
      </c>
      <c r="V344" s="8"/>
      <c r="AR344" t="str">
        <f t="shared" si="51"/>
        <v/>
      </c>
      <c r="AS344" t="str">
        <f t="shared" si="50"/>
        <v/>
      </c>
    </row>
    <row r="345" spans="1:45" x14ac:dyDescent="0.3">
      <c r="A345" s="231"/>
      <c r="B345" s="235"/>
      <c r="C345" s="214"/>
      <c r="D345" s="214"/>
      <c r="E345" s="214"/>
      <c r="F345" s="214"/>
      <c r="G345" s="222"/>
      <c r="H345" s="221"/>
      <c r="I345" s="213"/>
      <c r="J345" s="213"/>
      <c r="K345" s="215"/>
      <c r="L345" s="216"/>
      <c r="M345" s="217"/>
      <c r="O345" s="241" t="str">
        <f>IF(Q345 = "", "", COUNT(Q$4:$Q345))</f>
        <v/>
      </c>
      <c r="P345" s="241" t="str">
        <f t="shared" si="44"/>
        <v/>
      </c>
      <c r="Q345" s="242" t="str">
        <f t="shared" si="45"/>
        <v/>
      </c>
      <c r="R345" s="243" t="str">
        <f t="shared" si="48"/>
        <v/>
      </c>
      <c r="S345" s="244" t="str">
        <f t="shared" si="46"/>
        <v/>
      </c>
      <c r="T345" s="245" t="str">
        <f t="shared" si="49"/>
        <v/>
      </c>
      <c r="U345" s="246" t="str">
        <f t="shared" si="47"/>
        <v/>
      </c>
      <c r="V345" s="8"/>
      <c r="AR345" t="str">
        <f t="shared" si="51"/>
        <v/>
      </c>
      <c r="AS345" t="str">
        <f t="shared" si="50"/>
        <v/>
      </c>
    </row>
    <row r="346" spans="1:45" x14ac:dyDescent="0.3">
      <c r="A346" s="231"/>
      <c r="B346" s="235"/>
      <c r="C346" s="214"/>
      <c r="D346" s="214"/>
      <c r="E346" s="214"/>
      <c r="F346" s="214"/>
      <c r="G346" s="222"/>
      <c r="H346" s="221"/>
      <c r="I346" s="213"/>
      <c r="J346" s="213"/>
      <c r="K346" s="215"/>
      <c r="L346" s="216"/>
      <c r="M346" s="217"/>
      <c r="O346" s="241" t="str">
        <f>IF(Q346 = "", "", COUNT(Q$4:$Q346))</f>
        <v/>
      </c>
      <c r="P346" s="241" t="str">
        <f t="shared" si="44"/>
        <v/>
      </c>
      <c r="Q346" s="242" t="str">
        <f t="shared" si="45"/>
        <v/>
      </c>
      <c r="R346" s="243" t="str">
        <f t="shared" si="48"/>
        <v/>
      </c>
      <c r="S346" s="244" t="str">
        <f t="shared" si="46"/>
        <v/>
      </c>
      <c r="T346" s="245" t="str">
        <f t="shared" si="49"/>
        <v/>
      </c>
      <c r="U346" s="246" t="str">
        <f t="shared" si="47"/>
        <v/>
      </c>
      <c r="V346" s="8"/>
      <c r="AR346" t="str">
        <f t="shared" si="51"/>
        <v/>
      </c>
      <c r="AS346" t="str">
        <f t="shared" si="50"/>
        <v/>
      </c>
    </row>
    <row r="347" spans="1:45" x14ac:dyDescent="0.3">
      <c r="A347" s="231"/>
      <c r="B347" s="235"/>
      <c r="C347" s="214"/>
      <c r="D347" s="214"/>
      <c r="E347" s="214"/>
      <c r="F347" s="214"/>
      <c r="G347" s="222"/>
      <c r="H347" s="221"/>
      <c r="I347" s="213"/>
      <c r="J347" s="213"/>
      <c r="K347" s="215"/>
      <c r="L347" s="216"/>
      <c r="M347" s="217"/>
      <c r="O347" s="241" t="str">
        <f>IF(Q347 = "", "", COUNT(Q$4:$Q347))</f>
        <v/>
      </c>
      <c r="P347" s="241" t="str">
        <f t="shared" si="44"/>
        <v/>
      </c>
      <c r="Q347" s="242" t="str">
        <f t="shared" si="45"/>
        <v/>
      </c>
      <c r="R347" s="243" t="str">
        <f t="shared" si="48"/>
        <v/>
      </c>
      <c r="S347" s="244" t="str">
        <f t="shared" si="46"/>
        <v/>
      </c>
      <c r="T347" s="245" t="str">
        <f t="shared" si="49"/>
        <v/>
      </c>
      <c r="U347" s="246" t="str">
        <f t="shared" si="47"/>
        <v/>
      </c>
      <c r="V347" s="8"/>
      <c r="AR347" t="str">
        <f t="shared" si="51"/>
        <v/>
      </c>
      <c r="AS347" t="str">
        <f t="shared" si="50"/>
        <v/>
      </c>
    </row>
    <row r="348" spans="1:45" x14ac:dyDescent="0.3">
      <c r="A348" s="231"/>
      <c r="B348" s="235"/>
      <c r="C348" s="214"/>
      <c r="D348" s="214"/>
      <c r="E348" s="214"/>
      <c r="F348" s="214"/>
      <c r="G348" s="222"/>
      <c r="H348" s="221"/>
      <c r="I348" s="213"/>
      <c r="J348" s="213"/>
      <c r="K348" s="215"/>
      <c r="L348" s="216"/>
      <c r="M348" s="217"/>
      <c r="O348" s="241" t="str">
        <f>IF(Q348 = "", "", COUNT(Q$4:$Q348))</f>
        <v/>
      </c>
      <c r="P348" s="241" t="str">
        <f t="shared" si="44"/>
        <v/>
      </c>
      <c r="Q348" s="242" t="str">
        <f t="shared" si="45"/>
        <v/>
      </c>
      <c r="R348" s="243" t="str">
        <f t="shared" si="48"/>
        <v/>
      </c>
      <c r="S348" s="244" t="str">
        <f t="shared" si="46"/>
        <v/>
      </c>
      <c r="T348" s="245" t="str">
        <f t="shared" si="49"/>
        <v/>
      </c>
      <c r="U348" s="246" t="str">
        <f t="shared" si="47"/>
        <v/>
      </c>
      <c r="V348" s="8"/>
      <c r="AR348" t="str">
        <f t="shared" si="51"/>
        <v/>
      </c>
      <c r="AS348" t="str">
        <f t="shared" si="50"/>
        <v/>
      </c>
    </row>
    <row r="349" spans="1:45" x14ac:dyDescent="0.3">
      <c r="A349" s="231"/>
      <c r="B349" s="235"/>
      <c r="C349" s="214"/>
      <c r="D349" s="214"/>
      <c r="E349" s="214"/>
      <c r="F349" s="214"/>
      <c r="G349" s="222"/>
      <c r="H349" s="221"/>
      <c r="I349" s="213"/>
      <c r="J349" s="213"/>
      <c r="K349" s="215"/>
      <c r="L349" s="216"/>
      <c r="M349" s="217"/>
      <c r="O349" s="241" t="str">
        <f>IF(Q349 = "", "", COUNT(Q$4:$Q349))</f>
        <v/>
      </c>
      <c r="P349" s="241" t="str">
        <f t="shared" si="44"/>
        <v/>
      </c>
      <c r="Q349" s="242" t="str">
        <f t="shared" si="45"/>
        <v/>
      </c>
      <c r="R349" s="243" t="str">
        <f t="shared" si="48"/>
        <v/>
      </c>
      <c r="S349" s="244" t="str">
        <f t="shared" si="46"/>
        <v/>
      </c>
      <c r="T349" s="245" t="str">
        <f t="shared" si="49"/>
        <v/>
      </c>
      <c r="U349" s="246" t="str">
        <f t="shared" si="47"/>
        <v/>
      </c>
      <c r="V349" s="8"/>
      <c r="AR349" t="str">
        <f t="shared" si="51"/>
        <v/>
      </c>
      <c r="AS349" t="str">
        <f t="shared" si="50"/>
        <v/>
      </c>
    </row>
    <row r="350" spans="1:45" x14ac:dyDescent="0.3">
      <c r="A350" s="231"/>
      <c r="B350" s="235"/>
      <c r="C350" s="214"/>
      <c r="D350" s="214"/>
      <c r="E350" s="214"/>
      <c r="F350" s="214"/>
      <c r="G350" s="222"/>
      <c r="H350" s="221"/>
      <c r="I350" s="213"/>
      <c r="J350" s="213"/>
      <c r="K350" s="215"/>
      <c r="L350" s="216"/>
      <c r="M350" s="217"/>
      <c r="O350" s="241" t="str">
        <f>IF(Q350 = "", "", COUNT(Q$4:$Q350))</f>
        <v/>
      </c>
      <c r="P350" s="241" t="str">
        <f t="shared" si="44"/>
        <v/>
      </c>
      <c r="Q350" s="242" t="str">
        <f t="shared" si="45"/>
        <v/>
      </c>
      <c r="R350" s="243" t="str">
        <f t="shared" si="48"/>
        <v/>
      </c>
      <c r="S350" s="244" t="str">
        <f t="shared" si="46"/>
        <v/>
      </c>
      <c r="T350" s="245" t="str">
        <f t="shared" si="49"/>
        <v/>
      </c>
      <c r="U350" s="246" t="str">
        <f t="shared" si="47"/>
        <v/>
      </c>
      <c r="V350" s="8"/>
      <c r="AR350" t="str">
        <f t="shared" si="51"/>
        <v/>
      </c>
      <c r="AS350" t="str">
        <f t="shared" si="50"/>
        <v/>
      </c>
    </row>
    <row r="351" spans="1:45" x14ac:dyDescent="0.3">
      <c r="A351" s="231"/>
      <c r="B351" s="235"/>
      <c r="C351" s="214"/>
      <c r="D351" s="214"/>
      <c r="E351" s="214"/>
      <c r="F351" s="214"/>
      <c r="G351" s="222"/>
      <c r="H351" s="221"/>
      <c r="I351" s="213"/>
      <c r="J351" s="213"/>
      <c r="K351" s="215"/>
      <c r="L351" s="216"/>
      <c r="M351" s="217"/>
      <c r="O351" s="241" t="str">
        <f>IF(Q351 = "", "", COUNT(Q$4:$Q351))</f>
        <v/>
      </c>
      <c r="P351" s="241" t="str">
        <f t="shared" si="44"/>
        <v/>
      </c>
      <c r="Q351" s="242" t="str">
        <f t="shared" si="45"/>
        <v/>
      </c>
      <c r="R351" s="243" t="str">
        <f t="shared" si="48"/>
        <v/>
      </c>
      <c r="S351" s="244" t="str">
        <f t="shared" si="46"/>
        <v/>
      </c>
      <c r="T351" s="245" t="str">
        <f t="shared" si="49"/>
        <v/>
      </c>
      <c r="U351" s="246" t="str">
        <f t="shared" si="47"/>
        <v/>
      </c>
      <c r="V351" s="8"/>
      <c r="AR351" t="str">
        <f t="shared" si="51"/>
        <v/>
      </c>
      <c r="AS351" t="str">
        <f t="shared" si="50"/>
        <v/>
      </c>
    </row>
    <row r="352" spans="1:45" x14ac:dyDescent="0.3">
      <c r="A352" s="231"/>
      <c r="B352" s="235"/>
      <c r="C352" s="214"/>
      <c r="D352" s="214"/>
      <c r="E352" s="214"/>
      <c r="F352" s="214"/>
      <c r="G352" s="222"/>
      <c r="H352" s="221"/>
      <c r="I352" s="213"/>
      <c r="J352" s="213"/>
      <c r="K352" s="215"/>
      <c r="L352" s="216"/>
      <c r="M352" s="217"/>
      <c r="O352" s="241" t="str">
        <f>IF(Q352 = "", "", COUNT(Q$4:$Q352))</f>
        <v/>
      </c>
      <c r="P352" s="241" t="str">
        <f t="shared" si="44"/>
        <v/>
      </c>
      <c r="Q352" s="242" t="str">
        <f t="shared" si="45"/>
        <v/>
      </c>
      <c r="R352" s="243" t="str">
        <f t="shared" si="48"/>
        <v/>
      </c>
      <c r="S352" s="244" t="str">
        <f t="shared" si="46"/>
        <v/>
      </c>
      <c r="T352" s="245" t="str">
        <f t="shared" si="49"/>
        <v/>
      </c>
      <c r="U352" s="246" t="str">
        <f t="shared" si="47"/>
        <v/>
      </c>
      <c r="V352" s="8"/>
      <c r="AR352" t="str">
        <f t="shared" si="51"/>
        <v/>
      </c>
      <c r="AS352" t="str">
        <f t="shared" si="50"/>
        <v/>
      </c>
    </row>
    <row r="353" spans="1:45" x14ac:dyDescent="0.3">
      <c r="A353" s="231"/>
      <c r="B353" s="235"/>
      <c r="C353" s="214"/>
      <c r="D353" s="214"/>
      <c r="E353" s="214"/>
      <c r="F353" s="214"/>
      <c r="G353" s="222"/>
      <c r="H353" s="221"/>
      <c r="I353" s="213"/>
      <c r="J353" s="213"/>
      <c r="K353" s="215"/>
      <c r="L353" s="216"/>
      <c r="M353" s="217"/>
      <c r="O353" s="241" t="str">
        <f>IF(Q353 = "", "", COUNT(Q$4:$Q353))</f>
        <v/>
      </c>
      <c r="P353" s="241" t="str">
        <f t="shared" si="44"/>
        <v/>
      </c>
      <c r="Q353" s="242" t="str">
        <f t="shared" si="45"/>
        <v/>
      </c>
      <c r="R353" s="243" t="str">
        <f t="shared" si="48"/>
        <v/>
      </c>
      <c r="S353" s="244" t="str">
        <f t="shared" si="46"/>
        <v/>
      </c>
      <c r="T353" s="245" t="str">
        <f t="shared" si="49"/>
        <v/>
      </c>
      <c r="U353" s="246" t="str">
        <f t="shared" si="47"/>
        <v/>
      </c>
      <c r="V353" s="8"/>
      <c r="AR353" t="str">
        <f t="shared" si="51"/>
        <v/>
      </c>
      <c r="AS353" t="str">
        <f t="shared" si="50"/>
        <v/>
      </c>
    </row>
    <row r="354" spans="1:45" x14ac:dyDescent="0.3">
      <c r="A354" s="231"/>
      <c r="B354" s="235"/>
      <c r="C354" s="214"/>
      <c r="D354" s="214"/>
      <c r="E354" s="214"/>
      <c r="F354" s="214"/>
      <c r="G354" s="222"/>
      <c r="H354" s="221"/>
      <c r="I354" s="213"/>
      <c r="J354" s="213"/>
      <c r="K354" s="215"/>
      <c r="L354" s="216"/>
      <c r="M354" s="217"/>
      <c r="O354" s="241" t="str">
        <f>IF(Q354 = "", "", COUNT(Q$4:$Q354))</f>
        <v/>
      </c>
      <c r="P354" s="241" t="str">
        <f t="shared" si="44"/>
        <v/>
      </c>
      <c r="Q354" s="242" t="str">
        <f t="shared" si="45"/>
        <v/>
      </c>
      <c r="R354" s="243" t="str">
        <f t="shared" si="48"/>
        <v/>
      </c>
      <c r="S354" s="244" t="str">
        <f t="shared" si="46"/>
        <v/>
      </c>
      <c r="T354" s="245" t="str">
        <f t="shared" si="49"/>
        <v/>
      </c>
      <c r="U354" s="246" t="str">
        <f t="shared" si="47"/>
        <v/>
      </c>
      <c r="V354" s="8"/>
      <c r="AR354" t="str">
        <f t="shared" si="51"/>
        <v/>
      </c>
      <c r="AS354" t="str">
        <f t="shared" si="50"/>
        <v/>
      </c>
    </row>
    <row r="355" spans="1:45" x14ac:dyDescent="0.3">
      <c r="A355" s="231"/>
      <c r="B355" s="235"/>
      <c r="C355" s="214"/>
      <c r="D355" s="214"/>
      <c r="E355" s="214"/>
      <c r="F355" s="214"/>
      <c r="G355" s="222"/>
      <c r="H355" s="221"/>
      <c r="I355" s="213"/>
      <c r="J355" s="213"/>
      <c r="K355" s="215"/>
      <c r="L355" s="216"/>
      <c r="M355" s="217"/>
      <c r="O355" s="241" t="str">
        <f>IF(Q355 = "", "", COUNT(Q$4:$Q355))</f>
        <v/>
      </c>
      <c r="P355" s="241" t="str">
        <f t="shared" si="44"/>
        <v/>
      </c>
      <c r="Q355" s="242" t="str">
        <f t="shared" si="45"/>
        <v/>
      </c>
      <c r="R355" s="243" t="str">
        <f t="shared" si="48"/>
        <v/>
      </c>
      <c r="S355" s="244" t="str">
        <f t="shared" si="46"/>
        <v/>
      </c>
      <c r="T355" s="245" t="str">
        <f t="shared" si="49"/>
        <v/>
      </c>
      <c r="U355" s="246" t="str">
        <f t="shared" si="47"/>
        <v/>
      </c>
      <c r="V355" s="8"/>
      <c r="AR355" t="str">
        <f t="shared" si="51"/>
        <v/>
      </c>
      <c r="AS355" t="str">
        <f t="shared" si="50"/>
        <v/>
      </c>
    </row>
    <row r="356" spans="1:45" x14ac:dyDescent="0.3">
      <c r="A356" s="231"/>
      <c r="B356" s="235"/>
      <c r="C356" s="214"/>
      <c r="D356" s="214"/>
      <c r="E356" s="214"/>
      <c r="F356" s="214"/>
      <c r="G356" s="222"/>
      <c r="H356" s="221"/>
      <c r="I356" s="213"/>
      <c r="J356" s="213"/>
      <c r="K356" s="215"/>
      <c r="L356" s="216"/>
      <c r="M356" s="217"/>
      <c r="O356" s="241" t="str">
        <f>IF(Q356 = "", "", COUNT(Q$4:$Q356))</f>
        <v/>
      </c>
      <c r="P356" s="241" t="str">
        <f t="shared" si="44"/>
        <v/>
      </c>
      <c r="Q356" s="242" t="str">
        <f t="shared" si="45"/>
        <v/>
      </c>
      <c r="R356" s="243" t="str">
        <f t="shared" si="48"/>
        <v/>
      </c>
      <c r="S356" s="244" t="str">
        <f t="shared" si="46"/>
        <v/>
      </c>
      <c r="T356" s="245" t="str">
        <f t="shared" si="49"/>
        <v/>
      </c>
      <c r="U356" s="246" t="str">
        <f t="shared" si="47"/>
        <v/>
      </c>
      <c r="V356" s="8"/>
      <c r="AR356" t="str">
        <f t="shared" si="51"/>
        <v/>
      </c>
      <c r="AS356" t="str">
        <f t="shared" si="50"/>
        <v/>
      </c>
    </row>
    <row r="357" spans="1:45" x14ac:dyDescent="0.3">
      <c r="A357" s="231"/>
      <c r="B357" s="235"/>
      <c r="C357" s="214"/>
      <c r="D357" s="214"/>
      <c r="E357" s="214"/>
      <c r="F357" s="214"/>
      <c r="G357" s="222"/>
      <c r="H357" s="221"/>
      <c r="I357" s="213"/>
      <c r="J357" s="213"/>
      <c r="K357" s="215"/>
      <c r="L357" s="216"/>
      <c r="M357" s="217"/>
      <c r="O357" s="241" t="str">
        <f>IF(Q357 = "", "", COUNT(Q$4:$Q357))</f>
        <v/>
      </c>
      <c r="P357" s="241" t="str">
        <f t="shared" si="44"/>
        <v/>
      </c>
      <c r="Q357" s="242" t="str">
        <f t="shared" si="45"/>
        <v/>
      </c>
      <c r="R357" s="243" t="str">
        <f t="shared" si="48"/>
        <v/>
      </c>
      <c r="S357" s="244" t="str">
        <f t="shared" si="46"/>
        <v/>
      </c>
      <c r="T357" s="245" t="str">
        <f t="shared" si="49"/>
        <v/>
      </c>
      <c r="U357" s="246" t="str">
        <f t="shared" si="47"/>
        <v/>
      </c>
      <c r="V357" s="8"/>
      <c r="AR357" t="str">
        <f t="shared" si="51"/>
        <v/>
      </c>
      <c r="AS357" t="str">
        <f t="shared" si="50"/>
        <v/>
      </c>
    </row>
    <row r="358" spans="1:45" x14ac:dyDescent="0.3">
      <c r="A358" s="231"/>
      <c r="B358" s="235"/>
      <c r="C358" s="214"/>
      <c r="D358" s="214"/>
      <c r="E358" s="214"/>
      <c r="F358" s="214"/>
      <c r="G358" s="222"/>
      <c r="H358" s="221"/>
      <c r="I358" s="213"/>
      <c r="J358" s="213"/>
      <c r="K358" s="215"/>
      <c r="L358" s="216"/>
      <c r="M358" s="217"/>
      <c r="O358" s="241" t="str">
        <f>IF(Q358 = "", "", COUNT(Q$4:$Q358))</f>
        <v/>
      </c>
      <c r="P358" s="241" t="str">
        <f t="shared" si="44"/>
        <v/>
      </c>
      <c r="Q358" s="242" t="str">
        <f t="shared" si="45"/>
        <v/>
      </c>
      <c r="R358" s="243" t="str">
        <f t="shared" si="48"/>
        <v/>
      </c>
      <c r="S358" s="244" t="str">
        <f t="shared" si="46"/>
        <v/>
      </c>
      <c r="T358" s="245" t="str">
        <f t="shared" si="49"/>
        <v/>
      </c>
      <c r="U358" s="246" t="str">
        <f t="shared" si="47"/>
        <v/>
      </c>
      <c r="V358" s="8"/>
      <c r="AR358" t="str">
        <f t="shared" si="51"/>
        <v/>
      </c>
      <c r="AS358" t="str">
        <f t="shared" si="50"/>
        <v/>
      </c>
    </row>
    <row r="359" spans="1:45" x14ac:dyDescent="0.3">
      <c r="A359" s="231"/>
      <c r="B359" s="235"/>
      <c r="C359" s="214"/>
      <c r="D359" s="214"/>
      <c r="E359" s="214"/>
      <c r="F359" s="214"/>
      <c r="G359" s="222"/>
      <c r="H359" s="221"/>
      <c r="I359" s="213"/>
      <c r="J359" s="213"/>
      <c r="K359" s="215"/>
      <c r="L359" s="216"/>
      <c r="M359" s="217"/>
      <c r="O359" s="241" t="str">
        <f>IF(Q359 = "", "", COUNT(Q$4:$Q359))</f>
        <v/>
      </c>
      <c r="P359" s="241" t="str">
        <f t="shared" si="44"/>
        <v/>
      </c>
      <c r="Q359" s="242" t="str">
        <f t="shared" si="45"/>
        <v/>
      </c>
      <c r="R359" s="243" t="str">
        <f t="shared" si="48"/>
        <v/>
      </c>
      <c r="S359" s="244" t="str">
        <f t="shared" si="46"/>
        <v/>
      </c>
      <c r="T359" s="245" t="str">
        <f t="shared" si="49"/>
        <v/>
      </c>
      <c r="U359" s="246" t="str">
        <f t="shared" si="47"/>
        <v/>
      </c>
      <c r="V359" s="8"/>
      <c r="AR359" t="str">
        <f t="shared" si="51"/>
        <v/>
      </c>
      <c r="AS359" t="str">
        <f t="shared" si="50"/>
        <v/>
      </c>
    </row>
    <row r="360" spans="1:45" x14ac:dyDescent="0.3">
      <c r="A360" s="231"/>
      <c r="B360" s="235"/>
      <c r="C360" s="214"/>
      <c r="D360" s="214"/>
      <c r="E360" s="214"/>
      <c r="F360" s="214"/>
      <c r="G360" s="222"/>
      <c r="H360" s="221"/>
      <c r="I360" s="213"/>
      <c r="J360" s="213"/>
      <c r="K360" s="215"/>
      <c r="L360" s="216"/>
      <c r="M360" s="217"/>
      <c r="O360" s="241" t="str">
        <f>IF(Q360 = "", "", COUNT(Q$4:$Q360))</f>
        <v/>
      </c>
      <c r="P360" s="241" t="str">
        <f t="shared" si="44"/>
        <v/>
      </c>
      <c r="Q360" s="242" t="str">
        <f t="shared" si="45"/>
        <v/>
      </c>
      <c r="R360" s="243" t="str">
        <f t="shared" si="48"/>
        <v/>
      </c>
      <c r="S360" s="244" t="str">
        <f t="shared" si="46"/>
        <v/>
      </c>
      <c r="T360" s="245" t="str">
        <f t="shared" si="49"/>
        <v/>
      </c>
      <c r="U360" s="246" t="str">
        <f t="shared" si="47"/>
        <v/>
      </c>
      <c r="V360" s="8"/>
      <c r="AR360" t="str">
        <f t="shared" si="51"/>
        <v/>
      </c>
      <c r="AS360" t="str">
        <f t="shared" si="50"/>
        <v/>
      </c>
    </row>
    <row r="361" spans="1:45" x14ac:dyDescent="0.3">
      <c r="A361" s="231"/>
      <c r="B361" s="235"/>
      <c r="C361" s="214"/>
      <c r="D361" s="214"/>
      <c r="E361" s="214"/>
      <c r="F361" s="214"/>
      <c r="G361" s="222"/>
      <c r="H361" s="221"/>
      <c r="I361" s="213"/>
      <c r="J361" s="213"/>
      <c r="K361" s="215"/>
      <c r="L361" s="216"/>
      <c r="M361" s="217"/>
      <c r="O361" s="241" t="str">
        <f>IF(Q361 = "", "", COUNT(Q$4:$Q361))</f>
        <v/>
      </c>
      <c r="P361" s="241" t="str">
        <f t="shared" si="44"/>
        <v/>
      </c>
      <c r="Q361" s="242" t="str">
        <f t="shared" si="45"/>
        <v/>
      </c>
      <c r="R361" s="243" t="str">
        <f t="shared" si="48"/>
        <v/>
      </c>
      <c r="S361" s="244" t="str">
        <f t="shared" si="46"/>
        <v/>
      </c>
      <c r="T361" s="245" t="str">
        <f t="shared" si="49"/>
        <v/>
      </c>
      <c r="U361" s="246" t="str">
        <f t="shared" si="47"/>
        <v/>
      </c>
      <c r="V361" s="8"/>
      <c r="AR361" t="str">
        <f t="shared" si="51"/>
        <v/>
      </c>
      <c r="AS361" t="str">
        <f t="shared" si="50"/>
        <v/>
      </c>
    </row>
    <row r="362" spans="1:45" x14ac:dyDescent="0.3">
      <c r="A362" s="231"/>
      <c r="B362" s="235"/>
      <c r="C362" s="214"/>
      <c r="D362" s="214"/>
      <c r="E362" s="214"/>
      <c r="F362" s="214"/>
      <c r="G362" s="222"/>
      <c r="H362" s="221"/>
      <c r="I362" s="213"/>
      <c r="J362" s="213"/>
      <c r="K362" s="215"/>
      <c r="L362" s="216"/>
      <c r="M362" s="217"/>
      <c r="O362" s="241" t="str">
        <f>IF(Q362 = "", "", COUNT(Q$4:$Q362))</f>
        <v/>
      </c>
      <c r="P362" s="241" t="str">
        <f t="shared" si="44"/>
        <v/>
      </c>
      <c r="Q362" s="242" t="str">
        <f t="shared" si="45"/>
        <v/>
      </c>
      <c r="R362" s="243" t="str">
        <f t="shared" si="48"/>
        <v/>
      </c>
      <c r="S362" s="244" t="str">
        <f t="shared" si="46"/>
        <v/>
      </c>
      <c r="T362" s="245" t="str">
        <f t="shared" si="49"/>
        <v/>
      </c>
      <c r="U362" s="246" t="str">
        <f t="shared" si="47"/>
        <v/>
      </c>
      <c r="V362" s="8"/>
      <c r="AR362" t="str">
        <f t="shared" si="51"/>
        <v/>
      </c>
      <c r="AS362" t="str">
        <f t="shared" si="50"/>
        <v/>
      </c>
    </row>
    <row r="363" spans="1:45" x14ac:dyDescent="0.3">
      <c r="A363" s="231"/>
      <c r="B363" s="235"/>
      <c r="C363" s="214"/>
      <c r="D363" s="214"/>
      <c r="E363" s="214"/>
      <c r="F363" s="214"/>
      <c r="G363" s="222"/>
      <c r="H363" s="221"/>
      <c r="I363" s="213"/>
      <c r="J363" s="213"/>
      <c r="K363" s="215"/>
      <c r="L363" s="216"/>
      <c r="M363" s="217"/>
      <c r="O363" s="241" t="str">
        <f>IF(Q363 = "", "", COUNT(Q$4:$Q363))</f>
        <v/>
      </c>
      <c r="P363" s="241" t="str">
        <f t="shared" si="44"/>
        <v/>
      </c>
      <c r="Q363" s="242" t="str">
        <f t="shared" si="45"/>
        <v/>
      </c>
      <c r="R363" s="243" t="str">
        <f t="shared" si="48"/>
        <v/>
      </c>
      <c r="S363" s="244" t="str">
        <f t="shared" si="46"/>
        <v/>
      </c>
      <c r="T363" s="245" t="str">
        <f t="shared" si="49"/>
        <v/>
      </c>
      <c r="U363" s="246" t="str">
        <f t="shared" si="47"/>
        <v/>
      </c>
      <c r="V363" s="8"/>
      <c r="AR363" t="str">
        <f t="shared" si="51"/>
        <v/>
      </c>
      <c r="AS363" t="str">
        <f t="shared" si="50"/>
        <v/>
      </c>
    </row>
    <row r="364" spans="1:45" x14ac:dyDescent="0.3">
      <c r="A364" s="231"/>
      <c r="B364" s="235"/>
      <c r="C364" s="214"/>
      <c r="D364" s="214"/>
      <c r="E364" s="214"/>
      <c r="F364" s="214"/>
      <c r="G364" s="222"/>
      <c r="H364" s="221"/>
      <c r="I364" s="213"/>
      <c r="J364" s="213"/>
      <c r="K364" s="215"/>
      <c r="L364" s="216"/>
      <c r="M364" s="217"/>
      <c r="O364" s="241" t="str">
        <f>IF(Q364 = "", "", COUNT(Q$4:$Q364))</f>
        <v/>
      </c>
      <c r="P364" s="241" t="str">
        <f t="shared" si="44"/>
        <v/>
      </c>
      <c r="Q364" s="242" t="str">
        <f t="shared" si="45"/>
        <v/>
      </c>
      <c r="R364" s="243" t="str">
        <f t="shared" si="48"/>
        <v/>
      </c>
      <c r="S364" s="244" t="str">
        <f t="shared" si="46"/>
        <v/>
      </c>
      <c r="T364" s="245" t="str">
        <f t="shared" si="49"/>
        <v/>
      </c>
      <c r="U364" s="246" t="str">
        <f t="shared" si="47"/>
        <v/>
      </c>
      <c r="V364" s="8"/>
      <c r="AR364" t="str">
        <f t="shared" si="51"/>
        <v/>
      </c>
      <c r="AS364" t="str">
        <f t="shared" si="50"/>
        <v/>
      </c>
    </row>
    <row r="365" spans="1:45" x14ac:dyDescent="0.3">
      <c r="A365" s="231"/>
      <c r="B365" s="235"/>
      <c r="C365" s="214"/>
      <c r="D365" s="214"/>
      <c r="E365" s="214"/>
      <c r="F365" s="214"/>
      <c r="G365" s="222"/>
      <c r="H365" s="221"/>
      <c r="I365" s="213"/>
      <c r="J365" s="213"/>
      <c r="K365" s="215"/>
      <c r="L365" s="216"/>
      <c r="M365" s="217"/>
      <c r="O365" s="241" t="str">
        <f>IF(Q365 = "", "", COUNT(Q$4:$Q365))</f>
        <v/>
      </c>
      <c r="P365" s="241" t="str">
        <f t="shared" si="44"/>
        <v/>
      </c>
      <c r="Q365" s="242" t="str">
        <f t="shared" si="45"/>
        <v/>
      </c>
      <c r="R365" s="243" t="str">
        <f t="shared" si="48"/>
        <v/>
      </c>
      <c r="S365" s="244" t="str">
        <f t="shared" si="46"/>
        <v/>
      </c>
      <c r="T365" s="245" t="str">
        <f t="shared" si="49"/>
        <v/>
      </c>
      <c r="U365" s="246" t="str">
        <f t="shared" si="47"/>
        <v/>
      </c>
      <c r="V365" s="8"/>
      <c r="AR365" t="str">
        <f t="shared" si="51"/>
        <v/>
      </c>
      <c r="AS365" t="str">
        <f t="shared" si="50"/>
        <v/>
      </c>
    </row>
    <row r="366" spans="1:45" x14ac:dyDescent="0.3">
      <c r="A366" s="231"/>
      <c r="B366" s="235"/>
      <c r="C366" s="214"/>
      <c r="D366" s="214"/>
      <c r="E366" s="214"/>
      <c r="F366" s="214"/>
      <c r="G366" s="222"/>
      <c r="H366" s="221"/>
      <c r="I366" s="213"/>
      <c r="J366" s="213"/>
      <c r="K366" s="215"/>
      <c r="L366" s="216"/>
      <c r="M366" s="217"/>
      <c r="O366" s="241" t="str">
        <f>IF(Q366 = "", "", COUNT(Q$4:$Q366))</f>
        <v/>
      </c>
      <c r="P366" s="241" t="str">
        <f t="shared" si="44"/>
        <v/>
      </c>
      <c r="Q366" s="242" t="str">
        <f t="shared" si="45"/>
        <v/>
      </c>
      <c r="R366" s="243" t="str">
        <f t="shared" si="48"/>
        <v/>
      </c>
      <c r="S366" s="244" t="str">
        <f t="shared" si="46"/>
        <v/>
      </c>
      <c r="T366" s="245" t="str">
        <f t="shared" si="49"/>
        <v/>
      </c>
      <c r="U366" s="246" t="str">
        <f t="shared" si="47"/>
        <v/>
      </c>
      <c r="V366" s="8"/>
      <c r="AR366" t="str">
        <f t="shared" si="51"/>
        <v/>
      </c>
      <c r="AS366" t="str">
        <f t="shared" si="50"/>
        <v/>
      </c>
    </row>
    <row r="367" spans="1:45" x14ac:dyDescent="0.3">
      <c r="A367" s="231"/>
      <c r="B367" s="235"/>
      <c r="C367" s="214"/>
      <c r="D367" s="214"/>
      <c r="E367" s="214"/>
      <c r="F367" s="214"/>
      <c r="G367" s="222"/>
      <c r="H367" s="221"/>
      <c r="I367" s="213"/>
      <c r="J367" s="213"/>
      <c r="K367" s="215"/>
      <c r="L367" s="216"/>
      <c r="M367" s="217"/>
      <c r="O367" s="241" t="str">
        <f>IF(Q367 = "", "", COUNT(Q$4:$Q367))</f>
        <v/>
      </c>
      <c r="P367" s="241" t="str">
        <f t="shared" si="44"/>
        <v/>
      </c>
      <c r="Q367" s="242" t="str">
        <f t="shared" si="45"/>
        <v/>
      </c>
      <c r="R367" s="243" t="str">
        <f t="shared" si="48"/>
        <v/>
      </c>
      <c r="S367" s="244" t="str">
        <f t="shared" si="46"/>
        <v/>
      </c>
      <c r="T367" s="245" t="str">
        <f t="shared" si="49"/>
        <v/>
      </c>
      <c r="U367" s="246" t="str">
        <f t="shared" si="47"/>
        <v/>
      </c>
      <c r="V367" s="8"/>
      <c r="AR367" t="str">
        <f t="shared" si="51"/>
        <v/>
      </c>
      <c r="AS367" t="str">
        <f t="shared" si="50"/>
        <v/>
      </c>
    </row>
    <row r="368" spans="1:45" x14ac:dyDescent="0.3">
      <c r="A368" s="231"/>
      <c r="B368" s="235"/>
      <c r="C368" s="214"/>
      <c r="D368" s="214"/>
      <c r="E368" s="214"/>
      <c r="F368" s="214"/>
      <c r="G368" s="222"/>
      <c r="H368" s="221"/>
      <c r="I368" s="213"/>
      <c r="J368" s="213"/>
      <c r="K368" s="215"/>
      <c r="L368" s="216"/>
      <c r="M368" s="217"/>
      <c r="O368" s="241" t="str">
        <f>IF(Q368 = "", "", COUNT(Q$4:$Q368))</f>
        <v/>
      </c>
      <c r="P368" s="241" t="str">
        <f t="shared" si="44"/>
        <v/>
      </c>
      <c r="Q368" s="242" t="str">
        <f t="shared" si="45"/>
        <v/>
      </c>
      <c r="R368" s="243" t="str">
        <f t="shared" si="48"/>
        <v/>
      </c>
      <c r="S368" s="244" t="str">
        <f t="shared" si="46"/>
        <v/>
      </c>
      <c r="T368" s="245" t="str">
        <f t="shared" si="49"/>
        <v/>
      </c>
      <c r="U368" s="246" t="str">
        <f t="shared" si="47"/>
        <v/>
      </c>
      <c r="V368" s="8"/>
      <c r="AR368" t="str">
        <f t="shared" si="51"/>
        <v/>
      </c>
      <c r="AS368" t="str">
        <f t="shared" si="50"/>
        <v/>
      </c>
    </row>
    <row r="369" spans="1:45" x14ac:dyDescent="0.3">
      <c r="A369" s="231"/>
      <c r="B369" s="235"/>
      <c r="C369" s="214"/>
      <c r="D369" s="214"/>
      <c r="E369" s="214"/>
      <c r="F369" s="214"/>
      <c r="G369" s="222"/>
      <c r="H369" s="221"/>
      <c r="I369" s="213"/>
      <c r="J369" s="213"/>
      <c r="K369" s="215"/>
      <c r="L369" s="216"/>
      <c r="M369" s="217"/>
      <c r="O369" s="241" t="str">
        <f>IF(Q369 = "", "", COUNT(Q$4:$Q369))</f>
        <v/>
      </c>
      <c r="P369" s="241" t="str">
        <f t="shared" si="44"/>
        <v/>
      </c>
      <c r="Q369" s="242" t="str">
        <f t="shared" si="45"/>
        <v/>
      </c>
      <c r="R369" s="243" t="str">
        <f t="shared" si="48"/>
        <v/>
      </c>
      <c r="S369" s="244" t="str">
        <f t="shared" si="46"/>
        <v/>
      </c>
      <c r="T369" s="245" t="str">
        <f t="shared" si="49"/>
        <v/>
      </c>
      <c r="U369" s="246" t="str">
        <f t="shared" si="47"/>
        <v/>
      </c>
      <c r="V369" s="8"/>
      <c r="AR369" t="str">
        <f t="shared" si="51"/>
        <v/>
      </c>
      <c r="AS369" t="str">
        <f t="shared" si="50"/>
        <v/>
      </c>
    </row>
    <row r="370" spans="1:45" x14ac:dyDescent="0.3">
      <c r="A370" s="231"/>
      <c r="B370" s="235"/>
      <c r="C370" s="214"/>
      <c r="D370" s="214"/>
      <c r="E370" s="214"/>
      <c r="F370" s="214"/>
      <c r="G370" s="222"/>
      <c r="H370" s="221"/>
      <c r="I370" s="213"/>
      <c r="J370" s="213"/>
      <c r="K370" s="215"/>
      <c r="L370" s="216"/>
      <c r="M370" s="217"/>
      <c r="O370" s="241" t="str">
        <f>IF(Q370 = "", "", COUNT(Q$4:$Q370))</f>
        <v/>
      </c>
      <c r="P370" s="241" t="str">
        <f t="shared" si="44"/>
        <v/>
      </c>
      <c r="Q370" s="242" t="str">
        <f t="shared" si="45"/>
        <v/>
      </c>
      <c r="R370" s="243" t="str">
        <f t="shared" si="48"/>
        <v/>
      </c>
      <c r="S370" s="244" t="str">
        <f t="shared" si="46"/>
        <v/>
      </c>
      <c r="T370" s="245" t="str">
        <f t="shared" si="49"/>
        <v/>
      </c>
      <c r="U370" s="246" t="str">
        <f t="shared" si="47"/>
        <v/>
      </c>
      <c r="V370" s="8"/>
      <c r="AR370" t="str">
        <f t="shared" si="51"/>
        <v/>
      </c>
      <c r="AS370" t="str">
        <f t="shared" si="50"/>
        <v/>
      </c>
    </row>
    <row r="371" spans="1:45" x14ac:dyDescent="0.3">
      <c r="A371" s="231"/>
      <c r="B371" s="235"/>
      <c r="C371" s="214"/>
      <c r="D371" s="214"/>
      <c r="E371" s="214"/>
      <c r="F371" s="214"/>
      <c r="G371" s="222"/>
      <c r="H371" s="221"/>
      <c r="I371" s="213"/>
      <c r="J371" s="213"/>
      <c r="K371" s="215"/>
      <c r="L371" s="216"/>
      <c r="M371" s="217"/>
      <c r="O371" s="241" t="str">
        <f>IF(Q371 = "", "", COUNT(Q$4:$Q371))</f>
        <v/>
      </c>
      <c r="P371" s="241" t="str">
        <f t="shared" si="44"/>
        <v/>
      </c>
      <c r="Q371" s="242" t="str">
        <f t="shared" si="45"/>
        <v/>
      </c>
      <c r="R371" s="243" t="str">
        <f t="shared" si="48"/>
        <v/>
      </c>
      <c r="S371" s="244" t="str">
        <f t="shared" si="46"/>
        <v/>
      </c>
      <c r="T371" s="245" t="str">
        <f t="shared" si="49"/>
        <v/>
      </c>
      <c r="U371" s="246" t="str">
        <f t="shared" si="47"/>
        <v/>
      </c>
      <c r="V371" s="8"/>
      <c r="AR371" t="str">
        <f t="shared" si="51"/>
        <v/>
      </c>
      <c r="AS371" t="str">
        <f t="shared" si="50"/>
        <v/>
      </c>
    </row>
    <row r="372" spans="1:45" x14ac:dyDescent="0.3">
      <c r="A372" s="231"/>
      <c r="B372" s="235"/>
      <c r="C372" s="214"/>
      <c r="D372" s="214"/>
      <c r="E372" s="214"/>
      <c r="F372" s="214"/>
      <c r="G372" s="222"/>
      <c r="H372" s="221"/>
      <c r="I372" s="213"/>
      <c r="J372" s="213"/>
      <c r="K372" s="215"/>
      <c r="L372" s="216"/>
      <c r="M372" s="217"/>
      <c r="O372" s="241" t="str">
        <f>IF(Q372 = "", "", COUNT(Q$4:$Q372))</f>
        <v/>
      </c>
      <c r="P372" s="241" t="str">
        <f t="shared" si="44"/>
        <v/>
      </c>
      <c r="Q372" s="242" t="str">
        <f t="shared" si="45"/>
        <v/>
      </c>
      <c r="R372" s="243" t="str">
        <f t="shared" si="48"/>
        <v/>
      </c>
      <c r="S372" s="244" t="str">
        <f t="shared" si="46"/>
        <v/>
      </c>
      <c r="T372" s="245" t="str">
        <f t="shared" si="49"/>
        <v/>
      </c>
      <c r="U372" s="246" t="str">
        <f t="shared" si="47"/>
        <v/>
      </c>
      <c r="V372" s="8"/>
      <c r="AR372" t="str">
        <f t="shared" si="51"/>
        <v/>
      </c>
      <c r="AS372" t="str">
        <f t="shared" si="50"/>
        <v/>
      </c>
    </row>
    <row r="373" spans="1:45" x14ac:dyDescent="0.3">
      <c r="A373" s="231"/>
      <c r="B373" s="235"/>
      <c r="C373" s="214"/>
      <c r="D373" s="214"/>
      <c r="E373" s="214"/>
      <c r="F373" s="214"/>
      <c r="G373" s="222"/>
      <c r="H373" s="221"/>
      <c r="I373" s="213"/>
      <c r="J373" s="213"/>
      <c r="K373" s="215"/>
      <c r="L373" s="216"/>
      <c r="M373" s="217"/>
      <c r="O373" s="241" t="str">
        <f>IF(Q373 = "", "", COUNT(Q$4:$Q373))</f>
        <v/>
      </c>
      <c r="P373" s="241" t="str">
        <f t="shared" si="44"/>
        <v/>
      </c>
      <c r="Q373" s="242" t="str">
        <f t="shared" si="45"/>
        <v/>
      </c>
      <c r="R373" s="243" t="str">
        <f t="shared" si="48"/>
        <v/>
      </c>
      <c r="S373" s="244" t="str">
        <f t="shared" si="46"/>
        <v/>
      </c>
      <c r="T373" s="245" t="str">
        <f t="shared" si="49"/>
        <v/>
      </c>
      <c r="U373" s="246" t="str">
        <f t="shared" si="47"/>
        <v/>
      </c>
      <c r="V373" s="8"/>
      <c r="AR373" t="str">
        <f t="shared" si="51"/>
        <v/>
      </c>
      <c r="AS373" t="str">
        <f t="shared" si="50"/>
        <v/>
      </c>
    </row>
    <row r="374" spans="1:45" x14ac:dyDescent="0.3">
      <c r="A374" s="231"/>
      <c r="B374" s="235"/>
      <c r="C374" s="214"/>
      <c r="D374" s="214"/>
      <c r="E374" s="214"/>
      <c r="F374" s="214"/>
      <c r="G374" s="222"/>
      <c r="H374" s="221"/>
      <c r="I374" s="213"/>
      <c r="J374" s="213"/>
      <c r="K374" s="215"/>
      <c r="L374" s="216"/>
      <c r="M374" s="217"/>
      <c r="O374" s="241" t="str">
        <f>IF(Q374 = "", "", COUNT(Q$4:$Q374))</f>
        <v/>
      </c>
      <c r="P374" s="241" t="str">
        <f t="shared" si="44"/>
        <v/>
      </c>
      <c r="Q374" s="242" t="str">
        <f t="shared" si="45"/>
        <v/>
      </c>
      <c r="R374" s="243" t="str">
        <f t="shared" si="48"/>
        <v/>
      </c>
      <c r="S374" s="244" t="str">
        <f t="shared" si="46"/>
        <v/>
      </c>
      <c r="T374" s="245" t="str">
        <f t="shared" si="49"/>
        <v/>
      </c>
      <c r="U374" s="246" t="str">
        <f t="shared" si="47"/>
        <v/>
      </c>
      <c r="V374" s="8"/>
      <c r="AR374" t="str">
        <f t="shared" si="51"/>
        <v/>
      </c>
      <c r="AS374" t="str">
        <f t="shared" si="50"/>
        <v/>
      </c>
    </row>
    <row r="375" spans="1:45" x14ac:dyDescent="0.3">
      <c r="A375" s="231"/>
      <c r="B375" s="235"/>
      <c r="C375" s="214"/>
      <c r="D375" s="214"/>
      <c r="E375" s="214"/>
      <c r="F375" s="214"/>
      <c r="G375" s="222"/>
      <c r="H375" s="221"/>
      <c r="I375" s="213"/>
      <c r="J375" s="213"/>
      <c r="K375" s="215"/>
      <c r="L375" s="216"/>
      <c r="M375" s="217"/>
      <c r="O375" s="241" t="str">
        <f>IF(Q375 = "", "", COUNT(Q$4:$Q375))</f>
        <v/>
      </c>
      <c r="P375" s="241" t="str">
        <f t="shared" si="44"/>
        <v/>
      </c>
      <c r="Q375" s="242" t="str">
        <f t="shared" si="45"/>
        <v/>
      </c>
      <c r="R375" s="243" t="str">
        <f t="shared" si="48"/>
        <v/>
      </c>
      <c r="S375" s="244" t="str">
        <f t="shared" si="46"/>
        <v/>
      </c>
      <c r="T375" s="245" t="str">
        <f t="shared" si="49"/>
        <v/>
      </c>
      <c r="U375" s="246" t="str">
        <f t="shared" si="47"/>
        <v/>
      </c>
      <c r="V375" s="8"/>
      <c r="AR375" t="str">
        <f t="shared" si="51"/>
        <v/>
      </c>
      <c r="AS375" t="str">
        <f t="shared" si="50"/>
        <v/>
      </c>
    </row>
    <row r="376" spans="1:45" x14ac:dyDescent="0.3">
      <c r="A376" s="231"/>
      <c r="B376" s="235"/>
      <c r="C376" s="214"/>
      <c r="D376" s="214"/>
      <c r="E376" s="214"/>
      <c r="F376" s="214"/>
      <c r="G376" s="222"/>
      <c r="H376" s="221"/>
      <c r="I376" s="213"/>
      <c r="J376" s="213"/>
      <c r="K376" s="215"/>
      <c r="L376" s="216"/>
      <c r="M376" s="217"/>
      <c r="O376" s="241" t="str">
        <f>IF(Q376 = "", "", COUNT(Q$4:$Q376))</f>
        <v/>
      </c>
      <c r="P376" s="241" t="str">
        <f t="shared" si="44"/>
        <v/>
      </c>
      <c r="Q376" s="242" t="str">
        <f t="shared" si="45"/>
        <v/>
      </c>
      <c r="R376" s="243" t="str">
        <f t="shared" si="48"/>
        <v/>
      </c>
      <c r="S376" s="244" t="str">
        <f t="shared" si="46"/>
        <v/>
      </c>
      <c r="T376" s="245" t="str">
        <f t="shared" si="49"/>
        <v/>
      </c>
      <c r="U376" s="246" t="str">
        <f t="shared" si="47"/>
        <v/>
      </c>
      <c r="V376" s="8"/>
      <c r="AR376" t="str">
        <f t="shared" si="51"/>
        <v/>
      </c>
      <c r="AS376" t="str">
        <f t="shared" si="50"/>
        <v/>
      </c>
    </row>
    <row r="377" spans="1:45" x14ac:dyDescent="0.3">
      <c r="A377" s="231"/>
      <c r="B377" s="235"/>
      <c r="C377" s="214"/>
      <c r="D377" s="214"/>
      <c r="E377" s="214"/>
      <c r="F377" s="214"/>
      <c r="G377" s="222"/>
      <c r="H377" s="221"/>
      <c r="I377" s="213"/>
      <c r="J377" s="213"/>
      <c r="K377" s="215"/>
      <c r="L377" s="216"/>
      <c r="M377" s="217"/>
      <c r="O377" s="241" t="str">
        <f>IF(Q377 = "", "", COUNT(Q$4:$Q377))</f>
        <v/>
      </c>
      <c r="P377" s="241" t="str">
        <f t="shared" si="44"/>
        <v/>
      </c>
      <c r="Q377" s="242" t="str">
        <f t="shared" si="45"/>
        <v/>
      </c>
      <c r="R377" s="243" t="str">
        <f t="shared" si="48"/>
        <v/>
      </c>
      <c r="S377" s="244" t="str">
        <f t="shared" si="46"/>
        <v/>
      </c>
      <c r="T377" s="245" t="str">
        <f t="shared" si="49"/>
        <v/>
      </c>
      <c r="U377" s="246" t="str">
        <f t="shared" si="47"/>
        <v/>
      </c>
      <c r="V377" s="8"/>
      <c r="AR377" t="str">
        <f t="shared" si="51"/>
        <v/>
      </c>
      <c r="AS377" t="str">
        <f t="shared" si="50"/>
        <v/>
      </c>
    </row>
    <row r="378" spans="1:45" x14ac:dyDescent="0.3">
      <c r="A378" s="231"/>
      <c r="B378" s="235"/>
      <c r="C378" s="214"/>
      <c r="D378" s="214"/>
      <c r="E378" s="214"/>
      <c r="F378" s="214"/>
      <c r="G378" s="222"/>
      <c r="H378" s="221"/>
      <c r="I378" s="213"/>
      <c r="J378" s="213"/>
      <c r="K378" s="215"/>
      <c r="L378" s="216"/>
      <c r="M378" s="217"/>
      <c r="O378" s="241" t="str">
        <f>IF(Q378 = "", "", COUNT(Q$4:$Q378))</f>
        <v/>
      </c>
      <c r="P378" s="241" t="str">
        <f t="shared" si="44"/>
        <v/>
      </c>
      <c r="Q378" s="242" t="str">
        <f t="shared" si="45"/>
        <v/>
      </c>
      <c r="R378" s="243" t="str">
        <f t="shared" si="48"/>
        <v/>
      </c>
      <c r="S378" s="244" t="str">
        <f t="shared" si="46"/>
        <v/>
      </c>
      <c r="T378" s="245" t="str">
        <f t="shared" si="49"/>
        <v/>
      </c>
      <c r="U378" s="246" t="str">
        <f t="shared" si="47"/>
        <v/>
      </c>
      <c r="V378" s="8"/>
      <c r="AR378" t="str">
        <f t="shared" si="51"/>
        <v/>
      </c>
      <c r="AS378" t="str">
        <f t="shared" si="50"/>
        <v/>
      </c>
    </row>
    <row r="379" spans="1:45" x14ac:dyDescent="0.3">
      <c r="A379" s="231"/>
      <c r="B379" s="235"/>
      <c r="C379" s="214"/>
      <c r="D379" s="214"/>
      <c r="E379" s="214"/>
      <c r="F379" s="214"/>
      <c r="G379" s="222"/>
      <c r="H379" s="221"/>
      <c r="I379" s="213"/>
      <c r="J379" s="213"/>
      <c r="K379" s="215"/>
      <c r="L379" s="216"/>
      <c r="M379" s="217"/>
      <c r="O379" s="241" t="str">
        <f>IF(Q379 = "", "", COUNT(Q$4:$Q379))</f>
        <v/>
      </c>
      <c r="P379" s="241" t="str">
        <f t="shared" si="44"/>
        <v/>
      </c>
      <c r="Q379" s="242" t="str">
        <f t="shared" si="45"/>
        <v/>
      </c>
      <c r="R379" s="243" t="str">
        <f t="shared" si="48"/>
        <v/>
      </c>
      <c r="S379" s="244" t="str">
        <f t="shared" si="46"/>
        <v/>
      </c>
      <c r="T379" s="245" t="str">
        <f t="shared" si="49"/>
        <v/>
      </c>
      <c r="U379" s="246" t="str">
        <f t="shared" si="47"/>
        <v/>
      </c>
      <c r="V379" s="8"/>
      <c r="AR379" t="str">
        <f t="shared" si="51"/>
        <v/>
      </c>
      <c r="AS379" t="str">
        <f t="shared" si="50"/>
        <v/>
      </c>
    </row>
    <row r="380" spans="1:45" x14ac:dyDescent="0.3">
      <c r="A380" s="231"/>
      <c r="B380" s="235"/>
      <c r="C380" s="214"/>
      <c r="D380" s="214"/>
      <c r="E380" s="214"/>
      <c r="F380" s="214"/>
      <c r="G380" s="222"/>
      <c r="H380" s="221"/>
      <c r="I380" s="213"/>
      <c r="J380" s="213"/>
      <c r="K380" s="215"/>
      <c r="L380" s="216"/>
      <c r="M380" s="217"/>
      <c r="O380" s="241" t="str">
        <f>IF(Q380 = "", "", COUNT(Q$4:$Q380))</f>
        <v/>
      </c>
      <c r="P380" s="241" t="str">
        <f t="shared" si="44"/>
        <v/>
      </c>
      <c r="Q380" s="242" t="str">
        <f t="shared" si="45"/>
        <v/>
      </c>
      <c r="R380" s="243" t="str">
        <f t="shared" si="48"/>
        <v/>
      </c>
      <c r="S380" s="244" t="str">
        <f t="shared" si="46"/>
        <v/>
      </c>
      <c r="T380" s="245" t="str">
        <f t="shared" si="49"/>
        <v/>
      </c>
      <c r="U380" s="246" t="str">
        <f t="shared" si="47"/>
        <v/>
      </c>
      <c r="V380" s="8"/>
      <c r="AR380" t="str">
        <f t="shared" si="51"/>
        <v/>
      </c>
      <c r="AS380" t="str">
        <f t="shared" si="50"/>
        <v/>
      </c>
    </row>
    <row r="381" spans="1:45" x14ac:dyDescent="0.3">
      <c r="A381" s="231"/>
      <c r="B381" s="235"/>
      <c r="C381" s="214"/>
      <c r="D381" s="214"/>
      <c r="E381" s="214"/>
      <c r="F381" s="214"/>
      <c r="G381" s="222"/>
      <c r="H381" s="221"/>
      <c r="I381" s="213"/>
      <c r="J381" s="213"/>
      <c r="K381" s="215"/>
      <c r="L381" s="216"/>
      <c r="M381" s="217"/>
      <c r="O381" s="241" t="str">
        <f>IF(Q381 = "", "", COUNT(Q$4:$Q381))</f>
        <v/>
      </c>
      <c r="P381" s="241" t="str">
        <f t="shared" si="44"/>
        <v/>
      </c>
      <c r="Q381" s="242" t="str">
        <f t="shared" si="45"/>
        <v/>
      </c>
      <c r="R381" s="243" t="str">
        <f t="shared" si="48"/>
        <v/>
      </c>
      <c r="S381" s="244" t="str">
        <f t="shared" si="46"/>
        <v/>
      </c>
      <c r="T381" s="245" t="str">
        <f t="shared" si="49"/>
        <v/>
      </c>
      <c r="U381" s="246" t="str">
        <f t="shared" si="47"/>
        <v/>
      </c>
      <c r="V381" s="8"/>
      <c r="AR381" t="str">
        <f t="shared" si="51"/>
        <v/>
      </c>
      <c r="AS381" t="str">
        <f t="shared" si="50"/>
        <v/>
      </c>
    </row>
    <row r="382" spans="1:45" x14ac:dyDescent="0.3">
      <c r="A382" s="231"/>
      <c r="B382" s="235"/>
      <c r="C382" s="214"/>
      <c r="D382" s="214"/>
      <c r="E382" s="214"/>
      <c r="F382" s="214"/>
      <c r="G382" s="222"/>
      <c r="H382" s="221"/>
      <c r="I382" s="213"/>
      <c r="J382" s="213"/>
      <c r="K382" s="215"/>
      <c r="L382" s="216"/>
      <c r="M382" s="217"/>
      <c r="O382" s="241" t="str">
        <f>IF(Q382 = "", "", COUNT(Q$4:$Q382))</f>
        <v/>
      </c>
      <c r="P382" s="241" t="str">
        <f t="shared" si="44"/>
        <v/>
      </c>
      <c r="Q382" s="242" t="str">
        <f t="shared" si="45"/>
        <v/>
      </c>
      <c r="R382" s="243" t="str">
        <f t="shared" si="48"/>
        <v/>
      </c>
      <c r="S382" s="244" t="str">
        <f t="shared" si="46"/>
        <v/>
      </c>
      <c r="T382" s="245" t="str">
        <f t="shared" si="49"/>
        <v/>
      </c>
      <c r="U382" s="246" t="str">
        <f t="shared" si="47"/>
        <v/>
      </c>
      <c r="V382" s="8"/>
      <c r="AR382" t="str">
        <f t="shared" si="51"/>
        <v/>
      </c>
      <c r="AS382" t="str">
        <f t="shared" si="50"/>
        <v/>
      </c>
    </row>
    <row r="383" spans="1:45" x14ac:dyDescent="0.3">
      <c r="A383" s="231"/>
      <c r="B383" s="235"/>
      <c r="C383" s="214"/>
      <c r="D383" s="214"/>
      <c r="E383" s="214"/>
      <c r="F383" s="214"/>
      <c r="G383" s="222"/>
      <c r="H383" s="221"/>
      <c r="I383" s="213"/>
      <c r="J383" s="213"/>
      <c r="K383" s="215"/>
      <c r="L383" s="216"/>
      <c r="M383" s="217"/>
      <c r="O383" s="241" t="str">
        <f>IF(Q383 = "", "", COUNT(Q$4:$Q383))</f>
        <v/>
      </c>
      <c r="P383" s="241" t="str">
        <f t="shared" si="44"/>
        <v/>
      </c>
      <c r="Q383" s="242" t="str">
        <f t="shared" si="45"/>
        <v/>
      </c>
      <c r="R383" s="243" t="str">
        <f t="shared" si="48"/>
        <v/>
      </c>
      <c r="S383" s="244" t="str">
        <f t="shared" si="46"/>
        <v/>
      </c>
      <c r="T383" s="245" t="str">
        <f t="shared" si="49"/>
        <v/>
      </c>
      <c r="U383" s="246" t="str">
        <f t="shared" si="47"/>
        <v/>
      </c>
      <c r="V383" s="8"/>
      <c r="AR383" t="str">
        <f t="shared" si="51"/>
        <v/>
      </c>
      <c r="AS383" t="str">
        <f t="shared" si="50"/>
        <v/>
      </c>
    </row>
    <row r="384" spans="1:45" x14ac:dyDescent="0.3">
      <c r="A384" s="231"/>
      <c r="B384" s="235"/>
      <c r="C384" s="214"/>
      <c r="D384" s="214"/>
      <c r="E384" s="214"/>
      <c r="F384" s="214"/>
      <c r="G384" s="222"/>
      <c r="H384" s="221"/>
      <c r="I384" s="213"/>
      <c r="J384" s="213"/>
      <c r="K384" s="215"/>
      <c r="L384" s="216"/>
      <c r="M384" s="217"/>
      <c r="O384" s="241" t="str">
        <f>IF(Q384 = "", "", COUNT(Q$4:$Q384))</f>
        <v/>
      </c>
      <c r="P384" s="241" t="str">
        <f t="shared" si="44"/>
        <v/>
      </c>
      <c r="Q384" s="242" t="str">
        <f t="shared" si="45"/>
        <v/>
      </c>
      <c r="R384" s="243" t="str">
        <f t="shared" si="48"/>
        <v/>
      </c>
      <c r="S384" s="244" t="str">
        <f t="shared" si="46"/>
        <v/>
      </c>
      <c r="T384" s="245" t="str">
        <f t="shared" si="49"/>
        <v/>
      </c>
      <c r="U384" s="246" t="str">
        <f t="shared" si="47"/>
        <v/>
      </c>
      <c r="V384" s="8"/>
      <c r="AR384" t="str">
        <f t="shared" si="51"/>
        <v/>
      </c>
      <c r="AS384" t="str">
        <f t="shared" si="50"/>
        <v/>
      </c>
    </row>
    <row r="385" spans="1:45" x14ac:dyDescent="0.3">
      <c r="A385" s="231"/>
      <c r="B385" s="235"/>
      <c r="C385" s="214"/>
      <c r="D385" s="214"/>
      <c r="E385" s="214"/>
      <c r="F385" s="214"/>
      <c r="G385" s="222"/>
      <c r="H385" s="221"/>
      <c r="I385" s="213"/>
      <c r="J385" s="213"/>
      <c r="K385" s="215"/>
      <c r="L385" s="216"/>
      <c r="M385" s="217"/>
      <c r="O385" s="241" t="str">
        <f>IF(Q385 = "", "", COUNT(Q$4:$Q385))</f>
        <v/>
      </c>
      <c r="P385" s="241" t="str">
        <f t="shared" si="44"/>
        <v/>
      </c>
      <c r="Q385" s="242" t="str">
        <f t="shared" si="45"/>
        <v/>
      </c>
      <c r="R385" s="243" t="str">
        <f t="shared" si="48"/>
        <v/>
      </c>
      <c r="S385" s="244" t="str">
        <f t="shared" si="46"/>
        <v/>
      </c>
      <c r="T385" s="245" t="str">
        <f t="shared" si="49"/>
        <v/>
      </c>
      <c r="U385" s="246" t="str">
        <f t="shared" si="47"/>
        <v/>
      </c>
      <c r="V385" s="8"/>
      <c r="AR385" t="str">
        <f t="shared" si="51"/>
        <v/>
      </c>
      <c r="AS385" t="str">
        <f t="shared" si="50"/>
        <v/>
      </c>
    </row>
    <row r="386" spans="1:45" x14ac:dyDescent="0.3">
      <c r="A386" s="231"/>
      <c r="B386" s="235"/>
      <c r="C386" s="214"/>
      <c r="D386" s="214"/>
      <c r="E386" s="214"/>
      <c r="F386" s="214"/>
      <c r="G386" s="222"/>
      <c r="H386" s="221"/>
      <c r="I386" s="213"/>
      <c r="J386" s="213"/>
      <c r="K386" s="215"/>
      <c r="L386" s="216"/>
      <c r="M386" s="217"/>
      <c r="O386" s="241" t="str">
        <f>IF(Q386 = "", "", COUNT(Q$4:$Q386))</f>
        <v/>
      </c>
      <c r="P386" s="241" t="str">
        <f t="shared" si="44"/>
        <v/>
      </c>
      <c r="Q386" s="242" t="str">
        <f t="shared" si="45"/>
        <v/>
      </c>
      <c r="R386" s="243" t="str">
        <f t="shared" si="48"/>
        <v/>
      </c>
      <c r="S386" s="244" t="str">
        <f t="shared" si="46"/>
        <v/>
      </c>
      <c r="T386" s="245" t="str">
        <f t="shared" si="49"/>
        <v/>
      </c>
      <c r="U386" s="246" t="str">
        <f t="shared" si="47"/>
        <v/>
      </c>
      <c r="V386" s="8"/>
      <c r="AR386" t="str">
        <f t="shared" si="51"/>
        <v/>
      </c>
      <c r="AS386" t="str">
        <f t="shared" si="50"/>
        <v/>
      </c>
    </row>
    <row r="387" spans="1:45" x14ac:dyDescent="0.3">
      <c r="A387" s="231"/>
      <c r="B387" s="235"/>
      <c r="C387" s="214"/>
      <c r="D387" s="214"/>
      <c r="E387" s="214"/>
      <c r="F387" s="214"/>
      <c r="G387" s="222"/>
      <c r="H387" s="221"/>
      <c r="I387" s="213"/>
      <c r="J387" s="213"/>
      <c r="K387" s="215"/>
      <c r="L387" s="216"/>
      <c r="M387" s="217"/>
      <c r="O387" s="241" t="str">
        <f>IF(Q387 = "", "", COUNT(Q$4:$Q387))</f>
        <v/>
      </c>
      <c r="P387" s="241" t="str">
        <f t="shared" si="44"/>
        <v/>
      </c>
      <c r="Q387" s="242" t="str">
        <f t="shared" si="45"/>
        <v/>
      </c>
      <c r="R387" s="243" t="str">
        <f t="shared" si="48"/>
        <v/>
      </c>
      <c r="S387" s="244" t="str">
        <f t="shared" si="46"/>
        <v/>
      </c>
      <c r="T387" s="245" t="str">
        <f t="shared" si="49"/>
        <v/>
      </c>
      <c r="U387" s="246" t="str">
        <f t="shared" si="47"/>
        <v/>
      </c>
      <c r="V387" s="8"/>
      <c r="AR387" t="str">
        <f t="shared" si="51"/>
        <v/>
      </c>
      <c r="AS387" t="str">
        <f t="shared" si="50"/>
        <v/>
      </c>
    </row>
    <row r="388" spans="1:45" x14ac:dyDescent="0.3">
      <c r="A388" s="231"/>
      <c r="B388" s="235"/>
      <c r="C388" s="214"/>
      <c r="D388" s="214"/>
      <c r="E388" s="214"/>
      <c r="F388" s="214"/>
      <c r="G388" s="222"/>
      <c r="H388" s="221"/>
      <c r="I388" s="213"/>
      <c r="J388" s="213"/>
      <c r="K388" s="215"/>
      <c r="L388" s="216"/>
      <c r="M388" s="217"/>
      <c r="O388" s="241" t="str">
        <f>IF(Q388 = "", "", COUNT(Q$4:$Q388))</f>
        <v/>
      </c>
      <c r="P388" s="241" t="str">
        <f t="shared" ref="P388:P451" si="52">IF(C388 &gt; 0, YEAR(B388), "")</f>
        <v/>
      </c>
      <c r="Q388" s="242" t="str">
        <f t="shared" ref="Q388:Q451" si="53">IF(A388="", "", IF(G388="",1,IF(G388="O",1,IF(G388="C",8.4,IF(G388="B",8.4,IF(G388="A",76.8,IF(G388="K",76.8,"ERR")))))))</f>
        <v/>
      </c>
      <c r="R388" s="243" t="str">
        <f t="shared" si="48"/>
        <v/>
      </c>
      <c r="S388" s="244" t="str">
        <f t="shared" ref="S388:S451" si="54">IF(IF(L388&lt;&gt;"",G388,"")=0, "O", IF(L388&lt;&gt;"",G388,""))</f>
        <v/>
      </c>
      <c r="T388" s="245" t="str">
        <f t="shared" si="49"/>
        <v/>
      </c>
      <c r="U388" s="246" t="str">
        <f t="shared" ref="U388:U451" si="55">IF(IF(M388&lt;&gt;"",G388,"")=0, "O", IF(M388&lt;&gt;"",G388,""))</f>
        <v/>
      </c>
      <c r="V388" s="8"/>
      <c r="AR388" t="str">
        <f t="shared" si="51"/>
        <v/>
      </c>
      <c r="AS388" t="str">
        <f t="shared" si="50"/>
        <v/>
      </c>
    </row>
    <row r="389" spans="1:45" x14ac:dyDescent="0.3">
      <c r="A389" s="231"/>
      <c r="B389" s="235"/>
      <c r="C389" s="214"/>
      <c r="D389" s="214"/>
      <c r="E389" s="214"/>
      <c r="F389" s="214"/>
      <c r="G389" s="222"/>
      <c r="H389" s="221"/>
      <c r="I389" s="213"/>
      <c r="J389" s="213"/>
      <c r="K389" s="215"/>
      <c r="L389" s="216"/>
      <c r="M389" s="217"/>
      <c r="O389" s="241" t="str">
        <f>IF(Q389 = "", "", COUNT(Q$4:$Q389))</f>
        <v/>
      </c>
      <c r="P389" s="241" t="str">
        <f t="shared" si="52"/>
        <v/>
      </c>
      <c r="Q389" s="242" t="str">
        <f t="shared" si="53"/>
        <v/>
      </c>
      <c r="R389" s="243" t="str">
        <f t="shared" ref="R389:R452" si="56">IF(L389&lt;&gt;"",Q389,"")</f>
        <v/>
      </c>
      <c r="S389" s="244" t="str">
        <f t="shared" si="54"/>
        <v/>
      </c>
      <c r="T389" s="245" t="str">
        <f t="shared" ref="T389:T452" si="57">IF(M389&lt;&gt;"",Q389,"")</f>
        <v/>
      </c>
      <c r="U389" s="246" t="str">
        <f t="shared" si="55"/>
        <v/>
      </c>
      <c r="V389" s="8"/>
      <c r="AR389" t="str">
        <f t="shared" si="51"/>
        <v/>
      </c>
      <c r="AS389" t="str">
        <f t="shared" si="50"/>
        <v/>
      </c>
    </row>
    <row r="390" spans="1:45" x14ac:dyDescent="0.3">
      <c r="A390" s="231"/>
      <c r="B390" s="235"/>
      <c r="C390" s="214"/>
      <c r="D390" s="214"/>
      <c r="E390" s="214"/>
      <c r="F390" s="214"/>
      <c r="G390" s="222"/>
      <c r="H390" s="221"/>
      <c r="I390" s="213"/>
      <c r="J390" s="213"/>
      <c r="K390" s="215"/>
      <c r="L390" s="216"/>
      <c r="M390" s="217"/>
      <c r="O390" s="241" t="str">
        <f>IF(Q390 = "", "", COUNT(Q$4:$Q390))</f>
        <v/>
      </c>
      <c r="P390" s="241" t="str">
        <f t="shared" si="52"/>
        <v/>
      </c>
      <c r="Q390" s="242" t="str">
        <f t="shared" si="53"/>
        <v/>
      </c>
      <c r="R390" s="243" t="str">
        <f t="shared" si="56"/>
        <v/>
      </c>
      <c r="S390" s="244" t="str">
        <f t="shared" si="54"/>
        <v/>
      </c>
      <c r="T390" s="245" t="str">
        <f t="shared" si="57"/>
        <v/>
      </c>
      <c r="U390" s="246" t="str">
        <f t="shared" si="55"/>
        <v/>
      </c>
      <c r="V390" s="8"/>
      <c r="AR390" t="str">
        <f t="shared" si="51"/>
        <v/>
      </c>
      <c r="AS390" t="str">
        <f t="shared" si="50"/>
        <v/>
      </c>
    </row>
    <row r="391" spans="1:45" x14ac:dyDescent="0.3">
      <c r="A391" s="231"/>
      <c r="B391" s="235"/>
      <c r="C391" s="214"/>
      <c r="D391" s="214"/>
      <c r="E391" s="214"/>
      <c r="F391" s="214"/>
      <c r="G391" s="222"/>
      <c r="H391" s="221"/>
      <c r="I391" s="213"/>
      <c r="J391" s="213"/>
      <c r="K391" s="215"/>
      <c r="L391" s="216"/>
      <c r="M391" s="217"/>
      <c r="O391" s="241" t="str">
        <f>IF(Q391 = "", "", COUNT(Q$4:$Q391))</f>
        <v/>
      </c>
      <c r="P391" s="241" t="str">
        <f t="shared" si="52"/>
        <v/>
      </c>
      <c r="Q391" s="242" t="str">
        <f t="shared" si="53"/>
        <v/>
      </c>
      <c r="R391" s="243" t="str">
        <f t="shared" si="56"/>
        <v/>
      </c>
      <c r="S391" s="244" t="str">
        <f t="shared" si="54"/>
        <v/>
      </c>
      <c r="T391" s="245" t="str">
        <f t="shared" si="57"/>
        <v/>
      </c>
      <c r="U391" s="246" t="str">
        <f t="shared" si="55"/>
        <v/>
      </c>
      <c r="V391" s="8"/>
      <c r="AR391" t="str">
        <f t="shared" si="51"/>
        <v/>
      </c>
      <c r="AS391" t="str">
        <f t="shared" si="50"/>
        <v/>
      </c>
    </row>
    <row r="392" spans="1:45" x14ac:dyDescent="0.3">
      <c r="A392" s="231"/>
      <c r="B392" s="235"/>
      <c r="C392" s="214"/>
      <c r="D392" s="214"/>
      <c r="E392" s="214"/>
      <c r="F392" s="214"/>
      <c r="G392" s="222"/>
      <c r="H392" s="221"/>
      <c r="I392" s="213"/>
      <c r="J392" s="213"/>
      <c r="K392" s="215"/>
      <c r="L392" s="216"/>
      <c r="M392" s="217"/>
      <c r="O392" s="241" t="str">
        <f>IF(Q392 = "", "", COUNT(Q$4:$Q392))</f>
        <v/>
      </c>
      <c r="P392" s="241" t="str">
        <f t="shared" si="52"/>
        <v/>
      </c>
      <c r="Q392" s="242" t="str">
        <f t="shared" si="53"/>
        <v/>
      </c>
      <c r="R392" s="243" t="str">
        <f t="shared" si="56"/>
        <v/>
      </c>
      <c r="S392" s="244" t="str">
        <f t="shared" si="54"/>
        <v/>
      </c>
      <c r="T392" s="245" t="str">
        <f t="shared" si="57"/>
        <v/>
      </c>
      <c r="U392" s="246" t="str">
        <f t="shared" si="55"/>
        <v/>
      </c>
      <c r="V392" s="8"/>
      <c r="AR392" t="str">
        <f t="shared" si="51"/>
        <v/>
      </c>
      <c r="AS392" t="str">
        <f t="shared" si="50"/>
        <v/>
      </c>
    </row>
    <row r="393" spans="1:45" x14ac:dyDescent="0.3">
      <c r="A393" s="231"/>
      <c r="B393" s="235"/>
      <c r="C393" s="214"/>
      <c r="D393" s="214"/>
      <c r="E393" s="214"/>
      <c r="F393" s="214"/>
      <c r="G393" s="222"/>
      <c r="H393" s="221"/>
      <c r="I393" s="213"/>
      <c r="J393" s="213"/>
      <c r="K393" s="215"/>
      <c r="L393" s="216"/>
      <c r="M393" s="217"/>
      <c r="O393" s="241" t="str">
        <f>IF(Q393 = "", "", COUNT(Q$4:$Q393))</f>
        <v/>
      </c>
      <c r="P393" s="241" t="str">
        <f t="shared" si="52"/>
        <v/>
      </c>
      <c r="Q393" s="242" t="str">
        <f t="shared" si="53"/>
        <v/>
      </c>
      <c r="R393" s="243" t="str">
        <f t="shared" si="56"/>
        <v/>
      </c>
      <c r="S393" s="244" t="str">
        <f t="shared" si="54"/>
        <v/>
      </c>
      <c r="T393" s="245" t="str">
        <f t="shared" si="57"/>
        <v/>
      </c>
      <c r="U393" s="246" t="str">
        <f t="shared" si="55"/>
        <v/>
      </c>
      <c r="V393" s="8"/>
      <c r="AR393" t="str">
        <f t="shared" si="51"/>
        <v/>
      </c>
      <c r="AS393" t="str">
        <f t="shared" si="50"/>
        <v/>
      </c>
    </row>
    <row r="394" spans="1:45" x14ac:dyDescent="0.3">
      <c r="A394" s="231"/>
      <c r="B394" s="235"/>
      <c r="C394" s="214"/>
      <c r="D394" s="214"/>
      <c r="E394" s="214"/>
      <c r="F394" s="214"/>
      <c r="G394" s="222"/>
      <c r="H394" s="221"/>
      <c r="I394" s="213"/>
      <c r="J394" s="213"/>
      <c r="K394" s="215"/>
      <c r="L394" s="216"/>
      <c r="M394" s="217"/>
      <c r="O394" s="241" t="str">
        <f>IF(Q394 = "", "", COUNT(Q$4:$Q394))</f>
        <v/>
      </c>
      <c r="P394" s="241" t="str">
        <f t="shared" si="52"/>
        <v/>
      </c>
      <c r="Q394" s="242" t="str">
        <f t="shared" si="53"/>
        <v/>
      </c>
      <c r="R394" s="243" t="str">
        <f t="shared" si="56"/>
        <v/>
      </c>
      <c r="S394" s="244" t="str">
        <f t="shared" si="54"/>
        <v/>
      </c>
      <c r="T394" s="245" t="str">
        <f t="shared" si="57"/>
        <v/>
      </c>
      <c r="U394" s="246" t="str">
        <f t="shared" si="55"/>
        <v/>
      </c>
      <c r="V394" s="8"/>
      <c r="AR394" t="str">
        <f t="shared" si="51"/>
        <v/>
      </c>
      <c r="AS394" t="str">
        <f t="shared" si="50"/>
        <v/>
      </c>
    </row>
    <row r="395" spans="1:45" x14ac:dyDescent="0.3">
      <c r="A395" s="231"/>
      <c r="B395" s="235"/>
      <c r="C395" s="214"/>
      <c r="D395" s="214"/>
      <c r="E395" s="214"/>
      <c r="F395" s="214"/>
      <c r="G395" s="222"/>
      <c r="H395" s="221"/>
      <c r="I395" s="213"/>
      <c r="J395" s="213"/>
      <c r="K395" s="215"/>
      <c r="L395" s="216"/>
      <c r="M395" s="217"/>
      <c r="O395" s="241" t="str">
        <f>IF(Q395 = "", "", COUNT(Q$4:$Q395))</f>
        <v/>
      </c>
      <c r="P395" s="241" t="str">
        <f t="shared" si="52"/>
        <v/>
      </c>
      <c r="Q395" s="242" t="str">
        <f t="shared" si="53"/>
        <v/>
      </c>
      <c r="R395" s="243" t="str">
        <f t="shared" si="56"/>
        <v/>
      </c>
      <c r="S395" s="244" t="str">
        <f t="shared" si="54"/>
        <v/>
      </c>
      <c r="T395" s="245" t="str">
        <f t="shared" si="57"/>
        <v/>
      </c>
      <c r="U395" s="246" t="str">
        <f t="shared" si="55"/>
        <v/>
      </c>
      <c r="V395" s="8"/>
      <c r="AR395" t="str">
        <f t="shared" si="51"/>
        <v/>
      </c>
      <c r="AS395" t="str">
        <f t="shared" si="50"/>
        <v/>
      </c>
    </row>
    <row r="396" spans="1:45" x14ac:dyDescent="0.3">
      <c r="A396" s="231"/>
      <c r="B396" s="235"/>
      <c r="C396" s="214"/>
      <c r="D396" s="214"/>
      <c r="E396" s="214"/>
      <c r="F396" s="214"/>
      <c r="G396" s="222"/>
      <c r="H396" s="221"/>
      <c r="I396" s="213"/>
      <c r="J396" s="213"/>
      <c r="K396" s="215"/>
      <c r="L396" s="216"/>
      <c r="M396" s="217"/>
      <c r="O396" s="241" t="str">
        <f>IF(Q396 = "", "", COUNT(Q$4:$Q396))</f>
        <v/>
      </c>
      <c r="P396" s="241" t="str">
        <f t="shared" si="52"/>
        <v/>
      </c>
      <c r="Q396" s="242" t="str">
        <f t="shared" si="53"/>
        <v/>
      </c>
      <c r="R396" s="243" t="str">
        <f t="shared" si="56"/>
        <v/>
      </c>
      <c r="S396" s="244" t="str">
        <f t="shared" si="54"/>
        <v/>
      </c>
      <c r="T396" s="245" t="str">
        <f t="shared" si="57"/>
        <v/>
      </c>
      <c r="U396" s="246" t="str">
        <f t="shared" si="55"/>
        <v/>
      </c>
      <c r="V396" s="8"/>
      <c r="AR396" t="str">
        <f t="shared" si="51"/>
        <v/>
      </c>
      <c r="AS396" t="str">
        <f t="shared" si="50"/>
        <v/>
      </c>
    </row>
    <row r="397" spans="1:45" x14ac:dyDescent="0.3">
      <c r="A397" s="231"/>
      <c r="B397" s="235"/>
      <c r="C397" s="214"/>
      <c r="D397" s="214"/>
      <c r="E397" s="214"/>
      <c r="F397" s="214"/>
      <c r="G397" s="222"/>
      <c r="H397" s="221"/>
      <c r="I397" s="213"/>
      <c r="J397" s="213"/>
      <c r="K397" s="215"/>
      <c r="L397" s="216"/>
      <c r="M397" s="217"/>
      <c r="O397" s="241" t="str">
        <f>IF(Q397 = "", "", COUNT(Q$4:$Q397))</f>
        <v/>
      </c>
      <c r="P397" s="241" t="str">
        <f t="shared" si="52"/>
        <v/>
      </c>
      <c r="Q397" s="242" t="str">
        <f t="shared" si="53"/>
        <v/>
      </c>
      <c r="R397" s="243" t="str">
        <f t="shared" si="56"/>
        <v/>
      </c>
      <c r="S397" s="244" t="str">
        <f t="shared" si="54"/>
        <v/>
      </c>
      <c r="T397" s="245" t="str">
        <f t="shared" si="57"/>
        <v/>
      </c>
      <c r="U397" s="246" t="str">
        <f t="shared" si="55"/>
        <v/>
      </c>
      <c r="V397" s="8"/>
      <c r="AR397" t="str">
        <f t="shared" si="51"/>
        <v/>
      </c>
      <c r="AS397" t="str">
        <f t="shared" si="50"/>
        <v/>
      </c>
    </row>
    <row r="398" spans="1:45" x14ac:dyDescent="0.3">
      <c r="A398" s="231"/>
      <c r="B398" s="235"/>
      <c r="C398" s="214"/>
      <c r="D398" s="214"/>
      <c r="E398" s="214"/>
      <c r="F398" s="214"/>
      <c r="G398" s="222"/>
      <c r="H398" s="221"/>
      <c r="I398" s="213"/>
      <c r="J398" s="213"/>
      <c r="K398" s="215"/>
      <c r="L398" s="216"/>
      <c r="M398" s="217"/>
      <c r="O398" s="241" t="str">
        <f>IF(Q398 = "", "", COUNT(Q$4:$Q398))</f>
        <v/>
      </c>
      <c r="P398" s="241" t="str">
        <f t="shared" si="52"/>
        <v/>
      </c>
      <c r="Q398" s="242" t="str">
        <f t="shared" si="53"/>
        <v/>
      </c>
      <c r="R398" s="243" t="str">
        <f t="shared" si="56"/>
        <v/>
      </c>
      <c r="S398" s="244" t="str">
        <f t="shared" si="54"/>
        <v/>
      </c>
      <c r="T398" s="245" t="str">
        <f t="shared" si="57"/>
        <v/>
      </c>
      <c r="U398" s="246" t="str">
        <f t="shared" si="55"/>
        <v/>
      </c>
      <c r="V398" s="8"/>
      <c r="AR398" t="str">
        <f t="shared" si="51"/>
        <v/>
      </c>
      <c r="AS398" t="str">
        <f t="shared" si="50"/>
        <v/>
      </c>
    </row>
    <row r="399" spans="1:45" x14ac:dyDescent="0.3">
      <c r="A399" s="231"/>
      <c r="B399" s="235"/>
      <c r="C399" s="214"/>
      <c r="D399" s="214"/>
      <c r="E399" s="214"/>
      <c r="F399" s="214"/>
      <c r="G399" s="222"/>
      <c r="H399" s="221"/>
      <c r="I399" s="213"/>
      <c r="J399" s="213"/>
      <c r="K399" s="215"/>
      <c r="L399" s="216"/>
      <c r="M399" s="217"/>
      <c r="O399" s="241" t="str">
        <f>IF(Q399 = "", "", COUNT(Q$4:$Q399))</f>
        <v/>
      </c>
      <c r="P399" s="241" t="str">
        <f t="shared" si="52"/>
        <v/>
      </c>
      <c r="Q399" s="242" t="str">
        <f t="shared" si="53"/>
        <v/>
      </c>
      <c r="R399" s="243" t="str">
        <f t="shared" si="56"/>
        <v/>
      </c>
      <c r="S399" s="244" t="str">
        <f t="shared" si="54"/>
        <v/>
      </c>
      <c r="T399" s="245" t="str">
        <f t="shared" si="57"/>
        <v/>
      </c>
      <c r="U399" s="246" t="str">
        <f t="shared" si="55"/>
        <v/>
      </c>
      <c r="V399" s="8"/>
      <c r="AR399" t="str">
        <f t="shared" si="51"/>
        <v/>
      </c>
      <c r="AS399" t="str">
        <f t="shared" si="50"/>
        <v/>
      </c>
    </row>
    <row r="400" spans="1:45" x14ac:dyDescent="0.3">
      <c r="A400" s="231"/>
      <c r="B400" s="235"/>
      <c r="C400" s="214"/>
      <c r="D400" s="214"/>
      <c r="E400" s="214"/>
      <c r="F400" s="214"/>
      <c r="G400" s="222"/>
      <c r="H400" s="221"/>
      <c r="I400" s="213"/>
      <c r="J400" s="213"/>
      <c r="K400" s="215"/>
      <c r="L400" s="216"/>
      <c r="M400" s="217"/>
      <c r="O400" s="241" t="str">
        <f>IF(Q400 = "", "", COUNT(Q$4:$Q400))</f>
        <v/>
      </c>
      <c r="P400" s="241" t="str">
        <f t="shared" si="52"/>
        <v/>
      </c>
      <c r="Q400" s="242" t="str">
        <f t="shared" si="53"/>
        <v/>
      </c>
      <c r="R400" s="243" t="str">
        <f t="shared" si="56"/>
        <v/>
      </c>
      <c r="S400" s="244" t="str">
        <f t="shared" si="54"/>
        <v/>
      </c>
      <c r="T400" s="245" t="str">
        <f t="shared" si="57"/>
        <v/>
      </c>
      <c r="U400" s="246" t="str">
        <f t="shared" si="55"/>
        <v/>
      </c>
      <c r="V400" s="8"/>
      <c r="AR400" t="str">
        <f t="shared" si="51"/>
        <v/>
      </c>
      <c r="AS400" t="str">
        <f t="shared" si="50"/>
        <v/>
      </c>
    </row>
    <row r="401" spans="1:45" x14ac:dyDescent="0.3">
      <c r="A401" s="231"/>
      <c r="B401" s="235"/>
      <c r="C401" s="214"/>
      <c r="D401" s="214"/>
      <c r="E401" s="214"/>
      <c r="F401" s="214"/>
      <c r="G401" s="222"/>
      <c r="H401" s="221"/>
      <c r="I401" s="213"/>
      <c r="J401" s="213"/>
      <c r="K401" s="215"/>
      <c r="L401" s="216"/>
      <c r="M401" s="217"/>
      <c r="O401" s="241" t="str">
        <f>IF(Q401 = "", "", COUNT(Q$4:$Q401))</f>
        <v/>
      </c>
      <c r="P401" s="241" t="str">
        <f t="shared" si="52"/>
        <v/>
      </c>
      <c r="Q401" s="242" t="str">
        <f t="shared" si="53"/>
        <v/>
      </c>
      <c r="R401" s="243" t="str">
        <f t="shared" si="56"/>
        <v/>
      </c>
      <c r="S401" s="244" t="str">
        <f t="shared" si="54"/>
        <v/>
      </c>
      <c r="T401" s="245" t="str">
        <f t="shared" si="57"/>
        <v/>
      </c>
      <c r="U401" s="246" t="str">
        <f t="shared" si="55"/>
        <v/>
      </c>
      <c r="V401" s="8"/>
      <c r="AR401" t="str">
        <f t="shared" si="51"/>
        <v/>
      </c>
      <c r="AS401" t="str">
        <f t="shared" si="50"/>
        <v/>
      </c>
    </row>
    <row r="402" spans="1:45" x14ac:dyDescent="0.3">
      <c r="A402" s="231"/>
      <c r="B402" s="235"/>
      <c r="C402" s="214"/>
      <c r="D402" s="214"/>
      <c r="E402" s="214"/>
      <c r="F402" s="214"/>
      <c r="G402" s="222"/>
      <c r="H402" s="221"/>
      <c r="I402" s="213"/>
      <c r="J402" s="213"/>
      <c r="K402" s="215"/>
      <c r="L402" s="216"/>
      <c r="M402" s="217"/>
      <c r="O402" s="241" t="str">
        <f>IF(Q402 = "", "", COUNT(Q$4:$Q402))</f>
        <v/>
      </c>
      <c r="P402" s="241" t="str">
        <f t="shared" si="52"/>
        <v/>
      </c>
      <c r="Q402" s="242" t="str">
        <f t="shared" si="53"/>
        <v/>
      </c>
      <c r="R402" s="243" t="str">
        <f t="shared" si="56"/>
        <v/>
      </c>
      <c r="S402" s="244" t="str">
        <f t="shared" si="54"/>
        <v/>
      </c>
      <c r="T402" s="245" t="str">
        <f t="shared" si="57"/>
        <v/>
      </c>
      <c r="U402" s="246" t="str">
        <f t="shared" si="55"/>
        <v/>
      </c>
      <c r="V402" s="8"/>
      <c r="AR402" t="str">
        <f t="shared" si="51"/>
        <v/>
      </c>
      <c r="AS402" t="str">
        <f t="shared" si="50"/>
        <v/>
      </c>
    </row>
    <row r="403" spans="1:45" x14ac:dyDescent="0.3">
      <c r="A403" s="231"/>
      <c r="B403" s="235"/>
      <c r="C403" s="214"/>
      <c r="D403" s="214"/>
      <c r="E403" s="214"/>
      <c r="F403" s="214"/>
      <c r="G403" s="222"/>
      <c r="H403" s="221"/>
      <c r="I403" s="213"/>
      <c r="J403" s="213"/>
      <c r="K403" s="215"/>
      <c r="L403" s="216"/>
      <c r="M403" s="217"/>
      <c r="O403" s="241" t="str">
        <f>IF(Q403 = "", "", COUNT(Q$4:$Q403))</f>
        <v/>
      </c>
      <c r="P403" s="241" t="str">
        <f t="shared" si="52"/>
        <v/>
      </c>
      <c r="Q403" s="242" t="str">
        <f t="shared" si="53"/>
        <v/>
      </c>
      <c r="R403" s="243" t="str">
        <f t="shared" si="56"/>
        <v/>
      </c>
      <c r="S403" s="244" t="str">
        <f t="shared" si="54"/>
        <v/>
      </c>
      <c r="T403" s="245" t="str">
        <f t="shared" si="57"/>
        <v/>
      </c>
      <c r="U403" s="246" t="str">
        <f t="shared" si="55"/>
        <v/>
      </c>
      <c r="V403" s="8"/>
      <c r="AR403" t="str">
        <f t="shared" si="51"/>
        <v/>
      </c>
      <c r="AS403" t="str">
        <f t="shared" si="50"/>
        <v/>
      </c>
    </row>
    <row r="404" spans="1:45" x14ac:dyDescent="0.3">
      <c r="A404" s="231"/>
      <c r="B404" s="235"/>
      <c r="C404" s="214"/>
      <c r="D404" s="214"/>
      <c r="E404" s="214"/>
      <c r="F404" s="214"/>
      <c r="G404" s="222"/>
      <c r="H404" s="221"/>
      <c r="I404" s="213"/>
      <c r="J404" s="213"/>
      <c r="K404" s="215"/>
      <c r="L404" s="216"/>
      <c r="M404" s="217"/>
      <c r="O404" s="241" t="str">
        <f>IF(Q404 = "", "", COUNT(Q$4:$Q404))</f>
        <v/>
      </c>
      <c r="P404" s="241" t="str">
        <f t="shared" si="52"/>
        <v/>
      </c>
      <c r="Q404" s="242" t="str">
        <f t="shared" si="53"/>
        <v/>
      </c>
      <c r="R404" s="243" t="str">
        <f t="shared" si="56"/>
        <v/>
      </c>
      <c r="S404" s="244" t="str">
        <f t="shared" si="54"/>
        <v/>
      </c>
      <c r="T404" s="245" t="str">
        <f t="shared" si="57"/>
        <v/>
      </c>
      <c r="U404" s="246" t="str">
        <f t="shared" si="55"/>
        <v/>
      </c>
      <c r="V404" s="8"/>
      <c r="AR404" t="str">
        <f t="shared" si="51"/>
        <v/>
      </c>
      <c r="AS404" t="str">
        <f t="shared" si="50"/>
        <v/>
      </c>
    </row>
    <row r="405" spans="1:45" x14ac:dyDescent="0.3">
      <c r="A405" s="231"/>
      <c r="B405" s="235"/>
      <c r="C405" s="214"/>
      <c r="D405" s="214"/>
      <c r="E405" s="214"/>
      <c r="F405" s="214"/>
      <c r="G405" s="222"/>
      <c r="H405" s="221"/>
      <c r="I405" s="213"/>
      <c r="J405" s="213"/>
      <c r="K405" s="215"/>
      <c r="L405" s="216"/>
      <c r="M405" s="217"/>
      <c r="O405" s="241" t="str">
        <f>IF(Q405 = "", "", COUNT(Q$4:$Q405))</f>
        <v/>
      </c>
      <c r="P405" s="241" t="str">
        <f t="shared" si="52"/>
        <v/>
      </c>
      <c r="Q405" s="242" t="str">
        <f t="shared" si="53"/>
        <v/>
      </c>
      <c r="R405" s="243" t="str">
        <f t="shared" si="56"/>
        <v/>
      </c>
      <c r="S405" s="244" t="str">
        <f t="shared" si="54"/>
        <v/>
      </c>
      <c r="T405" s="245" t="str">
        <f t="shared" si="57"/>
        <v/>
      </c>
      <c r="U405" s="246" t="str">
        <f t="shared" si="55"/>
        <v/>
      </c>
      <c r="V405" s="8"/>
      <c r="AR405" t="str">
        <f t="shared" si="51"/>
        <v/>
      </c>
      <c r="AS405" t="str">
        <f t="shared" ref="AS405:AS468" si="58">IF(OR(L405="Y",M405="Y"),"Y","")</f>
        <v/>
      </c>
    </row>
    <row r="406" spans="1:45" x14ac:dyDescent="0.3">
      <c r="A406" s="231"/>
      <c r="B406" s="235"/>
      <c r="C406" s="214"/>
      <c r="D406" s="214"/>
      <c r="E406" s="214"/>
      <c r="F406" s="214"/>
      <c r="G406" s="222"/>
      <c r="H406" s="221"/>
      <c r="I406" s="213"/>
      <c r="J406" s="213"/>
      <c r="K406" s="215"/>
      <c r="L406" s="216"/>
      <c r="M406" s="217"/>
      <c r="O406" s="241" t="str">
        <f>IF(Q406 = "", "", COUNT(Q$4:$Q406))</f>
        <v/>
      </c>
      <c r="P406" s="241" t="str">
        <f t="shared" si="52"/>
        <v/>
      </c>
      <c r="Q406" s="242" t="str">
        <f t="shared" si="53"/>
        <v/>
      </c>
      <c r="R406" s="243" t="str">
        <f t="shared" si="56"/>
        <v/>
      </c>
      <c r="S406" s="244" t="str">
        <f t="shared" si="54"/>
        <v/>
      </c>
      <c r="T406" s="245" t="str">
        <f t="shared" si="57"/>
        <v/>
      </c>
      <c r="U406" s="246" t="str">
        <f t="shared" si="55"/>
        <v/>
      </c>
      <c r="V406" s="8"/>
      <c r="AR406" t="str">
        <f t="shared" ref="AR406:AR469" si="59">IF(O406&gt;0, O406, "")</f>
        <v/>
      </c>
      <c r="AS406" t="str">
        <f t="shared" si="58"/>
        <v/>
      </c>
    </row>
    <row r="407" spans="1:45" x14ac:dyDescent="0.3">
      <c r="A407" s="231"/>
      <c r="B407" s="235"/>
      <c r="C407" s="214"/>
      <c r="D407" s="214"/>
      <c r="E407" s="214"/>
      <c r="F407" s="214"/>
      <c r="G407" s="222"/>
      <c r="H407" s="221"/>
      <c r="I407" s="213"/>
      <c r="J407" s="213"/>
      <c r="K407" s="215"/>
      <c r="L407" s="216"/>
      <c r="M407" s="217"/>
      <c r="O407" s="241" t="str">
        <f>IF(Q407 = "", "", COUNT(Q$4:$Q407))</f>
        <v/>
      </c>
      <c r="P407" s="241" t="str">
        <f t="shared" si="52"/>
        <v/>
      </c>
      <c r="Q407" s="242" t="str">
        <f t="shared" si="53"/>
        <v/>
      </c>
      <c r="R407" s="243" t="str">
        <f t="shared" si="56"/>
        <v/>
      </c>
      <c r="S407" s="244" t="str">
        <f t="shared" si="54"/>
        <v/>
      </c>
      <c r="T407" s="245" t="str">
        <f t="shared" si="57"/>
        <v/>
      </c>
      <c r="U407" s="246" t="str">
        <f t="shared" si="55"/>
        <v/>
      </c>
      <c r="V407" s="8"/>
      <c r="AR407" t="str">
        <f t="shared" si="59"/>
        <v/>
      </c>
      <c r="AS407" t="str">
        <f t="shared" si="58"/>
        <v/>
      </c>
    </row>
    <row r="408" spans="1:45" x14ac:dyDescent="0.3">
      <c r="A408" s="231"/>
      <c r="B408" s="235"/>
      <c r="C408" s="214"/>
      <c r="D408" s="214"/>
      <c r="E408" s="214"/>
      <c r="F408" s="214"/>
      <c r="G408" s="222"/>
      <c r="H408" s="221"/>
      <c r="I408" s="213"/>
      <c r="J408" s="213"/>
      <c r="K408" s="215"/>
      <c r="L408" s="216"/>
      <c r="M408" s="217"/>
      <c r="O408" s="241" t="str">
        <f>IF(Q408 = "", "", COUNT(Q$4:$Q408))</f>
        <v/>
      </c>
      <c r="P408" s="241" t="str">
        <f t="shared" si="52"/>
        <v/>
      </c>
      <c r="Q408" s="242" t="str">
        <f t="shared" si="53"/>
        <v/>
      </c>
      <c r="R408" s="243" t="str">
        <f t="shared" si="56"/>
        <v/>
      </c>
      <c r="S408" s="244" t="str">
        <f t="shared" si="54"/>
        <v/>
      </c>
      <c r="T408" s="245" t="str">
        <f t="shared" si="57"/>
        <v/>
      </c>
      <c r="U408" s="246" t="str">
        <f t="shared" si="55"/>
        <v/>
      </c>
      <c r="V408" s="8"/>
      <c r="AR408" t="str">
        <f t="shared" si="59"/>
        <v/>
      </c>
      <c r="AS408" t="str">
        <f t="shared" si="58"/>
        <v/>
      </c>
    </row>
    <row r="409" spans="1:45" x14ac:dyDescent="0.3">
      <c r="A409" s="231"/>
      <c r="B409" s="235"/>
      <c r="C409" s="214"/>
      <c r="D409" s="214"/>
      <c r="E409" s="214"/>
      <c r="F409" s="214"/>
      <c r="G409" s="222"/>
      <c r="H409" s="221"/>
      <c r="I409" s="213"/>
      <c r="J409" s="213"/>
      <c r="K409" s="215"/>
      <c r="L409" s="216"/>
      <c r="M409" s="217"/>
      <c r="O409" s="241" t="str">
        <f>IF(Q409 = "", "", COUNT(Q$4:$Q409))</f>
        <v/>
      </c>
      <c r="P409" s="241" t="str">
        <f t="shared" si="52"/>
        <v/>
      </c>
      <c r="Q409" s="242" t="str">
        <f t="shared" si="53"/>
        <v/>
      </c>
      <c r="R409" s="243" t="str">
        <f t="shared" si="56"/>
        <v/>
      </c>
      <c r="S409" s="244" t="str">
        <f t="shared" si="54"/>
        <v/>
      </c>
      <c r="T409" s="245" t="str">
        <f t="shared" si="57"/>
        <v/>
      </c>
      <c r="U409" s="246" t="str">
        <f t="shared" si="55"/>
        <v/>
      </c>
      <c r="V409" s="8"/>
      <c r="AR409" t="str">
        <f t="shared" si="59"/>
        <v/>
      </c>
      <c r="AS409" t="str">
        <f t="shared" si="58"/>
        <v/>
      </c>
    </row>
    <row r="410" spans="1:45" x14ac:dyDescent="0.3">
      <c r="A410" s="231"/>
      <c r="B410" s="235"/>
      <c r="C410" s="214"/>
      <c r="D410" s="214"/>
      <c r="E410" s="214"/>
      <c r="F410" s="214"/>
      <c r="G410" s="222"/>
      <c r="H410" s="221"/>
      <c r="I410" s="213"/>
      <c r="J410" s="213"/>
      <c r="K410" s="215"/>
      <c r="L410" s="216"/>
      <c r="M410" s="217"/>
      <c r="O410" s="241" t="str">
        <f>IF(Q410 = "", "", COUNT(Q$4:$Q410))</f>
        <v/>
      </c>
      <c r="P410" s="241" t="str">
        <f t="shared" si="52"/>
        <v/>
      </c>
      <c r="Q410" s="242" t="str">
        <f t="shared" si="53"/>
        <v/>
      </c>
      <c r="R410" s="243" t="str">
        <f t="shared" si="56"/>
        <v/>
      </c>
      <c r="S410" s="244" t="str">
        <f t="shared" si="54"/>
        <v/>
      </c>
      <c r="T410" s="245" t="str">
        <f t="shared" si="57"/>
        <v/>
      </c>
      <c r="U410" s="246" t="str">
        <f t="shared" si="55"/>
        <v/>
      </c>
      <c r="V410" s="8"/>
      <c r="AR410" t="str">
        <f t="shared" si="59"/>
        <v/>
      </c>
      <c r="AS410" t="str">
        <f t="shared" si="58"/>
        <v/>
      </c>
    </row>
    <row r="411" spans="1:45" x14ac:dyDescent="0.3">
      <c r="A411" s="231"/>
      <c r="B411" s="235"/>
      <c r="C411" s="214"/>
      <c r="D411" s="214"/>
      <c r="E411" s="214"/>
      <c r="F411" s="214"/>
      <c r="G411" s="222"/>
      <c r="H411" s="221"/>
      <c r="I411" s="213"/>
      <c r="J411" s="213"/>
      <c r="K411" s="215"/>
      <c r="L411" s="216"/>
      <c r="M411" s="217"/>
      <c r="O411" s="241" t="str">
        <f>IF(Q411 = "", "", COUNT(Q$4:$Q411))</f>
        <v/>
      </c>
      <c r="P411" s="241" t="str">
        <f t="shared" si="52"/>
        <v/>
      </c>
      <c r="Q411" s="242" t="str">
        <f t="shared" si="53"/>
        <v/>
      </c>
      <c r="R411" s="243" t="str">
        <f t="shared" si="56"/>
        <v/>
      </c>
      <c r="S411" s="244" t="str">
        <f t="shared" si="54"/>
        <v/>
      </c>
      <c r="T411" s="245" t="str">
        <f t="shared" si="57"/>
        <v/>
      </c>
      <c r="U411" s="246" t="str">
        <f t="shared" si="55"/>
        <v/>
      </c>
      <c r="V411" s="8"/>
      <c r="AR411" t="str">
        <f t="shared" si="59"/>
        <v/>
      </c>
      <c r="AS411" t="str">
        <f t="shared" si="58"/>
        <v/>
      </c>
    </row>
    <row r="412" spans="1:45" x14ac:dyDescent="0.3">
      <c r="A412" s="231"/>
      <c r="B412" s="235"/>
      <c r="C412" s="214"/>
      <c r="D412" s="214"/>
      <c r="E412" s="214"/>
      <c r="F412" s="214"/>
      <c r="G412" s="222"/>
      <c r="H412" s="221"/>
      <c r="I412" s="213"/>
      <c r="J412" s="213"/>
      <c r="K412" s="215"/>
      <c r="L412" s="216"/>
      <c r="M412" s="217"/>
      <c r="O412" s="241" t="str">
        <f>IF(Q412 = "", "", COUNT(Q$4:$Q412))</f>
        <v/>
      </c>
      <c r="P412" s="241" t="str">
        <f t="shared" si="52"/>
        <v/>
      </c>
      <c r="Q412" s="242" t="str">
        <f t="shared" si="53"/>
        <v/>
      </c>
      <c r="R412" s="243" t="str">
        <f t="shared" si="56"/>
        <v/>
      </c>
      <c r="S412" s="244" t="str">
        <f t="shared" si="54"/>
        <v/>
      </c>
      <c r="T412" s="245" t="str">
        <f t="shared" si="57"/>
        <v/>
      </c>
      <c r="U412" s="246" t="str">
        <f t="shared" si="55"/>
        <v/>
      </c>
      <c r="V412" s="8"/>
      <c r="AR412" t="str">
        <f t="shared" si="59"/>
        <v/>
      </c>
      <c r="AS412" t="str">
        <f t="shared" si="58"/>
        <v/>
      </c>
    </row>
    <row r="413" spans="1:45" x14ac:dyDescent="0.3">
      <c r="A413" s="231"/>
      <c r="B413" s="235"/>
      <c r="C413" s="214"/>
      <c r="D413" s="214"/>
      <c r="E413" s="214"/>
      <c r="F413" s="214"/>
      <c r="G413" s="222"/>
      <c r="H413" s="221"/>
      <c r="I413" s="213"/>
      <c r="J413" s="213"/>
      <c r="K413" s="215"/>
      <c r="L413" s="216"/>
      <c r="M413" s="217"/>
      <c r="O413" s="241" t="str">
        <f>IF(Q413 = "", "", COUNT(Q$4:$Q413))</f>
        <v/>
      </c>
      <c r="P413" s="241" t="str">
        <f t="shared" si="52"/>
        <v/>
      </c>
      <c r="Q413" s="242" t="str">
        <f t="shared" si="53"/>
        <v/>
      </c>
      <c r="R413" s="243" t="str">
        <f t="shared" si="56"/>
        <v/>
      </c>
      <c r="S413" s="244" t="str">
        <f t="shared" si="54"/>
        <v/>
      </c>
      <c r="T413" s="245" t="str">
        <f t="shared" si="57"/>
        <v/>
      </c>
      <c r="U413" s="246" t="str">
        <f t="shared" si="55"/>
        <v/>
      </c>
      <c r="V413" s="8"/>
      <c r="AR413" t="str">
        <f t="shared" si="59"/>
        <v/>
      </c>
      <c r="AS413" t="str">
        <f t="shared" si="58"/>
        <v/>
      </c>
    </row>
    <row r="414" spans="1:45" x14ac:dyDescent="0.3">
      <c r="A414" s="231"/>
      <c r="B414" s="235"/>
      <c r="C414" s="214"/>
      <c r="D414" s="214"/>
      <c r="E414" s="214"/>
      <c r="F414" s="214"/>
      <c r="G414" s="222"/>
      <c r="H414" s="221"/>
      <c r="I414" s="213"/>
      <c r="J414" s="213"/>
      <c r="K414" s="215"/>
      <c r="L414" s="216"/>
      <c r="M414" s="217"/>
      <c r="O414" s="241" t="str">
        <f>IF(Q414 = "", "", COUNT(Q$4:$Q414))</f>
        <v/>
      </c>
      <c r="P414" s="241" t="str">
        <f t="shared" si="52"/>
        <v/>
      </c>
      <c r="Q414" s="242" t="str">
        <f t="shared" si="53"/>
        <v/>
      </c>
      <c r="R414" s="243" t="str">
        <f t="shared" si="56"/>
        <v/>
      </c>
      <c r="S414" s="244" t="str">
        <f t="shared" si="54"/>
        <v/>
      </c>
      <c r="T414" s="245" t="str">
        <f t="shared" si="57"/>
        <v/>
      </c>
      <c r="U414" s="246" t="str">
        <f t="shared" si="55"/>
        <v/>
      </c>
      <c r="V414" s="8"/>
      <c r="AR414" t="str">
        <f t="shared" si="59"/>
        <v/>
      </c>
      <c r="AS414" t="str">
        <f t="shared" si="58"/>
        <v/>
      </c>
    </row>
    <row r="415" spans="1:45" x14ac:dyDescent="0.3">
      <c r="A415" s="231"/>
      <c r="B415" s="235"/>
      <c r="C415" s="214"/>
      <c r="D415" s="214"/>
      <c r="E415" s="214"/>
      <c r="F415" s="214"/>
      <c r="G415" s="222"/>
      <c r="H415" s="221"/>
      <c r="I415" s="213"/>
      <c r="J415" s="213"/>
      <c r="K415" s="215"/>
      <c r="L415" s="216"/>
      <c r="M415" s="217"/>
      <c r="O415" s="241" t="str">
        <f>IF(Q415 = "", "", COUNT(Q$4:$Q415))</f>
        <v/>
      </c>
      <c r="P415" s="241" t="str">
        <f t="shared" si="52"/>
        <v/>
      </c>
      <c r="Q415" s="242" t="str">
        <f t="shared" si="53"/>
        <v/>
      </c>
      <c r="R415" s="243" t="str">
        <f t="shared" si="56"/>
        <v/>
      </c>
      <c r="S415" s="244" t="str">
        <f t="shared" si="54"/>
        <v/>
      </c>
      <c r="T415" s="245" t="str">
        <f t="shared" si="57"/>
        <v/>
      </c>
      <c r="U415" s="246" t="str">
        <f t="shared" si="55"/>
        <v/>
      </c>
      <c r="V415" s="8"/>
      <c r="AR415" t="str">
        <f t="shared" si="59"/>
        <v/>
      </c>
      <c r="AS415" t="str">
        <f t="shared" si="58"/>
        <v/>
      </c>
    </row>
    <row r="416" spans="1:45" x14ac:dyDescent="0.3">
      <c r="A416" s="231"/>
      <c r="B416" s="235"/>
      <c r="C416" s="214"/>
      <c r="D416" s="214"/>
      <c r="E416" s="214"/>
      <c r="F416" s="214"/>
      <c r="G416" s="222"/>
      <c r="H416" s="221"/>
      <c r="I416" s="213"/>
      <c r="J416" s="213"/>
      <c r="K416" s="215"/>
      <c r="L416" s="216"/>
      <c r="M416" s="217"/>
      <c r="O416" s="241" t="str">
        <f>IF(Q416 = "", "", COUNT(Q$4:$Q416))</f>
        <v/>
      </c>
      <c r="P416" s="241" t="str">
        <f t="shared" si="52"/>
        <v/>
      </c>
      <c r="Q416" s="242" t="str">
        <f t="shared" si="53"/>
        <v/>
      </c>
      <c r="R416" s="243" t="str">
        <f t="shared" si="56"/>
        <v/>
      </c>
      <c r="S416" s="244" t="str">
        <f t="shared" si="54"/>
        <v/>
      </c>
      <c r="T416" s="245" t="str">
        <f t="shared" si="57"/>
        <v/>
      </c>
      <c r="U416" s="246" t="str">
        <f t="shared" si="55"/>
        <v/>
      </c>
      <c r="V416" s="8"/>
      <c r="AR416" t="str">
        <f t="shared" si="59"/>
        <v/>
      </c>
      <c r="AS416" t="str">
        <f t="shared" si="58"/>
        <v/>
      </c>
    </row>
    <row r="417" spans="1:45" x14ac:dyDescent="0.3">
      <c r="A417" s="231"/>
      <c r="B417" s="235"/>
      <c r="C417" s="214"/>
      <c r="D417" s="214"/>
      <c r="E417" s="214"/>
      <c r="F417" s="214"/>
      <c r="G417" s="222"/>
      <c r="H417" s="221"/>
      <c r="I417" s="213"/>
      <c r="J417" s="213"/>
      <c r="K417" s="215"/>
      <c r="L417" s="216"/>
      <c r="M417" s="217"/>
      <c r="O417" s="241" t="str">
        <f>IF(Q417 = "", "", COUNT(Q$4:$Q417))</f>
        <v/>
      </c>
      <c r="P417" s="241" t="str">
        <f t="shared" si="52"/>
        <v/>
      </c>
      <c r="Q417" s="242" t="str">
        <f t="shared" si="53"/>
        <v/>
      </c>
      <c r="R417" s="243" t="str">
        <f t="shared" si="56"/>
        <v/>
      </c>
      <c r="S417" s="244" t="str">
        <f t="shared" si="54"/>
        <v/>
      </c>
      <c r="T417" s="245" t="str">
        <f t="shared" si="57"/>
        <v/>
      </c>
      <c r="U417" s="246" t="str">
        <f t="shared" si="55"/>
        <v/>
      </c>
      <c r="V417" s="8"/>
      <c r="AR417" t="str">
        <f t="shared" si="59"/>
        <v/>
      </c>
      <c r="AS417" t="str">
        <f t="shared" si="58"/>
        <v/>
      </c>
    </row>
    <row r="418" spans="1:45" x14ac:dyDescent="0.3">
      <c r="A418" s="231"/>
      <c r="B418" s="235"/>
      <c r="C418" s="214"/>
      <c r="D418" s="214"/>
      <c r="E418" s="214"/>
      <c r="F418" s="214"/>
      <c r="G418" s="222"/>
      <c r="H418" s="221"/>
      <c r="I418" s="213"/>
      <c r="J418" s="213"/>
      <c r="K418" s="215"/>
      <c r="L418" s="216"/>
      <c r="M418" s="217"/>
      <c r="O418" s="241" t="str">
        <f>IF(Q418 = "", "", COUNT(Q$4:$Q418))</f>
        <v/>
      </c>
      <c r="P418" s="241" t="str">
        <f t="shared" si="52"/>
        <v/>
      </c>
      <c r="Q418" s="242" t="str">
        <f t="shared" si="53"/>
        <v/>
      </c>
      <c r="R418" s="243" t="str">
        <f t="shared" si="56"/>
        <v/>
      </c>
      <c r="S418" s="244" t="str">
        <f t="shared" si="54"/>
        <v/>
      </c>
      <c r="T418" s="245" t="str">
        <f t="shared" si="57"/>
        <v/>
      </c>
      <c r="U418" s="246" t="str">
        <f t="shared" si="55"/>
        <v/>
      </c>
      <c r="V418" s="8"/>
      <c r="AR418" t="str">
        <f t="shared" si="59"/>
        <v/>
      </c>
      <c r="AS418" t="str">
        <f t="shared" si="58"/>
        <v/>
      </c>
    </row>
    <row r="419" spans="1:45" x14ac:dyDescent="0.3">
      <c r="A419" s="231"/>
      <c r="B419" s="235"/>
      <c r="C419" s="214"/>
      <c r="D419" s="214"/>
      <c r="E419" s="214"/>
      <c r="F419" s="214"/>
      <c r="G419" s="222"/>
      <c r="H419" s="221"/>
      <c r="I419" s="213"/>
      <c r="J419" s="213"/>
      <c r="K419" s="215"/>
      <c r="L419" s="216"/>
      <c r="M419" s="217"/>
      <c r="O419" s="241" t="str">
        <f>IF(Q419 = "", "", COUNT(Q$4:$Q419))</f>
        <v/>
      </c>
      <c r="P419" s="241" t="str">
        <f t="shared" si="52"/>
        <v/>
      </c>
      <c r="Q419" s="242" t="str">
        <f t="shared" si="53"/>
        <v/>
      </c>
      <c r="R419" s="243" t="str">
        <f t="shared" si="56"/>
        <v/>
      </c>
      <c r="S419" s="244" t="str">
        <f t="shared" si="54"/>
        <v/>
      </c>
      <c r="T419" s="245" t="str">
        <f t="shared" si="57"/>
        <v/>
      </c>
      <c r="U419" s="246" t="str">
        <f t="shared" si="55"/>
        <v/>
      </c>
      <c r="V419" s="8"/>
      <c r="AR419" t="str">
        <f t="shared" si="59"/>
        <v/>
      </c>
      <c r="AS419" t="str">
        <f t="shared" si="58"/>
        <v/>
      </c>
    </row>
    <row r="420" spans="1:45" x14ac:dyDescent="0.3">
      <c r="A420" s="231"/>
      <c r="B420" s="235"/>
      <c r="C420" s="214"/>
      <c r="D420" s="214"/>
      <c r="E420" s="214"/>
      <c r="F420" s="214"/>
      <c r="G420" s="222"/>
      <c r="H420" s="221"/>
      <c r="I420" s="213"/>
      <c r="J420" s="213"/>
      <c r="K420" s="215"/>
      <c r="L420" s="216"/>
      <c r="M420" s="217"/>
      <c r="O420" s="241" t="str">
        <f>IF(Q420 = "", "", COUNT(Q$4:$Q420))</f>
        <v/>
      </c>
      <c r="P420" s="241" t="str">
        <f t="shared" si="52"/>
        <v/>
      </c>
      <c r="Q420" s="242" t="str">
        <f t="shared" si="53"/>
        <v/>
      </c>
      <c r="R420" s="243" t="str">
        <f t="shared" si="56"/>
        <v/>
      </c>
      <c r="S420" s="244" t="str">
        <f t="shared" si="54"/>
        <v/>
      </c>
      <c r="T420" s="245" t="str">
        <f t="shared" si="57"/>
        <v/>
      </c>
      <c r="U420" s="246" t="str">
        <f t="shared" si="55"/>
        <v/>
      </c>
      <c r="V420" s="8"/>
      <c r="AR420" t="str">
        <f t="shared" si="59"/>
        <v/>
      </c>
      <c r="AS420" t="str">
        <f t="shared" si="58"/>
        <v/>
      </c>
    </row>
    <row r="421" spans="1:45" x14ac:dyDescent="0.3">
      <c r="A421" s="231"/>
      <c r="B421" s="235"/>
      <c r="C421" s="214"/>
      <c r="D421" s="214"/>
      <c r="E421" s="214"/>
      <c r="F421" s="214"/>
      <c r="G421" s="222"/>
      <c r="H421" s="221"/>
      <c r="I421" s="213"/>
      <c r="J421" s="213"/>
      <c r="K421" s="215"/>
      <c r="L421" s="216"/>
      <c r="M421" s="217"/>
      <c r="O421" s="241" t="str">
        <f>IF(Q421 = "", "", COUNT(Q$4:$Q421))</f>
        <v/>
      </c>
      <c r="P421" s="241" t="str">
        <f t="shared" si="52"/>
        <v/>
      </c>
      <c r="Q421" s="242" t="str">
        <f t="shared" si="53"/>
        <v/>
      </c>
      <c r="R421" s="243" t="str">
        <f t="shared" si="56"/>
        <v/>
      </c>
      <c r="S421" s="244" t="str">
        <f t="shared" si="54"/>
        <v/>
      </c>
      <c r="T421" s="245" t="str">
        <f t="shared" si="57"/>
        <v/>
      </c>
      <c r="U421" s="246" t="str">
        <f t="shared" si="55"/>
        <v/>
      </c>
      <c r="V421" s="8"/>
      <c r="AR421" t="str">
        <f t="shared" si="59"/>
        <v/>
      </c>
      <c r="AS421" t="str">
        <f t="shared" si="58"/>
        <v/>
      </c>
    </row>
    <row r="422" spans="1:45" x14ac:dyDescent="0.3">
      <c r="A422" s="231"/>
      <c r="B422" s="235"/>
      <c r="C422" s="214"/>
      <c r="D422" s="214"/>
      <c r="E422" s="214"/>
      <c r="F422" s="214"/>
      <c r="G422" s="222"/>
      <c r="H422" s="221"/>
      <c r="I422" s="213"/>
      <c r="J422" s="213"/>
      <c r="K422" s="215"/>
      <c r="L422" s="216"/>
      <c r="M422" s="217"/>
      <c r="O422" s="241" t="str">
        <f>IF(Q422 = "", "", COUNT(Q$4:$Q422))</f>
        <v/>
      </c>
      <c r="P422" s="241" t="str">
        <f t="shared" si="52"/>
        <v/>
      </c>
      <c r="Q422" s="242" t="str">
        <f t="shared" si="53"/>
        <v/>
      </c>
      <c r="R422" s="243" t="str">
        <f t="shared" si="56"/>
        <v/>
      </c>
      <c r="S422" s="244" t="str">
        <f t="shared" si="54"/>
        <v/>
      </c>
      <c r="T422" s="245" t="str">
        <f t="shared" si="57"/>
        <v/>
      </c>
      <c r="U422" s="246" t="str">
        <f t="shared" si="55"/>
        <v/>
      </c>
      <c r="V422" s="8"/>
      <c r="AR422" t="str">
        <f t="shared" si="59"/>
        <v/>
      </c>
      <c r="AS422" t="str">
        <f t="shared" si="58"/>
        <v/>
      </c>
    </row>
    <row r="423" spans="1:45" x14ac:dyDescent="0.3">
      <c r="A423" s="231"/>
      <c r="B423" s="235"/>
      <c r="C423" s="214"/>
      <c r="D423" s="214"/>
      <c r="E423" s="214"/>
      <c r="F423" s="214"/>
      <c r="G423" s="222"/>
      <c r="H423" s="221"/>
      <c r="I423" s="213"/>
      <c r="J423" s="213"/>
      <c r="K423" s="215"/>
      <c r="L423" s="216"/>
      <c r="M423" s="217"/>
      <c r="O423" s="241" t="str">
        <f>IF(Q423 = "", "", COUNT(Q$4:$Q423))</f>
        <v/>
      </c>
      <c r="P423" s="241" t="str">
        <f t="shared" si="52"/>
        <v/>
      </c>
      <c r="Q423" s="242" t="str">
        <f t="shared" si="53"/>
        <v/>
      </c>
      <c r="R423" s="243" t="str">
        <f t="shared" si="56"/>
        <v/>
      </c>
      <c r="S423" s="244" t="str">
        <f t="shared" si="54"/>
        <v/>
      </c>
      <c r="T423" s="245" t="str">
        <f t="shared" si="57"/>
        <v/>
      </c>
      <c r="U423" s="246" t="str">
        <f t="shared" si="55"/>
        <v/>
      </c>
      <c r="V423" s="8"/>
      <c r="AR423" t="str">
        <f t="shared" si="59"/>
        <v/>
      </c>
      <c r="AS423" t="str">
        <f t="shared" si="58"/>
        <v/>
      </c>
    </row>
    <row r="424" spans="1:45" x14ac:dyDescent="0.3">
      <c r="A424" s="231"/>
      <c r="B424" s="235"/>
      <c r="C424" s="214"/>
      <c r="D424" s="214"/>
      <c r="E424" s="214"/>
      <c r="F424" s="214"/>
      <c r="G424" s="222"/>
      <c r="H424" s="221"/>
      <c r="I424" s="213"/>
      <c r="J424" s="213"/>
      <c r="K424" s="215"/>
      <c r="L424" s="216"/>
      <c r="M424" s="217"/>
      <c r="O424" s="241" t="str">
        <f>IF(Q424 = "", "", COUNT(Q$4:$Q424))</f>
        <v/>
      </c>
      <c r="P424" s="241" t="str">
        <f t="shared" si="52"/>
        <v/>
      </c>
      <c r="Q424" s="242" t="str">
        <f t="shared" si="53"/>
        <v/>
      </c>
      <c r="R424" s="243" t="str">
        <f t="shared" si="56"/>
        <v/>
      </c>
      <c r="S424" s="244" t="str">
        <f t="shared" si="54"/>
        <v/>
      </c>
      <c r="T424" s="245" t="str">
        <f t="shared" si="57"/>
        <v/>
      </c>
      <c r="U424" s="246" t="str">
        <f t="shared" si="55"/>
        <v/>
      </c>
      <c r="V424" s="8"/>
      <c r="AR424" t="str">
        <f t="shared" si="59"/>
        <v/>
      </c>
      <c r="AS424" t="str">
        <f t="shared" si="58"/>
        <v/>
      </c>
    </row>
    <row r="425" spans="1:45" x14ac:dyDescent="0.3">
      <c r="A425" s="231"/>
      <c r="B425" s="235"/>
      <c r="C425" s="214"/>
      <c r="D425" s="214"/>
      <c r="E425" s="214"/>
      <c r="F425" s="214"/>
      <c r="G425" s="222"/>
      <c r="H425" s="221"/>
      <c r="I425" s="213"/>
      <c r="J425" s="213"/>
      <c r="K425" s="215"/>
      <c r="L425" s="216"/>
      <c r="M425" s="217"/>
      <c r="O425" s="241" t="str">
        <f>IF(Q425 = "", "", COUNT(Q$4:$Q425))</f>
        <v/>
      </c>
      <c r="P425" s="241" t="str">
        <f t="shared" si="52"/>
        <v/>
      </c>
      <c r="Q425" s="242" t="str">
        <f t="shared" si="53"/>
        <v/>
      </c>
      <c r="R425" s="243" t="str">
        <f t="shared" si="56"/>
        <v/>
      </c>
      <c r="S425" s="244" t="str">
        <f t="shared" si="54"/>
        <v/>
      </c>
      <c r="T425" s="245" t="str">
        <f t="shared" si="57"/>
        <v/>
      </c>
      <c r="U425" s="246" t="str">
        <f t="shared" si="55"/>
        <v/>
      </c>
      <c r="V425" s="8"/>
      <c r="AR425" t="str">
        <f t="shared" si="59"/>
        <v/>
      </c>
      <c r="AS425" t="str">
        <f t="shared" si="58"/>
        <v/>
      </c>
    </row>
    <row r="426" spans="1:45" x14ac:dyDescent="0.3">
      <c r="A426" s="231"/>
      <c r="B426" s="235"/>
      <c r="C426" s="214"/>
      <c r="D426" s="214"/>
      <c r="E426" s="214"/>
      <c r="F426" s="214"/>
      <c r="G426" s="222"/>
      <c r="H426" s="221"/>
      <c r="I426" s="213"/>
      <c r="J426" s="213"/>
      <c r="K426" s="215"/>
      <c r="L426" s="216"/>
      <c r="M426" s="217"/>
      <c r="O426" s="241" t="str">
        <f>IF(Q426 = "", "", COUNT(Q$4:$Q426))</f>
        <v/>
      </c>
      <c r="P426" s="241" t="str">
        <f t="shared" si="52"/>
        <v/>
      </c>
      <c r="Q426" s="242" t="str">
        <f t="shared" si="53"/>
        <v/>
      </c>
      <c r="R426" s="243" t="str">
        <f t="shared" si="56"/>
        <v/>
      </c>
      <c r="S426" s="244" t="str">
        <f t="shared" si="54"/>
        <v/>
      </c>
      <c r="T426" s="245" t="str">
        <f t="shared" si="57"/>
        <v/>
      </c>
      <c r="U426" s="246" t="str">
        <f t="shared" si="55"/>
        <v/>
      </c>
      <c r="V426" s="8"/>
      <c r="AR426" t="str">
        <f t="shared" si="59"/>
        <v/>
      </c>
      <c r="AS426" t="str">
        <f t="shared" si="58"/>
        <v/>
      </c>
    </row>
    <row r="427" spans="1:45" x14ac:dyDescent="0.3">
      <c r="A427" s="231"/>
      <c r="B427" s="235"/>
      <c r="C427" s="214"/>
      <c r="D427" s="214"/>
      <c r="E427" s="214"/>
      <c r="F427" s="214"/>
      <c r="G427" s="222"/>
      <c r="H427" s="221"/>
      <c r="I427" s="213"/>
      <c r="J427" s="213"/>
      <c r="K427" s="215"/>
      <c r="L427" s="216"/>
      <c r="M427" s="217"/>
      <c r="O427" s="241" t="str">
        <f>IF(Q427 = "", "", COUNT(Q$4:$Q427))</f>
        <v/>
      </c>
      <c r="P427" s="241" t="str">
        <f t="shared" si="52"/>
        <v/>
      </c>
      <c r="Q427" s="242" t="str">
        <f t="shared" si="53"/>
        <v/>
      </c>
      <c r="R427" s="243" t="str">
        <f t="shared" si="56"/>
        <v/>
      </c>
      <c r="S427" s="244" t="str">
        <f t="shared" si="54"/>
        <v/>
      </c>
      <c r="T427" s="245" t="str">
        <f t="shared" si="57"/>
        <v/>
      </c>
      <c r="U427" s="246" t="str">
        <f t="shared" si="55"/>
        <v/>
      </c>
      <c r="V427" s="8"/>
      <c r="AR427" t="str">
        <f t="shared" si="59"/>
        <v/>
      </c>
      <c r="AS427" t="str">
        <f t="shared" si="58"/>
        <v/>
      </c>
    </row>
    <row r="428" spans="1:45" x14ac:dyDescent="0.3">
      <c r="A428" s="231"/>
      <c r="B428" s="235"/>
      <c r="C428" s="214"/>
      <c r="D428" s="214"/>
      <c r="E428" s="214"/>
      <c r="F428" s="214"/>
      <c r="G428" s="222"/>
      <c r="H428" s="221"/>
      <c r="I428" s="213"/>
      <c r="J428" s="213"/>
      <c r="K428" s="215"/>
      <c r="L428" s="216"/>
      <c r="M428" s="217"/>
      <c r="O428" s="241" t="str">
        <f>IF(Q428 = "", "", COUNT(Q$4:$Q428))</f>
        <v/>
      </c>
      <c r="P428" s="241" t="str">
        <f t="shared" si="52"/>
        <v/>
      </c>
      <c r="Q428" s="242" t="str">
        <f t="shared" si="53"/>
        <v/>
      </c>
      <c r="R428" s="243" t="str">
        <f t="shared" si="56"/>
        <v/>
      </c>
      <c r="S428" s="244" t="str">
        <f t="shared" si="54"/>
        <v/>
      </c>
      <c r="T428" s="245" t="str">
        <f t="shared" si="57"/>
        <v/>
      </c>
      <c r="U428" s="246" t="str">
        <f t="shared" si="55"/>
        <v/>
      </c>
      <c r="V428" s="8"/>
      <c r="AR428" t="str">
        <f t="shared" si="59"/>
        <v/>
      </c>
      <c r="AS428" t="str">
        <f t="shared" si="58"/>
        <v/>
      </c>
    </row>
    <row r="429" spans="1:45" x14ac:dyDescent="0.3">
      <c r="A429" s="231"/>
      <c r="B429" s="235"/>
      <c r="C429" s="214"/>
      <c r="D429" s="214"/>
      <c r="E429" s="214"/>
      <c r="F429" s="214"/>
      <c r="G429" s="222"/>
      <c r="H429" s="221"/>
      <c r="I429" s="213"/>
      <c r="J429" s="213"/>
      <c r="K429" s="215"/>
      <c r="L429" s="216"/>
      <c r="M429" s="217"/>
      <c r="O429" s="241" t="str">
        <f>IF(Q429 = "", "", COUNT(Q$4:$Q429))</f>
        <v/>
      </c>
      <c r="P429" s="241" t="str">
        <f t="shared" si="52"/>
        <v/>
      </c>
      <c r="Q429" s="242" t="str">
        <f t="shared" si="53"/>
        <v/>
      </c>
      <c r="R429" s="243" t="str">
        <f t="shared" si="56"/>
        <v/>
      </c>
      <c r="S429" s="244" t="str">
        <f t="shared" si="54"/>
        <v/>
      </c>
      <c r="T429" s="245" t="str">
        <f t="shared" si="57"/>
        <v/>
      </c>
      <c r="U429" s="246" t="str">
        <f t="shared" si="55"/>
        <v/>
      </c>
      <c r="V429" s="8"/>
      <c r="AR429" t="str">
        <f t="shared" si="59"/>
        <v/>
      </c>
      <c r="AS429" t="str">
        <f t="shared" si="58"/>
        <v/>
      </c>
    </row>
    <row r="430" spans="1:45" x14ac:dyDescent="0.3">
      <c r="A430" s="231"/>
      <c r="B430" s="235"/>
      <c r="C430" s="214"/>
      <c r="D430" s="214"/>
      <c r="E430" s="214"/>
      <c r="F430" s="214"/>
      <c r="G430" s="222"/>
      <c r="H430" s="221"/>
      <c r="I430" s="213"/>
      <c r="J430" s="213"/>
      <c r="K430" s="215"/>
      <c r="L430" s="216"/>
      <c r="M430" s="217"/>
      <c r="O430" s="241" t="str">
        <f>IF(Q430 = "", "", COUNT(Q$4:$Q430))</f>
        <v/>
      </c>
      <c r="P430" s="241" t="str">
        <f t="shared" si="52"/>
        <v/>
      </c>
      <c r="Q430" s="242" t="str">
        <f t="shared" si="53"/>
        <v/>
      </c>
      <c r="R430" s="243" t="str">
        <f t="shared" si="56"/>
        <v/>
      </c>
      <c r="S430" s="244" t="str">
        <f t="shared" si="54"/>
        <v/>
      </c>
      <c r="T430" s="245" t="str">
        <f t="shared" si="57"/>
        <v/>
      </c>
      <c r="U430" s="246" t="str">
        <f t="shared" si="55"/>
        <v/>
      </c>
      <c r="V430" s="8"/>
      <c r="AR430" t="str">
        <f t="shared" si="59"/>
        <v/>
      </c>
      <c r="AS430" t="str">
        <f t="shared" si="58"/>
        <v/>
      </c>
    </row>
    <row r="431" spans="1:45" x14ac:dyDescent="0.3">
      <c r="A431" s="231"/>
      <c r="B431" s="235"/>
      <c r="C431" s="214"/>
      <c r="D431" s="214"/>
      <c r="E431" s="214"/>
      <c r="F431" s="214"/>
      <c r="G431" s="222"/>
      <c r="H431" s="221"/>
      <c r="I431" s="213"/>
      <c r="J431" s="213"/>
      <c r="K431" s="215"/>
      <c r="L431" s="216"/>
      <c r="M431" s="217"/>
      <c r="O431" s="241" t="str">
        <f>IF(Q431 = "", "", COUNT(Q$4:$Q431))</f>
        <v/>
      </c>
      <c r="P431" s="241" t="str">
        <f t="shared" si="52"/>
        <v/>
      </c>
      <c r="Q431" s="242" t="str">
        <f t="shared" si="53"/>
        <v/>
      </c>
      <c r="R431" s="243" t="str">
        <f t="shared" si="56"/>
        <v/>
      </c>
      <c r="S431" s="244" t="str">
        <f t="shared" si="54"/>
        <v/>
      </c>
      <c r="T431" s="245" t="str">
        <f t="shared" si="57"/>
        <v/>
      </c>
      <c r="U431" s="246" t="str">
        <f t="shared" si="55"/>
        <v/>
      </c>
      <c r="V431" s="8"/>
      <c r="AR431" t="str">
        <f t="shared" si="59"/>
        <v/>
      </c>
      <c r="AS431" t="str">
        <f t="shared" si="58"/>
        <v/>
      </c>
    </row>
    <row r="432" spans="1:45" x14ac:dyDescent="0.3">
      <c r="A432" s="231"/>
      <c r="B432" s="235"/>
      <c r="C432" s="214"/>
      <c r="D432" s="214"/>
      <c r="E432" s="214"/>
      <c r="F432" s="214"/>
      <c r="G432" s="222"/>
      <c r="H432" s="221"/>
      <c r="I432" s="213"/>
      <c r="J432" s="213"/>
      <c r="K432" s="215"/>
      <c r="L432" s="216"/>
      <c r="M432" s="217"/>
      <c r="O432" s="241" t="str">
        <f>IF(Q432 = "", "", COUNT(Q$4:$Q432))</f>
        <v/>
      </c>
      <c r="P432" s="241" t="str">
        <f t="shared" si="52"/>
        <v/>
      </c>
      <c r="Q432" s="242" t="str">
        <f t="shared" si="53"/>
        <v/>
      </c>
      <c r="R432" s="243" t="str">
        <f t="shared" si="56"/>
        <v/>
      </c>
      <c r="S432" s="244" t="str">
        <f t="shared" si="54"/>
        <v/>
      </c>
      <c r="T432" s="245" t="str">
        <f t="shared" si="57"/>
        <v/>
      </c>
      <c r="U432" s="246" t="str">
        <f t="shared" si="55"/>
        <v/>
      </c>
      <c r="V432" s="8"/>
      <c r="AR432" t="str">
        <f t="shared" si="59"/>
        <v/>
      </c>
      <c r="AS432" t="str">
        <f t="shared" si="58"/>
        <v/>
      </c>
    </row>
    <row r="433" spans="1:45" x14ac:dyDescent="0.3">
      <c r="A433" s="231"/>
      <c r="B433" s="235"/>
      <c r="C433" s="214"/>
      <c r="D433" s="214"/>
      <c r="E433" s="214"/>
      <c r="F433" s="214"/>
      <c r="G433" s="222"/>
      <c r="H433" s="221"/>
      <c r="I433" s="213"/>
      <c r="J433" s="213"/>
      <c r="K433" s="215"/>
      <c r="L433" s="216"/>
      <c r="M433" s="217"/>
      <c r="O433" s="241" t="str">
        <f>IF(Q433 = "", "", COUNT(Q$4:$Q433))</f>
        <v/>
      </c>
      <c r="P433" s="241" t="str">
        <f t="shared" si="52"/>
        <v/>
      </c>
      <c r="Q433" s="242" t="str">
        <f t="shared" si="53"/>
        <v/>
      </c>
      <c r="R433" s="243" t="str">
        <f t="shared" si="56"/>
        <v/>
      </c>
      <c r="S433" s="244" t="str">
        <f t="shared" si="54"/>
        <v/>
      </c>
      <c r="T433" s="245" t="str">
        <f t="shared" si="57"/>
        <v/>
      </c>
      <c r="U433" s="246" t="str">
        <f t="shared" si="55"/>
        <v/>
      </c>
      <c r="V433" s="8"/>
      <c r="AR433" t="str">
        <f t="shared" si="59"/>
        <v/>
      </c>
      <c r="AS433" t="str">
        <f t="shared" si="58"/>
        <v/>
      </c>
    </row>
    <row r="434" spans="1:45" x14ac:dyDescent="0.3">
      <c r="A434" s="231"/>
      <c r="B434" s="235"/>
      <c r="C434" s="214"/>
      <c r="D434" s="214"/>
      <c r="E434" s="214"/>
      <c r="F434" s="214"/>
      <c r="G434" s="222"/>
      <c r="H434" s="221"/>
      <c r="I434" s="213"/>
      <c r="J434" s="213"/>
      <c r="K434" s="215"/>
      <c r="L434" s="216"/>
      <c r="M434" s="217"/>
      <c r="O434" s="241" t="str">
        <f>IF(Q434 = "", "", COUNT(Q$4:$Q434))</f>
        <v/>
      </c>
      <c r="P434" s="241" t="str">
        <f t="shared" si="52"/>
        <v/>
      </c>
      <c r="Q434" s="242" t="str">
        <f t="shared" si="53"/>
        <v/>
      </c>
      <c r="R434" s="243" t="str">
        <f t="shared" si="56"/>
        <v/>
      </c>
      <c r="S434" s="244" t="str">
        <f t="shared" si="54"/>
        <v/>
      </c>
      <c r="T434" s="245" t="str">
        <f t="shared" si="57"/>
        <v/>
      </c>
      <c r="U434" s="246" t="str">
        <f t="shared" si="55"/>
        <v/>
      </c>
      <c r="V434" s="8"/>
      <c r="AR434" t="str">
        <f t="shared" si="59"/>
        <v/>
      </c>
      <c r="AS434" t="str">
        <f t="shared" si="58"/>
        <v/>
      </c>
    </row>
    <row r="435" spans="1:45" x14ac:dyDescent="0.3">
      <c r="A435" s="231"/>
      <c r="B435" s="235"/>
      <c r="C435" s="214"/>
      <c r="D435" s="214"/>
      <c r="E435" s="214"/>
      <c r="F435" s="214"/>
      <c r="G435" s="222"/>
      <c r="H435" s="221"/>
      <c r="I435" s="213"/>
      <c r="J435" s="213"/>
      <c r="K435" s="215"/>
      <c r="L435" s="216"/>
      <c r="M435" s="217"/>
      <c r="O435" s="241" t="str">
        <f>IF(Q435 = "", "", COUNT(Q$4:$Q435))</f>
        <v/>
      </c>
      <c r="P435" s="241" t="str">
        <f t="shared" si="52"/>
        <v/>
      </c>
      <c r="Q435" s="242" t="str">
        <f t="shared" si="53"/>
        <v/>
      </c>
      <c r="R435" s="243" t="str">
        <f t="shared" si="56"/>
        <v/>
      </c>
      <c r="S435" s="244" t="str">
        <f t="shared" si="54"/>
        <v/>
      </c>
      <c r="T435" s="245" t="str">
        <f t="shared" si="57"/>
        <v/>
      </c>
      <c r="U435" s="246" t="str">
        <f t="shared" si="55"/>
        <v/>
      </c>
      <c r="V435" s="8"/>
      <c r="AR435" t="str">
        <f t="shared" si="59"/>
        <v/>
      </c>
      <c r="AS435" t="str">
        <f t="shared" si="58"/>
        <v/>
      </c>
    </row>
    <row r="436" spans="1:45" x14ac:dyDescent="0.3">
      <c r="A436" s="231"/>
      <c r="B436" s="235"/>
      <c r="C436" s="214"/>
      <c r="D436" s="214"/>
      <c r="E436" s="214"/>
      <c r="F436" s="214"/>
      <c r="G436" s="222"/>
      <c r="H436" s="221"/>
      <c r="I436" s="213"/>
      <c r="J436" s="213"/>
      <c r="K436" s="215"/>
      <c r="L436" s="216"/>
      <c r="M436" s="217"/>
      <c r="O436" s="241" t="str">
        <f>IF(Q436 = "", "", COUNT(Q$4:$Q436))</f>
        <v/>
      </c>
      <c r="P436" s="241" t="str">
        <f t="shared" si="52"/>
        <v/>
      </c>
      <c r="Q436" s="242" t="str">
        <f t="shared" si="53"/>
        <v/>
      </c>
      <c r="R436" s="243" t="str">
        <f t="shared" si="56"/>
        <v/>
      </c>
      <c r="S436" s="244" t="str">
        <f t="shared" si="54"/>
        <v/>
      </c>
      <c r="T436" s="245" t="str">
        <f t="shared" si="57"/>
        <v/>
      </c>
      <c r="U436" s="246" t="str">
        <f t="shared" si="55"/>
        <v/>
      </c>
      <c r="V436" s="8"/>
      <c r="AR436" t="str">
        <f t="shared" si="59"/>
        <v/>
      </c>
      <c r="AS436" t="str">
        <f t="shared" si="58"/>
        <v/>
      </c>
    </row>
    <row r="437" spans="1:45" x14ac:dyDescent="0.3">
      <c r="A437" s="231"/>
      <c r="B437" s="235"/>
      <c r="C437" s="214"/>
      <c r="D437" s="214"/>
      <c r="E437" s="214"/>
      <c r="F437" s="214"/>
      <c r="G437" s="222"/>
      <c r="H437" s="221"/>
      <c r="I437" s="213"/>
      <c r="J437" s="213"/>
      <c r="K437" s="215"/>
      <c r="L437" s="216"/>
      <c r="M437" s="217"/>
      <c r="O437" s="241" t="str">
        <f>IF(Q437 = "", "", COUNT(Q$4:$Q437))</f>
        <v/>
      </c>
      <c r="P437" s="241" t="str">
        <f t="shared" si="52"/>
        <v/>
      </c>
      <c r="Q437" s="242" t="str">
        <f t="shared" si="53"/>
        <v/>
      </c>
      <c r="R437" s="243" t="str">
        <f t="shared" si="56"/>
        <v/>
      </c>
      <c r="S437" s="244" t="str">
        <f t="shared" si="54"/>
        <v/>
      </c>
      <c r="T437" s="245" t="str">
        <f t="shared" si="57"/>
        <v/>
      </c>
      <c r="U437" s="246" t="str">
        <f t="shared" si="55"/>
        <v/>
      </c>
      <c r="V437" s="8"/>
      <c r="AR437" t="str">
        <f t="shared" si="59"/>
        <v/>
      </c>
      <c r="AS437" t="str">
        <f t="shared" si="58"/>
        <v/>
      </c>
    </row>
    <row r="438" spans="1:45" x14ac:dyDescent="0.3">
      <c r="A438" s="231"/>
      <c r="B438" s="235"/>
      <c r="C438" s="214"/>
      <c r="D438" s="214"/>
      <c r="E438" s="214"/>
      <c r="F438" s="214"/>
      <c r="G438" s="222"/>
      <c r="H438" s="221"/>
      <c r="I438" s="213"/>
      <c r="J438" s="213"/>
      <c r="K438" s="215"/>
      <c r="L438" s="216"/>
      <c r="M438" s="217"/>
      <c r="O438" s="241" t="str">
        <f>IF(Q438 = "", "", COUNT(Q$4:$Q438))</f>
        <v/>
      </c>
      <c r="P438" s="241" t="str">
        <f t="shared" si="52"/>
        <v/>
      </c>
      <c r="Q438" s="242" t="str">
        <f t="shared" si="53"/>
        <v/>
      </c>
      <c r="R438" s="243" t="str">
        <f t="shared" si="56"/>
        <v/>
      </c>
      <c r="S438" s="244" t="str">
        <f t="shared" si="54"/>
        <v/>
      </c>
      <c r="T438" s="245" t="str">
        <f t="shared" si="57"/>
        <v/>
      </c>
      <c r="U438" s="246" t="str">
        <f t="shared" si="55"/>
        <v/>
      </c>
      <c r="V438" s="8"/>
      <c r="AR438" t="str">
        <f t="shared" si="59"/>
        <v/>
      </c>
      <c r="AS438" t="str">
        <f t="shared" si="58"/>
        <v/>
      </c>
    </row>
    <row r="439" spans="1:45" x14ac:dyDescent="0.3">
      <c r="A439" s="231"/>
      <c r="B439" s="235"/>
      <c r="C439" s="214"/>
      <c r="D439" s="214"/>
      <c r="E439" s="214"/>
      <c r="F439" s="214"/>
      <c r="G439" s="222"/>
      <c r="H439" s="221"/>
      <c r="I439" s="213"/>
      <c r="J439" s="213"/>
      <c r="K439" s="215"/>
      <c r="L439" s="216"/>
      <c r="M439" s="217"/>
      <c r="O439" s="241" t="str">
        <f>IF(Q439 = "", "", COUNT(Q$4:$Q439))</f>
        <v/>
      </c>
      <c r="P439" s="241" t="str">
        <f t="shared" si="52"/>
        <v/>
      </c>
      <c r="Q439" s="242" t="str">
        <f t="shared" si="53"/>
        <v/>
      </c>
      <c r="R439" s="243" t="str">
        <f t="shared" si="56"/>
        <v/>
      </c>
      <c r="S439" s="244" t="str">
        <f t="shared" si="54"/>
        <v/>
      </c>
      <c r="T439" s="245" t="str">
        <f t="shared" si="57"/>
        <v/>
      </c>
      <c r="U439" s="246" t="str">
        <f t="shared" si="55"/>
        <v/>
      </c>
      <c r="V439" s="8"/>
      <c r="AR439" t="str">
        <f t="shared" si="59"/>
        <v/>
      </c>
      <c r="AS439" t="str">
        <f t="shared" si="58"/>
        <v/>
      </c>
    </row>
    <row r="440" spans="1:45" x14ac:dyDescent="0.3">
      <c r="A440" s="231"/>
      <c r="B440" s="235"/>
      <c r="C440" s="214"/>
      <c r="D440" s="214"/>
      <c r="E440" s="214"/>
      <c r="F440" s="214"/>
      <c r="G440" s="222"/>
      <c r="H440" s="221"/>
      <c r="I440" s="213"/>
      <c r="J440" s="213"/>
      <c r="K440" s="215"/>
      <c r="L440" s="216"/>
      <c r="M440" s="217"/>
      <c r="O440" s="241" t="str">
        <f>IF(Q440 = "", "", COUNT(Q$4:$Q440))</f>
        <v/>
      </c>
      <c r="P440" s="241" t="str">
        <f t="shared" si="52"/>
        <v/>
      </c>
      <c r="Q440" s="242" t="str">
        <f t="shared" si="53"/>
        <v/>
      </c>
      <c r="R440" s="243" t="str">
        <f t="shared" si="56"/>
        <v/>
      </c>
      <c r="S440" s="244" t="str">
        <f t="shared" si="54"/>
        <v/>
      </c>
      <c r="T440" s="245" t="str">
        <f t="shared" si="57"/>
        <v/>
      </c>
      <c r="U440" s="246" t="str">
        <f t="shared" si="55"/>
        <v/>
      </c>
      <c r="V440" s="8"/>
      <c r="AR440" t="str">
        <f t="shared" si="59"/>
        <v/>
      </c>
      <c r="AS440" t="str">
        <f t="shared" si="58"/>
        <v/>
      </c>
    </row>
    <row r="441" spans="1:45" x14ac:dyDescent="0.3">
      <c r="A441" s="231"/>
      <c r="B441" s="235"/>
      <c r="C441" s="214"/>
      <c r="D441" s="214"/>
      <c r="E441" s="214"/>
      <c r="F441" s="214"/>
      <c r="G441" s="222"/>
      <c r="H441" s="221"/>
      <c r="I441" s="213"/>
      <c r="J441" s="213"/>
      <c r="K441" s="215"/>
      <c r="L441" s="216"/>
      <c r="M441" s="217"/>
      <c r="O441" s="241" t="str">
        <f>IF(Q441 = "", "", COUNT(Q$4:$Q441))</f>
        <v/>
      </c>
      <c r="P441" s="241" t="str">
        <f t="shared" si="52"/>
        <v/>
      </c>
      <c r="Q441" s="242" t="str">
        <f t="shared" si="53"/>
        <v/>
      </c>
      <c r="R441" s="243" t="str">
        <f t="shared" si="56"/>
        <v/>
      </c>
      <c r="S441" s="244" t="str">
        <f t="shared" si="54"/>
        <v/>
      </c>
      <c r="T441" s="245" t="str">
        <f t="shared" si="57"/>
        <v/>
      </c>
      <c r="U441" s="246" t="str">
        <f t="shared" si="55"/>
        <v/>
      </c>
      <c r="V441" s="8"/>
      <c r="AR441" t="str">
        <f t="shared" si="59"/>
        <v/>
      </c>
      <c r="AS441" t="str">
        <f t="shared" si="58"/>
        <v/>
      </c>
    </row>
    <row r="442" spans="1:45" x14ac:dyDescent="0.3">
      <c r="A442" s="231"/>
      <c r="B442" s="235"/>
      <c r="C442" s="214"/>
      <c r="D442" s="214"/>
      <c r="E442" s="214"/>
      <c r="F442" s="214"/>
      <c r="G442" s="222"/>
      <c r="H442" s="221"/>
      <c r="I442" s="213"/>
      <c r="J442" s="213"/>
      <c r="K442" s="215"/>
      <c r="L442" s="216"/>
      <c r="M442" s="217"/>
      <c r="O442" s="241" t="str">
        <f>IF(Q442 = "", "", COUNT(Q$4:$Q442))</f>
        <v/>
      </c>
      <c r="P442" s="241" t="str">
        <f t="shared" si="52"/>
        <v/>
      </c>
      <c r="Q442" s="242" t="str">
        <f t="shared" si="53"/>
        <v/>
      </c>
      <c r="R442" s="243" t="str">
        <f t="shared" si="56"/>
        <v/>
      </c>
      <c r="S442" s="244" t="str">
        <f t="shared" si="54"/>
        <v/>
      </c>
      <c r="T442" s="245" t="str">
        <f t="shared" si="57"/>
        <v/>
      </c>
      <c r="U442" s="246" t="str">
        <f t="shared" si="55"/>
        <v/>
      </c>
      <c r="V442" s="8"/>
      <c r="AR442" t="str">
        <f t="shared" si="59"/>
        <v/>
      </c>
      <c r="AS442" t="str">
        <f t="shared" si="58"/>
        <v/>
      </c>
    </row>
    <row r="443" spans="1:45" x14ac:dyDescent="0.3">
      <c r="A443" s="231"/>
      <c r="B443" s="235"/>
      <c r="C443" s="214"/>
      <c r="D443" s="214"/>
      <c r="E443" s="214"/>
      <c r="F443" s="214"/>
      <c r="G443" s="222"/>
      <c r="H443" s="221"/>
      <c r="I443" s="213"/>
      <c r="J443" s="213"/>
      <c r="K443" s="215"/>
      <c r="L443" s="216"/>
      <c r="M443" s="217"/>
      <c r="O443" s="241" t="str">
        <f>IF(Q443 = "", "", COUNT(Q$4:$Q443))</f>
        <v/>
      </c>
      <c r="P443" s="241" t="str">
        <f t="shared" si="52"/>
        <v/>
      </c>
      <c r="Q443" s="242" t="str">
        <f t="shared" si="53"/>
        <v/>
      </c>
      <c r="R443" s="243" t="str">
        <f t="shared" si="56"/>
        <v/>
      </c>
      <c r="S443" s="244" t="str">
        <f t="shared" si="54"/>
        <v/>
      </c>
      <c r="T443" s="245" t="str">
        <f t="shared" si="57"/>
        <v/>
      </c>
      <c r="U443" s="246" t="str">
        <f t="shared" si="55"/>
        <v/>
      </c>
      <c r="V443" s="8"/>
      <c r="AR443" t="str">
        <f t="shared" si="59"/>
        <v/>
      </c>
      <c r="AS443" t="str">
        <f t="shared" si="58"/>
        <v/>
      </c>
    </row>
    <row r="444" spans="1:45" x14ac:dyDescent="0.3">
      <c r="A444" s="231"/>
      <c r="B444" s="235"/>
      <c r="C444" s="214"/>
      <c r="D444" s="214"/>
      <c r="E444" s="214"/>
      <c r="F444" s="214"/>
      <c r="G444" s="222"/>
      <c r="H444" s="221"/>
      <c r="I444" s="213"/>
      <c r="J444" s="213"/>
      <c r="K444" s="215"/>
      <c r="L444" s="216"/>
      <c r="M444" s="217"/>
      <c r="O444" s="241" t="str">
        <f>IF(Q444 = "", "", COUNT(Q$4:$Q444))</f>
        <v/>
      </c>
      <c r="P444" s="241" t="str">
        <f t="shared" si="52"/>
        <v/>
      </c>
      <c r="Q444" s="242" t="str">
        <f t="shared" si="53"/>
        <v/>
      </c>
      <c r="R444" s="243" t="str">
        <f t="shared" si="56"/>
        <v/>
      </c>
      <c r="S444" s="244" t="str">
        <f t="shared" si="54"/>
        <v/>
      </c>
      <c r="T444" s="245" t="str">
        <f t="shared" si="57"/>
        <v/>
      </c>
      <c r="U444" s="246" t="str">
        <f t="shared" si="55"/>
        <v/>
      </c>
      <c r="V444" s="8"/>
      <c r="AR444" t="str">
        <f t="shared" si="59"/>
        <v/>
      </c>
      <c r="AS444" t="str">
        <f t="shared" si="58"/>
        <v/>
      </c>
    </row>
    <row r="445" spans="1:45" x14ac:dyDescent="0.3">
      <c r="A445" s="231"/>
      <c r="B445" s="235"/>
      <c r="C445" s="214"/>
      <c r="D445" s="214"/>
      <c r="E445" s="214"/>
      <c r="F445" s="214"/>
      <c r="G445" s="222"/>
      <c r="H445" s="221"/>
      <c r="I445" s="213"/>
      <c r="J445" s="213"/>
      <c r="K445" s="215"/>
      <c r="L445" s="216"/>
      <c r="M445" s="217"/>
      <c r="O445" s="241" t="str">
        <f>IF(Q445 = "", "", COUNT(Q$4:$Q445))</f>
        <v/>
      </c>
      <c r="P445" s="241" t="str">
        <f t="shared" si="52"/>
        <v/>
      </c>
      <c r="Q445" s="242" t="str">
        <f t="shared" si="53"/>
        <v/>
      </c>
      <c r="R445" s="243" t="str">
        <f t="shared" si="56"/>
        <v/>
      </c>
      <c r="S445" s="244" t="str">
        <f t="shared" si="54"/>
        <v/>
      </c>
      <c r="T445" s="245" t="str">
        <f t="shared" si="57"/>
        <v/>
      </c>
      <c r="U445" s="246" t="str">
        <f t="shared" si="55"/>
        <v/>
      </c>
      <c r="V445" s="8"/>
      <c r="AR445" t="str">
        <f t="shared" si="59"/>
        <v/>
      </c>
      <c r="AS445" t="str">
        <f t="shared" si="58"/>
        <v/>
      </c>
    </row>
    <row r="446" spans="1:45" x14ac:dyDescent="0.3">
      <c r="A446" s="231"/>
      <c r="B446" s="235"/>
      <c r="C446" s="214"/>
      <c r="D446" s="214"/>
      <c r="E446" s="214"/>
      <c r="F446" s="214"/>
      <c r="G446" s="222"/>
      <c r="H446" s="221"/>
      <c r="I446" s="213"/>
      <c r="J446" s="213"/>
      <c r="K446" s="215"/>
      <c r="L446" s="216"/>
      <c r="M446" s="217"/>
      <c r="O446" s="241" t="str">
        <f>IF(Q446 = "", "", COUNT(Q$4:$Q446))</f>
        <v/>
      </c>
      <c r="P446" s="241" t="str">
        <f t="shared" si="52"/>
        <v/>
      </c>
      <c r="Q446" s="242" t="str">
        <f t="shared" si="53"/>
        <v/>
      </c>
      <c r="R446" s="243" t="str">
        <f t="shared" si="56"/>
        <v/>
      </c>
      <c r="S446" s="244" t="str">
        <f t="shared" si="54"/>
        <v/>
      </c>
      <c r="T446" s="245" t="str">
        <f t="shared" si="57"/>
        <v/>
      </c>
      <c r="U446" s="246" t="str">
        <f t="shared" si="55"/>
        <v/>
      </c>
      <c r="V446" s="8"/>
      <c r="AR446" t="str">
        <f t="shared" si="59"/>
        <v/>
      </c>
      <c r="AS446" t="str">
        <f t="shared" si="58"/>
        <v/>
      </c>
    </row>
    <row r="447" spans="1:45" x14ac:dyDescent="0.3">
      <c r="A447" s="231"/>
      <c r="B447" s="235"/>
      <c r="C447" s="214"/>
      <c r="D447" s="214"/>
      <c r="E447" s="214"/>
      <c r="F447" s="214"/>
      <c r="G447" s="222"/>
      <c r="H447" s="221"/>
      <c r="I447" s="213"/>
      <c r="J447" s="213"/>
      <c r="K447" s="215"/>
      <c r="L447" s="216"/>
      <c r="M447" s="217"/>
      <c r="O447" s="241" t="str">
        <f>IF(Q447 = "", "", COUNT(Q$4:$Q447))</f>
        <v/>
      </c>
      <c r="P447" s="241" t="str">
        <f t="shared" si="52"/>
        <v/>
      </c>
      <c r="Q447" s="242" t="str">
        <f t="shared" si="53"/>
        <v/>
      </c>
      <c r="R447" s="243" t="str">
        <f t="shared" si="56"/>
        <v/>
      </c>
      <c r="S447" s="244" t="str">
        <f t="shared" si="54"/>
        <v/>
      </c>
      <c r="T447" s="245" t="str">
        <f t="shared" si="57"/>
        <v/>
      </c>
      <c r="U447" s="246" t="str">
        <f t="shared" si="55"/>
        <v/>
      </c>
      <c r="V447" s="8"/>
      <c r="AR447" t="str">
        <f t="shared" si="59"/>
        <v/>
      </c>
      <c r="AS447" t="str">
        <f t="shared" si="58"/>
        <v/>
      </c>
    </row>
    <row r="448" spans="1:45" x14ac:dyDescent="0.3">
      <c r="A448" s="231"/>
      <c r="B448" s="235"/>
      <c r="C448" s="214"/>
      <c r="D448" s="214"/>
      <c r="E448" s="214"/>
      <c r="F448" s="214"/>
      <c r="G448" s="222"/>
      <c r="H448" s="221"/>
      <c r="I448" s="213"/>
      <c r="J448" s="213"/>
      <c r="K448" s="215"/>
      <c r="L448" s="216"/>
      <c r="M448" s="217"/>
      <c r="O448" s="241" t="str">
        <f>IF(Q448 = "", "", COUNT(Q$4:$Q448))</f>
        <v/>
      </c>
      <c r="P448" s="241" t="str">
        <f t="shared" si="52"/>
        <v/>
      </c>
      <c r="Q448" s="242" t="str">
        <f t="shared" si="53"/>
        <v/>
      </c>
      <c r="R448" s="243" t="str">
        <f t="shared" si="56"/>
        <v/>
      </c>
      <c r="S448" s="244" t="str">
        <f t="shared" si="54"/>
        <v/>
      </c>
      <c r="T448" s="245" t="str">
        <f t="shared" si="57"/>
        <v/>
      </c>
      <c r="U448" s="246" t="str">
        <f t="shared" si="55"/>
        <v/>
      </c>
      <c r="V448" s="8"/>
      <c r="AR448" t="str">
        <f t="shared" si="59"/>
        <v/>
      </c>
      <c r="AS448" t="str">
        <f t="shared" si="58"/>
        <v/>
      </c>
    </row>
    <row r="449" spans="1:45" x14ac:dyDescent="0.3">
      <c r="A449" s="231"/>
      <c r="B449" s="235"/>
      <c r="C449" s="214"/>
      <c r="D449" s="214"/>
      <c r="E449" s="214"/>
      <c r="F449" s="214"/>
      <c r="G449" s="222"/>
      <c r="H449" s="221"/>
      <c r="I449" s="213"/>
      <c r="J449" s="213"/>
      <c r="K449" s="215"/>
      <c r="L449" s="216"/>
      <c r="M449" s="217"/>
      <c r="O449" s="241" t="str">
        <f>IF(Q449 = "", "", COUNT(Q$4:$Q449))</f>
        <v/>
      </c>
      <c r="P449" s="241" t="str">
        <f t="shared" si="52"/>
        <v/>
      </c>
      <c r="Q449" s="242" t="str">
        <f t="shared" si="53"/>
        <v/>
      </c>
      <c r="R449" s="243" t="str">
        <f t="shared" si="56"/>
        <v/>
      </c>
      <c r="S449" s="244" t="str">
        <f t="shared" si="54"/>
        <v/>
      </c>
      <c r="T449" s="245" t="str">
        <f t="shared" si="57"/>
        <v/>
      </c>
      <c r="U449" s="246" t="str">
        <f t="shared" si="55"/>
        <v/>
      </c>
      <c r="V449" s="8"/>
      <c r="AR449" t="str">
        <f t="shared" si="59"/>
        <v/>
      </c>
      <c r="AS449" t="str">
        <f t="shared" si="58"/>
        <v/>
      </c>
    </row>
    <row r="450" spans="1:45" x14ac:dyDescent="0.3">
      <c r="A450" s="231"/>
      <c r="B450" s="235"/>
      <c r="C450" s="214"/>
      <c r="D450" s="214"/>
      <c r="E450" s="214"/>
      <c r="F450" s="214"/>
      <c r="G450" s="222"/>
      <c r="H450" s="221"/>
      <c r="I450" s="213"/>
      <c r="J450" s="213"/>
      <c r="K450" s="215"/>
      <c r="L450" s="216"/>
      <c r="M450" s="217"/>
      <c r="O450" s="241" t="str">
        <f>IF(Q450 = "", "", COUNT(Q$4:$Q450))</f>
        <v/>
      </c>
      <c r="P450" s="241" t="str">
        <f t="shared" si="52"/>
        <v/>
      </c>
      <c r="Q450" s="242" t="str">
        <f t="shared" si="53"/>
        <v/>
      </c>
      <c r="R450" s="243" t="str">
        <f t="shared" si="56"/>
        <v/>
      </c>
      <c r="S450" s="244" t="str">
        <f t="shared" si="54"/>
        <v/>
      </c>
      <c r="T450" s="245" t="str">
        <f t="shared" si="57"/>
        <v/>
      </c>
      <c r="U450" s="246" t="str">
        <f t="shared" si="55"/>
        <v/>
      </c>
      <c r="V450" s="8"/>
      <c r="AR450" t="str">
        <f t="shared" si="59"/>
        <v/>
      </c>
      <c r="AS450" t="str">
        <f t="shared" si="58"/>
        <v/>
      </c>
    </row>
    <row r="451" spans="1:45" x14ac:dyDescent="0.3">
      <c r="A451" s="231"/>
      <c r="B451" s="235"/>
      <c r="C451" s="214"/>
      <c r="D451" s="214"/>
      <c r="E451" s="214"/>
      <c r="F451" s="214"/>
      <c r="G451" s="222"/>
      <c r="H451" s="221"/>
      <c r="I451" s="213"/>
      <c r="J451" s="213"/>
      <c r="K451" s="215"/>
      <c r="L451" s="216"/>
      <c r="M451" s="217"/>
      <c r="O451" s="241" t="str">
        <f>IF(Q451 = "", "", COUNT(Q$4:$Q451))</f>
        <v/>
      </c>
      <c r="P451" s="241" t="str">
        <f t="shared" si="52"/>
        <v/>
      </c>
      <c r="Q451" s="242" t="str">
        <f t="shared" si="53"/>
        <v/>
      </c>
      <c r="R451" s="243" t="str">
        <f t="shared" si="56"/>
        <v/>
      </c>
      <c r="S451" s="244" t="str">
        <f t="shared" si="54"/>
        <v/>
      </c>
      <c r="T451" s="245" t="str">
        <f t="shared" si="57"/>
        <v/>
      </c>
      <c r="U451" s="246" t="str">
        <f t="shared" si="55"/>
        <v/>
      </c>
      <c r="V451" s="8"/>
      <c r="AR451" t="str">
        <f t="shared" si="59"/>
        <v/>
      </c>
      <c r="AS451" t="str">
        <f t="shared" si="58"/>
        <v/>
      </c>
    </row>
    <row r="452" spans="1:45" x14ac:dyDescent="0.3">
      <c r="A452" s="231"/>
      <c r="B452" s="235"/>
      <c r="C452" s="214"/>
      <c r="D452" s="214"/>
      <c r="E452" s="214"/>
      <c r="F452" s="214"/>
      <c r="G452" s="222"/>
      <c r="H452" s="221"/>
      <c r="I452" s="213"/>
      <c r="J452" s="213"/>
      <c r="K452" s="215"/>
      <c r="L452" s="216"/>
      <c r="M452" s="217"/>
      <c r="O452" s="241" t="str">
        <f>IF(Q452 = "", "", COUNT(Q$4:$Q452))</f>
        <v/>
      </c>
      <c r="P452" s="241" t="str">
        <f t="shared" ref="P452:P515" si="60">IF(C452 &gt; 0, YEAR(B452), "")</f>
        <v/>
      </c>
      <c r="Q452" s="242" t="str">
        <f t="shared" ref="Q452:Q515" si="61">IF(A452="", "", IF(G452="",1,IF(G452="O",1,IF(G452="C",8.4,IF(G452="B",8.4,IF(G452="A",76.8,IF(G452="K",76.8,"ERR")))))))</f>
        <v/>
      </c>
      <c r="R452" s="243" t="str">
        <f t="shared" si="56"/>
        <v/>
      </c>
      <c r="S452" s="244" t="str">
        <f t="shared" ref="S452:S515" si="62">IF(IF(L452&lt;&gt;"",G452,"")=0, "O", IF(L452&lt;&gt;"",G452,""))</f>
        <v/>
      </c>
      <c r="T452" s="245" t="str">
        <f t="shared" si="57"/>
        <v/>
      </c>
      <c r="U452" s="246" t="str">
        <f t="shared" ref="U452:U515" si="63">IF(IF(M452&lt;&gt;"",G452,"")=0, "O", IF(M452&lt;&gt;"",G452,""))</f>
        <v/>
      </c>
      <c r="V452" s="8"/>
      <c r="AR452" t="str">
        <f t="shared" si="59"/>
        <v/>
      </c>
      <c r="AS452" t="str">
        <f t="shared" si="58"/>
        <v/>
      </c>
    </row>
    <row r="453" spans="1:45" x14ac:dyDescent="0.3">
      <c r="A453" s="231"/>
      <c r="B453" s="235"/>
      <c r="C453" s="214"/>
      <c r="D453" s="214"/>
      <c r="E453" s="214"/>
      <c r="F453" s="214"/>
      <c r="G453" s="222"/>
      <c r="H453" s="221"/>
      <c r="I453" s="213"/>
      <c r="J453" s="213"/>
      <c r="K453" s="215"/>
      <c r="L453" s="216"/>
      <c r="M453" s="217"/>
      <c r="O453" s="241" t="str">
        <f>IF(Q453 = "", "", COUNT(Q$4:$Q453))</f>
        <v/>
      </c>
      <c r="P453" s="241" t="str">
        <f t="shared" si="60"/>
        <v/>
      </c>
      <c r="Q453" s="242" t="str">
        <f t="shared" si="61"/>
        <v/>
      </c>
      <c r="R453" s="243" t="str">
        <f t="shared" ref="R453:R516" si="64">IF(L453&lt;&gt;"",Q453,"")</f>
        <v/>
      </c>
      <c r="S453" s="244" t="str">
        <f t="shared" si="62"/>
        <v/>
      </c>
      <c r="T453" s="245" t="str">
        <f t="shared" ref="T453:T516" si="65">IF(M453&lt;&gt;"",Q453,"")</f>
        <v/>
      </c>
      <c r="U453" s="246" t="str">
        <f t="shared" si="63"/>
        <v/>
      </c>
      <c r="V453" s="8"/>
      <c r="AR453" t="str">
        <f t="shared" si="59"/>
        <v/>
      </c>
      <c r="AS453" t="str">
        <f t="shared" si="58"/>
        <v/>
      </c>
    </row>
    <row r="454" spans="1:45" x14ac:dyDescent="0.3">
      <c r="A454" s="231"/>
      <c r="B454" s="235"/>
      <c r="C454" s="214"/>
      <c r="D454" s="214"/>
      <c r="E454" s="214"/>
      <c r="F454" s="214"/>
      <c r="G454" s="222"/>
      <c r="H454" s="221"/>
      <c r="I454" s="213"/>
      <c r="J454" s="213"/>
      <c r="K454" s="215"/>
      <c r="L454" s="216"/>
      <c r="M454" s="217"/>
      <c r="O454" s="241" t="str">
        <f>IF(Q454 = "", "", COUNT(Q$4:$Q454))</f>
        <v/>
      </c>
      <c r="P454" s="241" t="str">
        <f t="shared" si="60"/>
        <v/>
      </c>
      <c r="Q454" s="242" t="str">
        <f t="shared" si="61"/>
        <v/>
      </c>
      <c r="R454" s="243" t="str">
        <f t="shared" si="64"/>
        <v/>
      </c>
      <c r="S454" s="244" t="str">
        <f t="shared" si="62"/>
        <v/>
      </c>
      <c r="T454" s="245" t="str">
        <f t="shared" si="65"/>
        <v/>
      </c>
      <c r="U454" s="246" t="str">
        <f t="shared" si="63"/>
        <v/>
      </c>
      <c r="V454" s="8"/>
      <c r="AR454" t="str">
        <f t="shared" si="59"/>
        <v/>
      </c>
      <c r="AS454" t="str">
        <f t="shared" si="58"/>
        <v/>
      </c>
    </row>
    <row r="455" spans="1:45" x14ac:dyDescent="0.3">
      <c r="A455" s="231"/>
      <c r="B455" s="235"/>
      <c r="C455" s="214"/>
      <c r="D455" s="214"/>
      <c r="E455" s="214"/>
      <c r="F455" s="214"/>
      <c r="G455" s="222"/>
      <c r="H455" s="221"/>
      <c r="I455" s="213"/>
      <c r="J455" s="213"/>
      <c r="K455" s="215"/>
      <c r="L455" s="216"/>
      <c r="M455" s="217"/>
      <c r="O455" s="241" t="str">
        <f>IF(Q455 = "", "", COUNT(Q$4:$Q455))</f>
        <v/>
      </c>
      <c r="P455" s="241" t="str">
        <f t="shared" si="60"/>
        <v/>
      </c>
      <c r="Q455" s="242" t="str">
        <f t="shared" si="61"/>
        <v/>
      </c>
      <c r="R455" s="243" t="str">
        <f t="shared" si="64"/>
        <v/>
      </c>
      <c r="S455" s="244" t="str">
        <f t="shared" si="62"/>
        <v/>
      </c>
      <c r="T455" s="245" t="str">
        <f t="shared" si="65"/>
        <v/>
      </c>
      <c r="U455" s="246" t="str">
        <f t="shared" si="63"/>
        <v/>
      </c>
      <c r="V455" s="8"/>
      <c r="AR455" t="str">
        <f t="shared" si="59"/>
        <v/>
      </c>
      <c r="AS455" t="str">
        <f t="shared" si="58"/>
        <v/>
      </c>
    </row>
    <row r="456" spans="1:45" x14ac:dyDescent="0.3">
      <c r="A456" s="231"/>
      <c r="B456" s="235"/>
      <c r="C456" s="214"/>
      <c r="D456" s="214"/>
      <c r="E456" s="214"/>
      <c r="F456" s="214"/>
      <c r="G456" s="222"/>
      <c r="H456" s="221"/>
      <c r="I456" s="213"/>
      <c r="J456" s="213"/>
      <c r="K456" s="215"/>
      <c r="L456" s="216"/>
      <c r="M456" s="217"/>
      <c r="O456" s="241" t="str">
        <f>IF(Q456 = "", "", COUNT(Q$4:$Q456))</f>
        <v/>
      </c>
      <c r="P456" s="241" t="str">
        <f t="shared" si="60"/>
        <v/>
      </c>
      <c r="Q456" s="242" t="str">
        <f t="shared" si="61"/>
        <v/>
      </c>
      <c r="R456" s="243" t="str">
        <f t="shared" si="64"/>
        <v/>
      </c>
      <c r="S456" s="244" t="str">
        <f t="shared" si="62"/>
        <v/>
      </c>
      <c r="T456" s="245" t="str">
        <f t="shared" si="65"/>
        <v/>
      </c>
      <c r="U456" s="246" t="str">
        <f t="shared" si="63"/>
        <v/>
      </c>
      <c r="V456" s="8"/>
      <c r="AR456" t="str">
        <f t="shared" si="59"/>
        <v/>
      </c>
      <c r="AS456" t="str">
        <f t="shared" si="58"/>
        <v/>
      </c>
    </row>
    <row r="457" spans="1:45" x14ac:dyDescent="0.3">
      <c r="A457" s="231"/>
      <c r="B457" s="235"/>
      <c r="C457" s="214"/>
      <c r="D457" s="214"/>
      <c r="E457" s="214"/>
      <c r="F457" s="214"/>
      <c r="G457" s="222"/>
      <c r="H457" s="221"/>
      <c r="I457" s="213"/>
      <c r="J457" s="213"/>
      <c r="K457" s="215"/>
      <c r="L457" s="216"/>
      <c r="M457" s="217"/>
      <c r="O457" s="241" t="str">
        <f>IF(Q457 = "", "", COUNT(Q$4:$Q457))</f>
        <v/>
      </c>
      <c r="P457" s="241" t="str">
        <f t="shared" si="60"/>
        <v/>
      </c>
      <c r="Q457" s="242" t="str">
        <f t="shared" si="61"/>
        <v/>
      </c>
      <c r="R457" s="243" t="str">
        <f t="shared" si="64"/>
        <v/>
      </c>
      <c r="S457" s="244" t="str">
        <f t="shared" si="62"/>
        <v/>
      </c>
      <c r="T457" s="245" t="str">
        <f t="shared" si="65"/>
        <v/>
      </c>
      <c r="U457" s="246" t="str">
        <f t="shared" si="63"/>
        <v/>
      </c>
      <c r="V457" s="8"/>
      <c r="AR457" t="str">
        <f t="shared" si="59"/>
        <v/>
      </c>
      <c r="AS457" t="str">
        <f t="shared" si="58"/>
        <v/>
      </c>
    </row>
    <row r="458" spans="1:45" x14ac:dyDescent="0.3">
      <c r="A458" s="231"/>
      <c r="B458" s="235"/>
      <c r="C458" s="214"/>
      <c r="D458" s="214"/>
      <c r="E458" s="214"/>
      <c r="F458" s="214"/>
      <c r="G458" s="222"/>
      <c r="H458" s="221"/>
      <c r="I458" s="213"/>
      <c r="J458" s="213"/>
      <c r="K458" s="215"/>
      <c r="L458" s="216"/>
      <c r="M458" s="217"/>
      <c r="O458" s="241" t="str">
        <f>IF(Q458 = "", "", COUNT(Q$4:$Q458))</f>
        <v/>
      </c>
      <c r="P458" s="241" t="str">
        <f t="shared" si="60"/>
        <v/>
      </c>
      <c r="Q458" s="242" t="str">
        <f t="shared" si="61"/>
        <v/>
      </c>
      <c r="R458" s="243" t="str">
        <f t="shared" si="64"/>
        <v/>
      </c>
      <c r="S458" s="244" t="str">
        <f t="shared" si="62"/>
        <v/>
      </c>
      <c r="T458" s="245" t="str">
        <f t="shared" si="65"/>
        <v/>
      </c>
      <c r="U458" s="246" t="str">
        <f t="shared" si="63"/>
        <v/>
      </c>
      <c r="V458" s="8"/>
      <c r="AR458" t="str">
        <f t="shared" si="59"/>
        <v/>
      </c>
      <c r="AS458" t="str">
        <f t="shared" si="58"/>
        <v/>
      </c>
    </row>
    <row r="459" spans="1:45" x14ac:dyDescent="0.3">
      <c r="A459" s="231"/>
      <c r="B459" s="235"/>
      <c r="C459" s="214"/>
      <c r="D459" s="214"/>
      <c r="E459" s="214"/>
      <c r="F459" s="214"/>
      <c r="G459" s="222"/>
      <c r="H459" s="221"/>
      <c r="I459" s="213"/>
      <c r="J459" s="213"/>
      <c r="K459" s="215"/>
      <c r="L459" s="216"/>
      <c r="M459" s="217"/>
      <c r="O459" s="241" t="str">
        <f>IF(Q459 = "", "", COUNT(Q$4:$Q459))</f>
        <v/>
      </c>
      <c r="P459" s="241" t="str">
        <f t="shared" si="60"/>
        <v/>
      </c>
      <c r="Q459" s="242" t="str">
        <f t="shared" si="61"/>
        <v/>
      </c>
      <c r="R459" s="243" t="str">
        <f t="shared" si="64"/>
        <v/>
      </c>
      <c r="S459" s="244" t="str">
        <f t="shared" si="62"/>
        <v/>
      </c>
      <c r="T459" s="245" t="str">
        <f t="shared" si="65"/>
        <v/>
      </c>
      <c r="U459" s="246" t="str">
        <f t="shared" si="63"/>
        <v/>
      </c>
      <c r="V459" s="8"/>
      <c r="AR459" t="str">
        <f t="shared" si="59"/>
        <v/>
      </c>
      <c r="AS459" t="str">
        <f t="shared" si="58"/>
        <v/>
      </c>
    </row>
    <row r="460" spans="1:45" x14ac:dyDescent="0.3">
      <c r="A460" s="231"/>
      <c r="B460" s="235"/>
      <c r="C460" s="214"/>
      <c r="D460" s="214"/>
      <c r="E460" s="214"/>
      <c r="F460" s="214"/>
      <c r="G460" s="222"/>
      <c r="H460" s="221"/>
      <c r="I460" s="213"/>
      <c r="J460" s="213"/>
      <c r="K460" s="215"/>
      <c r="L460" s="216"/>
      <c r="M460" s="217"/>
      <c r="O460" s="241" t="str">
        <f>IF(Q460 = "", "", COUNT(Q$4:$Q460))</f>
        <v/>
      </c>
      <c r="P460" s="241" t="str">
        <f t="shared" si="60"/>
        <v/>
      </c>
      <c r="Q460" s="242" t="str">
        <f t="shared" si="61"/>
        <v/>
      </c>
      <c r="R460" s="243" t="str">
        <f t="shared" si="64"/>
        <v/>
      </c>
      <c r="S460" s="244" t="str">
        <f t="shared" si="62"/>
        <v/>
      </c>
      <c r="T460" s="245" t="str">
        <f t="shared" si="65"/>
        <v/>
      </c>
      <c r="U460" s="246" t="str">
        <f t="shared" si="63"/>
        <v/>
      </c>
      <c r="V460" s="8"/>
      <c r="AR460" t="str">
        <f t="shared" si="59"/>
        <v/>
      </c>
      <c r="AS460" t="str">
        <f t="shared" si="58"/>
        <v/>
      </c>
    </row>
    <row r="461" spans="1:45" x14ac:dyDescent="0.3">
      <c r="A461" s="231"/>
      <c r="B461" s="235"/>
      <c r="C461" s="214"/>
      <c r="D461" s="214"/>
      <c r="E461" s="214"/>
      <c r="F461" s="214"/>
      <c r="G461" s="222"/>
      <c r="H461" s="221"/>
      <c r="I461" s="213"/>
      <c r="J461" s="213"/>
      <c r="K461" s="215"/>
      <c r="L461" s="216"/>
      <c r="M461" s="217"/>
      <c r="O461" s="241" t="str">
        <f>IF(Q461 = "", "", COUNT(Q$4:$Q461))</f>
        <v/>
      </c>
      <c r="P461" s="241" t="str">
        <f t="shared" si="60"/>
        <v/>
      </c>
      <c r="Q461" s="242" t="str">
        <f t="shared" si="61"/>
        <v/>
      </c>
      <c r="R461" s="243" t="str">
        <f t="shared" si="64"/>
        <v/>
      </c>
      <c r="S461" s="244" t="str">
        <f t="shared" si="62"/>
        <v/>
      </c>
      <c r="T461" s="245" t="str">
        <f t="shared" si="65"/>
        <v/>
      </c>
      <c r="U461" s="246" t="str">
        <f t="shared" si="63"/>
        <v/>
      </c>
      <c r="V461" s="8"/>
      <c r="AR461" t="str">
        <f t="shared" si="59"/>
        <v/>
      </c>
      <c r="AS461" t="str">
        <f t="shared" si="58"/>
        <v/>
      </c>
    </row>
    <row r="462" spans="1:45" x14ac:dyDescent="0.3">
      <c r="A462" s="231"/>
      <c r="B462" s="235"/>
      <c r="C462" s="214"/>
      <c r="D462" s="214"/>
      <c r="E462" s="214"/>
      <c r="F462" s="214"/>
      <c r="G462" s="222"/>
      <c r="H462" s="221"/>
      <c r="I462" s="213"/>
      <c r="J462" s="213"/>
      <c r="K462" s="215"/>
      <c r="L462" s="216"/>
      <c r="M462" s="217"/>
      <c r="O462" s="241" t="str">
        <f>IF(Q462 = "", "", COUNT(Q$4:$Q462))</f>
        <v/>
      </c>
      <c r="P462" s="241" t="str">
        <f t="shared" si="60"/>
        <v/>
      </c>
      <c r="Q462" s="242" t="str">
        <f t="shared" si="61"/>
        <v/>
      </c>
      <c r="R462" s="243" t="str">
        <f t="shared" si="64"/>
        <v/>
      </c>
      <c r="S462" s="244" t="str">
        <f t="shared" si="62"/>
        <v/>
      </c>
      <c r="T462" s="245" t="str">
        <f t="shared" si="65"/>
        <v/>
      </c>
      <c r="U462" s="246" t="str">
        <f t="shared" si="63"/>
        <v/>
      </c>
      <c r="V462" s="8"/>
      <c r="AR462" t="str">
        <f t="shared" si="59"/>
        <v/>
      </c>
      <c r="AS462" t="str">
        <f t="shared" si="58"/>
        <v/>
      </c>
    </row>
    <row r="463" spans="1:45" x14ac:dyDescent="0.3">
      <c r="A463" s="231"/>
      <c r="B463" s="235"/>
      <c r="C463" s="214"/>
      <c r="D463" s="214"/>
      <c r="E463" s="214"/>
      <c r="F463" s="214"/>
      <c r="G463" s="222"/>
      <c r="H463" s="221"/>
      <c r="I463" s="213"/>
      <c r="J463" s="213"/>
      <c r="K463" s="215"/>
      <c r="L463" s="216"/>
      <c r="M463" s="217"/>
      <c r="O463" s="241" t="str">
        <f>IF(Q463 = "", "", COUNT(Q$4:$Q463))</f>
        <v/>
      </c>
      <c r="P463" s="241" t="str">
        <f t="shared" si="60"/>
        <v/>
      </c>
      <c r="Q463" s="242" t="str">
        <f t="shared" si="61"/>
        <v/>
      </c>
      <c r="R463" s="243" t="str">
        <f t="shared" si="64"/>
        <v/>
      </c>
      <c r="S463" s="244" t="str">
        <f t="shared" si="62"/>
        <v/>
      </c>
      <c r="T463" s="245" t="str">
        <f t="shared" si="65"/>
        <v/>
      </c>
      <c r="U463" s="246" t="str">
        <f t="shared" si="63"/>
        <v/>
      </c>
      <c r="V463" s="8"/>
      <c r="AR463" t="str">
        <f t="shared" si="59"/>
        <v/>
      </c>
      <c r="AS463" t="str">
        <f t="shared" si="58"/>
        <v/>
      </c>
    </row>
    <row r="464" spans="1:45" x14ac:dyDescent="0.3">
      <c r="A464" s="231"/>
      <c r="B464" s="235"/>
      <c r="C464" s="214"/>
      <c r="D464" s="214"/>
      <c r="E464" s="214"/>
      <c r="F464" s="214"/>
      <c r="G464" s="222"/>
      <c r="H464" s="221"/>
      <c r="I464" s="213"/>
      <c r="J464" s="213"/>
      <c r="K464" s="215"/>
      <c r="L464" s="216"/>
      <c r="M464" s="217"/>
      <c r="O464" s="241" t="str">
        <f>IF(Q464 = "", "", COUNT(Q$4:$Q464))</f>
        <v/>
      </c>
      <c r="P464" s="241" t="str">
        <f t="shared" si="60"/>
        <v/>
      </c>
      <c r="Q464" s="242" t="str">
        <f t="shared" si="61"/>
        <v/>
      </c>
      <c r="R464" s="243" t="str">
        <f t="shared" si="64"/>
        <v/>
      </c>
      <c r="S464" s="244" t="str">
        <f t="shared" si="62"/>
        <v/>
      </c>
      <c r="T464" s="245" t="str">
        <f t="shared" si="65"/>
        <v/>
      </c>
      <c r="U464" s="246" t="str">
        <f t="shared" si="63"/>
        <v/>
      </c>
      <c r="V464" s="8"/>
      <c r="AR464" t="str">
        <f t="shared" si="59"/>
        <v/>
      </c>
      <c r="AS464" t="str">
        <f t="shared" si="58"/>
        <v/>
      </c>
    </row>
    <row r="465" spans="1:45" x14ac:dyDescent="0.3">
      <c r="A465" s="231"/>
      <c r="B465" s="235"/>
      <c r="C465" s="214"/>
      <c r="D465" s="214"/>
      <c r="E465" s="214"/>
      <c r="F465" s="214"/>
      <c r="G465" s="222"/>
      <c r="H465" s="221"/>
      <c r="I465" s="213"/>
      <c r="J465" s="213"/>
      <c r="K465" s="215"/>
      <c r="L465" s="216"/>
      <c r="M465" s="217"/>
      <c r="O465" s="241" t="str">
        <f>IF(Q465 = "", "", COUNT(Q$4:$Q465))</f>
        <v/>
      </c>
      <c r="P465" s="241" t="str">
        <f t="shared" si="60"/>
        <v/>
      </c>
      <c r="Q465" s="242" t="str">
        <f t="shared" si="61"/>
        <v/>
      </c>
      <c r="R465" s="243" t="str">
        <f t="shared" si="64"/>
        <v/>
      </c>
      <c r="S465" s="244" t="str">
        <f t="shared" si="62"/>
        <v/>
      </c>
      <c r="T465" s="245" t="str">
        <f t="shared" si="65"/>
        <v/>
      </c>
      <c r="U465" s="246" t="str">
        <f t="shared" si="63"/>
        <v/>
      </c>
      <c r="V465" s="8"/>
      <c r="AR465" t="str">
        <f t="shared" si="59"/>
        <v/>
      </c>
      <c r="AS465" t="str">
        <f t="shared" si="58"/>
        <v/>
      </c>
    </row>
    <row r="466" spans="1:45" x14ac:dyDescent="0.3">
      <c r="A466" s="231"/>
      <c r="B466" s="235"/>
      <c r="C466" s="214"/>
      <c r="D466" s="214"/>
      <c r="E466" s="214"/>
      <c r="F466" s="214"/>
      <c r="G466" s="222"/>
      <c r="H466" s="221"/>
      <c r="I466" s="213"/>
      <c r="J466" s="213"/>
      <c r="K466" s="215"/>
      <c r="L466" s="216"/>
      <c r="M466" s="217"/>
      <c r="O466" s="241" t="str">
        <f>IF(Q466 = "", "", COUNT(Q$4:$Q466))</f>
        <v/>
      </c>
      <c r="P466" s="241" t="str">
        <f t="shared" si="60"/>
        <v/>
      </c>
      <c r="Q466" s="242" t="str">
        <f t="shared" si="61"/>
        <v/>
      </c>
      <c r="R466" s="243" t="str">
        <f t="shared" si="64"/>
        <v/>
      </c>
      <c r="S466" s="244" t="str">
        <f t="shared" si="62"/>
        <v/>
      </c>
      <c r="T466" s="245" t="str">
        <f t="shared" si="65"/>
        <v/>
      </c>
      <c r="U466" s="246" t="str">
        <f t="shared" si="63"/>
        <v/>
      </c>
      <c r="V466" s="8"/>
      <c r="AR466" t="str">
        <f t="shared" si="59"/>
        <v/>
      </c>
      <c r="AS466" t="str">
        <f t="shared" si="58"/>
        <v/>
      </c>
    </row>
    <row r="467" spans="1:45" x14ac:dyDescent="0.3">
      <c r="A467" s="231"/>
      <c r="B467" s="235"/>
      <c r="C467" s="214"/>
      <c r="D467" s="214"/>
      <c r="E467" s="214"/>
      <c r="F467" s="214"/>
      <c r="G467" s="222"/>
      <c r="H467" s="221"/>
      <c r="I467" s="213"/>
      <c r="J467" s="213"/>
      <c r="K467" s="215"/>
      <c r="L467" s="216"/>
      <c r="M467" s="217"/>
      <c r="O467" s="241" t="str">
        <f>IF(Q467 = "", "", COUNT(Q$4:$Q467))</f>
        <v/>
      </c>
      <c r="P467" s="241" t="str">
        <f t="shared" si="60"/>
        <v/>
      </c>
      <c r="Q467" s="242" t="str">
        <f t="shared" si="61"/>
        <v/>
      </c>
      <c r="R467" s="243" t="str">
        <f t="shared" si="64"/>
        <v/>
      </c>
      <c r="S467" s="244" t="str">
        <f t="shared" si="62"/>
        <v/>
      </c>
      <c r="T467" s="245" t="str">
        <f t="shared" si="65"/>
        <v/>
      </c>
      <c r="U467" s="246" t="str">
        <f t="shared" si="63"/>
        <v/>
      </c>
      <c r="V467" s="8"/>
      <c r="AR467" t="str">
        <f t="shared" si="59"/>
        <v/>
      </c>
      <c r="AS467" t="str">
        <f t="shared" si="58"/>
        <v/>
      </c>
    </row>
    <row r="468" spans="1:45" x14ac:dyDescent="0.3">
      <c r="A468" s="231"/>
      <c r="B468" s="235"/>
      <c r="C468" s="214"/>
      <c r="D468" s="214"/>
      <c r="E468" s="214"/>
      <c r="F468" s="214"/>
      <c r="G468" s="222"/>
      <c r="H468" s="221"/>
      <c r="I468" s="213"/>
      <c r="J468" s="213"/>
      <c r="K468" s="215"/>
      <c r="L468" s="216"/>
      <c r="M468" s="217"/>
      <c r="O468" s="241" t="str">
        <f>IF(Q468 = "", "", COUNT(Q$4:$Q468))</f>
        <v/>
      </c>
      <c r="P468" s="241" t="str">
        <f t="shared" si="60"/>
        <v/>
      </c>
      <c r="Q468" s="242" t="str">
        <f t="shared" si="61"/>
        <v/>
      </c>
      <c r="R468" s="243" t="str">
        <f t="shared" si="64"/>
        <v/>
      </c>
      <c r="S468" s="244" t="str">
        <f t="shared" si="62"/>
        <v/>
      </c>
      <c r="T468" s="245" t="str">
        <f t="shared" si="65"/>
        <v/>
      </c>
      <c r="U468" s="246" t="str">
        <f t="shared" si="63"/>
        <v/>
      </c>
      <c r="V468" s="8"/>
      <c r="AR468" t="str">
        <f t="shared" si="59"/>
        <v/>
      </c>
      <c r="AS468" t="str">
        <f t="shared" si="58"/>
        <v/>
      </c>
    </row>
    <row r="469" spans="1:45" x14ac:dyDescent="0.3">
      <c r="A469" s="231"/>
      <c r="B469" s="235"/>
      <c r="C469" s="214"/>
      <c r="D469" s="214"/>
      <c r="E469" s="214"/>
      <c r="F469" s="214"/>
      <c r="G469" s="222"/>
      <c r="H469" s="221"/>
      <c r="I469" s="213"/>
      <c r="J469" s="213"/>
      <c r="K469" s="215"/>
      <c r="L469" s="216"/>
      <c r="M469" s="217"/>
      <c r="O469" s="241" t="str">
        <f>IF(Q469 = "", "", COUNT(Q$4:$Q469))</f>
        <v/>
      </c>
      <c r="P469" s="241" t="str">
        <f t="shared" si="60"/>
        <v/>
      </c>
      <c r="Q469" s="242" t="str">
        <f t="shared" si="61"/>
        <v/>
      </c>
      <c r="R469" s="243" t="str">
        <f t="shared" si="64"/>
        <v/>
      </c>
      <c r="S469" s="244" t="str">
        <f t="shared" si="62"/>
        <v/>
      </c>
      <c r="T469" s="245" t="str">
        <f t="shared" si="65"/>
        <v/>
      </c>
      <c r="U469" s="246" t="str">
        <f t="shared" si="63"/>
        <v/>
      </c>
      <c r="V469" s="8"/>
      <c r="AR469" t="str">
        <f t="shared" si="59"/>
        <v/>
      </c>
      <c r="AS469" t="str">
        <f t="shared" ref="AS469:AS532" si="66">IF(OR(L469="Y",M469="Y"),"Y","")</f>
        <v/>
      </c>
    </row>
    <row r="470" spans="1:45" x14ac:dyDescent="0.3">
      <c r="A470" s="231"/>
      <c r="B470" s="235"/>
      <c r="C470" s="214"/>
      <c r="D470" s="214"/>
      <c r="E470" s="214"/>
      <c r="F470" s="214"/>
      <c r="G470" s="222"/>
      <c r="H470" s="221"/>
      <c r="I470" s="213"/>
      <c r="J470" s="213"/>
      <c r="K470" s="215"/>
      <c r="L470" s="216"/>
      <c r="M470" s="217"/>
      <c r="O470" s="241" t="str">
        <f>IF(Q470 = "", "", COUNT(Q$4:$Q470))</f>
        <v/>
      </c>
      <c r="P470" s="241" t="str">
        <f t="shared" si="60"/>
        <v/>
      </c>
      <c r="Q470" s="242" t="str">
        <f t="shared" si="61"/>
        <v/>
      </c>
      <c r="R470" s="243" t="str">
        <f t="shared" si="64"/>
        <v/>
      </c>
      <c r="S470" s="244" t="str">
        <f t="shared" si="62"/>
        <v/>
      </c>
      <c r="T470" s="245" t="str">
        <f t="shared" si="65"/>
        <v/>
      </c>
      <c r="U470" s="246" t="str">
        <f t="shared" si="63"/>
        <v/>
      </c>
      <c r="V470" s="8"/>
      <c r="AR470" t="str">
        <f t="shared" ref="AR470:AR533" si="67">IF(O470&gt;0, O470, "")</f>
        <v/>
      </c>
      <c r="AS470" t="str">
        <f t="shared" si="66"/>
        <v/>
      </c>
    </row>
    <row r="471" spans="1:45" x14ac:dyDescent="0.3">
      <c r="A471" s="231"/>
      <c r="B471" s="235"/>
      <c r="C471" s="214"/>
      <c r="D471" s="214"/>
      <c r="E471" s="214"/>
      <c r="F471" s="214"/>
      <c r="G471" s="222"/>
      <c r="H471" s="221"/>
      <c r="I471" s="213"/>
      <c r="J471" s="213"/>
      <c r="K471" s="215"/>
      <c r="L471" s="216"/>
      <c r="M471" s="217"/>
      <c r="O471" s="241" t="str">
        <f>IF(Q471 = "", "", COUNT(Q$4:$Q471))</f>
        <v/>
      </c>
      <c r="P471" s="241" t="str">
        <f t="shared" si="60"/>
        <v/>
      </c>
      <c r="Q471" s="242" t="str">
        <f t="shared" si="61"/>
        <v/>
      </c>
      <c r="R471" s="243" t="str">
        <f t="shared" si="64"/>
        <v/>
      </c>
      <c r="S471" s="244" t="str">
        <f t="shared" si="62"/>
        <v/>
      </c>
      <c r="T471" s="245" t="str">
        <f t="shared" si="65"/>
        <v/>
      </c>
      <c r="U471" s="246" t="str">
        <f t="shared" si="63"/>
        <v/>
      </c>
      <c r="V471" s="8"/>
      <c r="AR471" t="str">
        <f t="shared" si="67"/>
        <v/>
      </c>
      <c r="AS471" t="str">
        <f t="shared" si="66"/>
        <v/>
      </c>
    </row>
    <row r="472" spans="1:45" x14ac:dyDescent="0.3">
      <c r="A472" s="231"/>
      <c r="B472" s="235"/>
      <c r="C472" s="214"/>
      <c r="D472" s="214"/>
      <c r="E472" s="214"/>
      <c r="F472" s="214"/>
      <c r="G472" s="222"/>
      <c r="H472" s="221"/>
      <c r="I472" s="213"/>
      <c r="J472" s="213"/>
      <c r="K472" s="215"/>
      <c r="L472" s="216"/>
      <c r="M472" s="217"/>
      <c r="O472" s="241" t="str">
        <f>IF(Q472 = "", "", COUNT(Q$4:$Q472))</f>
        <v/>
      </c>
      <c r="P472" s="241" t="str">
        <f t="shared" si="60"/>
        <v/>
      </c>
      <c r="Q472" s="242" t="str">
        <f t="shared" si="61"/>
        <v/>
      </c>
      <c r="R472" s="243" t="str">
        <f t="shared" si="64"/>
        <v/>
      </c>
      <c r="S472" s="244" t="str">
        <f t="shared" si="62"/>
        <v/>
      </c>
      <c r="T472" s="245" t="str">
        <f t="shared" si="65"/>
        <v/>
      </c>
      <c r="U472" s="246" t="str">
        <f t="shared" si="63"/>
        <v/>
      </c>
      <c r="V472" s="8"/>
      <c r="AR472" t="str">
        <f t="shared" si="67"/>
        <v/>
      </c>
      <c r="AS472" t="str">
        <f t="shared" si="66"/>
        <v/>
      </c>
    </row>
    <row r="473" spans="1:45" x14ac:dyDescent="0.3">
      <c r="A473" s="231"/>
      <c r="B473" s="235"/>
      <c r="C473" s="214"/>
      <c r="D473" s="214"/>
      <c r="E473" s="214"/>
      <c r="F473" s="214"/>
      <c r="G473" s="222"/>
      <c r="H473" s="221"/>
      <c r="I473" s="213"/>
      <c r="J473" s="213"/>
      <c r="K473" s="215"/>
      <c r="L473" s="216"/>
      <c r="M473" s="217"/>
      <c r="O473" s="241" t="str">
        <f>IF(Q473 = "", "", COUNT(Q$4:$Q473))</f>
        <v/>
      </c>
      <c r="P473" s="241" t="str">
        <f t="shared" si="60"/>
        <v/>
      </c>
      <c r="Q473" s="242" t="str">
        <f t="shared" si="61"/>
        <v/>
      </c>
      <c r="R473" s="243" t="str">
        <f t="shared" si="64"/>
        <v/>
      </c>
      <c r="S473" s="244" t="str">
        <f t="shared" si="62"/>
        <v/>
      </c>
      <c r="T473" s="245" t="str">
        <f t="shared" si="65"/>
        <v/>
      </c>
      <c r="U473" s="246" t="str">
        <f t="shared" si="63"/>
        <v/>
      </c>
      <c r="V473" s="8"/>
      <c r="AR473" t="str">
        <f t="shared" si="67"/>
        <v/>
      </c>
      <c r="AS473" t="str">
        <f t="shared" si="66"/>
        <v/>
      </c>
    </row>
    <row r="474" spans="1:45" x14ac:dyDescent="0.3">
      <c r="A474" s="231"/>
      <c r="B474" s="235"/>
      <c r="C474" s="214"/>
      <c r="D474" s="214"/>
      <c r="E474" s="214"/>
      <c r="F474" s="214"/>
      <c r="G474" s="222"/>
      <c r="H474" s="221"/>
      <c r="I474" s="213"/>
      <c r="J474" s="213"/>
      <c r="K474" s="215"/>
      <c r="L474" s="216"/>
      <c r="M474" s="217"/>
      <c r="O474" s="241" t="str">
        <f>IF(Q474 = "", "", COUNT(Q$4:$Q474))</f>
        <v/>
      </c>
      <c r="P474" s="241" t="str">
        <f t="shared" si="60"/>
        <v/>
      </c>
      <c r="Q474" s="242" t="str">
        <f t="shared" si="61"/>
        <v/>
      </c>
      <c r="R474" s="243" t="str">
        <f t="shared" si="64"/>
        <v/>
      </c>
      <c r="S474" s="244" t="str">
        <f t="shared" si="62"/>
        <v/>
      </c>
      <c r="T474" s="245" t="str">
        <f t="shared" si="65"/>
        <v/>
      </c>
      <c r="U474" s="246" t="str">
        <f t="shared" si="63"/>
        <v/>
      </c>
      <c r="V474" s="8"/>
      <c r="AR474" t="str">
        <f t="shared" si="67"/>
        <v/>
      </c>
      <c r="AS474" t="str">
        <f t="shared" si="66"/>
        <v/>
      </c>
    </row>
    <row r="475" spans="1:45" x14ac:dyDescent="0.3">
      <c r="A475" s="231"/>
      <c r="B475" s="235"/>
      <c r="C475" s="214"/>
      <c r="D475" s="214"/>
      <c r="E475" s="214"/>
      <c r="F475" s="214"/>
      <c r="G475" s="222"/>
      <c r="H475" s="221"/>
      <c r="I475" s="213"/>
      <c r="J475" s="213"/>
      <c r="K475" s="215"/>
      <c r="L475" s="216"/>
      <c r="M475" s="217"/>
      <c r="O475" s="241" t="str">
        <f>IF(Q475 = "", "", COUNT(Q$4:$Q475))</f>
        <v/>
      </c>
      <c r="P475" s="241" t="str">
        <f t="shared" si="60"/>
        <v/>
      </c>
      <c r="Q475" s="242" t="str">
        <f t="shared" si="61"/>
        <v/>
      </c>
      <c r="R475" s="243" t="str">
        <f t="shared" si="64"/>
        <v/>
      </c>
      <c r="S475" s="244" t="str">
        <f t="shared" si="62"/>
        <v/>
      </c>
      <c r="T475" s="245" t="str">
        <f t="shared" si="65"/>
        <v/>
      </c>
      <c r="U475" s="246" t="str">
        <f t="shared" si="63"/>
        <v/>
      </c>
      <c r="V475" s="8"/>
      <c r="AR475" t="str">
        <f t="shared" si="67"/>
        <v/>
      </c>
      <c r="AS475" t="str">
        <f t="shared" si="66"/>
        <v/>
      </c>
    </row>
    <row r="476" spans="1:45" x14ac:dyDescent="0.3">
      <c r="A476" s="231"/>
      <c r="B476" s="235"/>
      <c r="C476" s="214"/>
      <c r="D476" s="214"/>
      <c r="E476" s="214"/>
      <c r="F476" s="214"/>
      <c r="G476" s="222"/>
      <c r="H476" s="221"/>
      <c r="I476" s="213"/>
      <c r="J476" s="213"/>
      <c r="K476" s="215"/>
      <c r="L476" s="216"/>
      <c r="M476" s="217"/>
      <c r="O476" s="241" t="str">
        <f>IF(Q476 = "", "", COUNT(Q$4:$Q476))</f>
        <v/>
      </c>
      <c r="P476" s="241" t="str">
        <f t="shared" si="60"/>
        <v/>
      </c>
      <c r="Q476" s="242" t="str">
        <f t="shared" si="61"/>
        <v/>
      </c>
      <c r="R476" s="243" t="str">
        <f t="shared" si="64"/>
        <v/>
      </c>
      <c r="S476" s="244" t="str">
        <f t="shared" si="62"/>
        <v/>
      </c>
      <c r="T476" s="245" t="str">
        <f t="shared" si="65"/>
        <v/>
      </c>
      <c r="U476" s="246" t="str">
        <f t="shared" si="63"/>
        <v/>
      </c>
      <c r="V476" s="8"/>
      <c r="AR476" t="str">
        <f t="shared" si="67"/>
        <v/>
      </c>
      <c r="AS476" t="str">
        <f t="shared" si="66"/>
        <v/>
      </c>
    </row>
    <row r="477" spans="1:45" x14ac:dyDescent="0.3">
      <c r="A477" s="231"/>
      <c r="B477" s="235"/>
      <c r="C477" s="214"/>
      <c r="D477" s="214"/>
      <c r="E477" s="214"/>
      <c r="F477" s="214"/>
      <c r="G477" s="222"/>
      <c r="H477" s="221"/>
      <c r="I477" s="213"/>
      <c r="J477" s="213"/>
      <c r="K477" s="215"/>
      <c r="L477" s="216"/>
      <c r="M477" s="217"/>
      <c r="O477" s="241" t="str">
        <f>IF(Q477 = "", "", COUNT(Q$4:$Q477))</f>
        <v/>
      </c>
      <c r="P477" s="241" t="str">
        <f t="shared" si="60"/>
        <v/>
      </c>
      <c r="Q477" s="242" t="str">
        <f t="shared" si="61"/>
        <v/>
      </c>
      <c r="R477" s="243" t="str">
        <f t="shared" si="64"/>
        <v/>
      </c>
      <c r="S477" s="244" t="str">
        <f t="shared" si="62"/>
        <v/>
      </c>
      <c r="T477" s="245" t="str">
        <f t="shared" si="65"/>
        <v/>
      </c>
      <c r="U477" s="246" t="str">
        <f t="shared" si="63"/>
        <v/>
      </c>
      <c r="V477" s="8"/>
      <c r="AR477" t="str">
        <f t="shared" si="67"/>
        <v/>
      </c>
      <c r="AS477" t="str">
        <f t="shared" si="66"/>
        <v/>
      </c>
    </row>
    <row r="478" spans="1:45" x14ac:dyDescent="0.3">
      <c r="A478" s="231"/>
      <c r="B478" s="235"/>
      <c r="C478" s="214"/>
      <c r="D478" s="214"/>
      <c r="E478" s="214"/>
      <c r="F478" s="214"/>
      <c r="G478" s="222"/>
      <c r="H478" s="221"/>
      <c r="I478" s="213"/>
      <c r="J478" s="213"/>
      <c r="K478" s="215"/>
      <c r="L478" s="216"/>
      <c r="M478" s="217"/>
      <c r="O478" s="241" t="str">
        <f>IF(Q478 = "", "", COUNT(Q$4:$Q478))</f>
        <v/>
      </c>
      <c r="P478" s="241" t="str">
        <f t="shared" si="60"/>
        <v/>
      </c>
      <c r="Q478" s="242" t="str">
        <f t="shared" si="61"/>
        <v/>
      </c>
      <c r="R478" s="243" t="str">
        <f t="shared" si="64"/>
        <v/>
      </c>
      <c r="S478" s="244" t="str">
        <f t="shared" si="62"/>
        <v/>
      </c>
      <c r="T478" s="245" t="str">
        <f t="shared" si="65"/>
        <v/>
      </c>
      <c r="U478" s="246" t="str">
        <f t="shared" si="63"/>
        <v/>
      </c>
      <c r="V478" s="8"/>
      <c r="AR478" t="str">
        <f t="shared" si="67"/>
        <v/>
      </c>
      <c r="AS478" t="str">
        <f t="shared" si="66"/>
        <v/>
      </c>
    </row>
    <row r="479" spans="1:45" x14ac:dyDescent="0.3">
      <c r="A479" s="231"/>
      <c r="B479" s="235"/>
      <c r="C479" s="214"/>
      <c r="D479" s="214"/>
      <c r="E479" s="214"/>
      <c r="F479" s="214"/>
      <c r="G479" s="222"/>
      <c r="H479" s="221"/>
      <c r="I479" s="213"/>
      <c r="J479" s="213"/>
      <c r="K479" s="215"/>
      <c r="L479" s="216"/>
      <c r="M479" s="217"/>
      <c r="O479" s="241" t="str">
        <f>IF(Q479 = "", "", COUNT(Q$4:$Q479))</f>
        <v/>
      </c>
      <c r="P479" s="241" t="str">
        <f t="shared" si="60"/>
        <v/>
      </c>
      <c r="Q479" s="242" t="str">
        <f t="shared" si="61"/>
        <v/>
      </c>
      <c r="R479" s="243" t="str">
        <f t="shared" si="64"/>
        <v/>
      </c>
      <c r="S479" s="244" t="str">
        <f t="shared" si="62"/>
        <v/>
      </c>
      <c r="T479" s="245" t="str">
        <f t="shared" si="65"/>
        <v/>
      </c>
      <c r="U479" s="246" t="str">
        <f t="shared" si="63"/>
        <v/>
      </c>
      <c r="V479" s="8"/>
      <c r="AR479" t="str">
        <f t="shared" si="67"/>
        <v/>
      </c>
      <c r="AS479" t="str">
        <f t="shared" si="66"/>
        <v/>
      </c>
    </row>
    <row r="480" spans="1:45" x14ac:dyDescent="0.3">
      <c r="A480" s="231"/>
      <c r="B480" s="235"/>
      <c r="C480" s="214"/>
      <c r="D480" s="214"/>
      <c r="E480" s="214"/>
      <c r="F480" s="214"/>
      <c r="G480" s="222"/>
      <c r="H480" s="221"/>
      <c r="I480" s="213"/>
      <c r="J480" s="213"/>
      <c r="K480" s="215"/>
      <c r="L480" s="216"/>
      <c r="M480" s="217"/>
      <c r="O480" s="241" t="str">
        <f>IF(Q480 = "", "", COUNT(Q$4:$Q480))</f>
        <v/>
      </c>
      <c r="P480" s="241" t="str">
        <f t="shared" si="60"/>
        <v/>
      </c>
      <c r="Q480" s="242" t="str">
        <f t="shared" si="61"/>
        <v/>
      </c>
      <c r="R480" s="243" t="str">
        <f t="shared" si="64"/>
        <v/>
      </c>
      <c r="S480" s="244" t="str">
        <f t="shared" si="62"/>
        <v/>
      </c>
      <c r="T480" s="245" t="str">
        <f t="shared" si="65"/>
        <v/>
      </c>
      <c r="U480" s="246" t="str">
        <f t="shared" si="63"/>
        <v/>
      </c>
      <c r="V480" s="8"/>
      <c r="AR480" t="str">
        <f t="shared" si="67"/>
        <v/>
      </c>
      <c r="AS480" t="str">
        <f t="shared" si="66"/>
        <v/>
      </c>
    </row>
    <row r="481" spans="1:45" x14ac:dyDescent="0.3">
      <c r="A481" s="231"/>
      <c r="B481" s="235"/>
      <c r="C481" s="214"/>
      <c r="D481" s="214"/>
      <c r="E481" s="214"/>
      <c r="F481" s="214"/>
      <c r="G481" s="222"/>
      <c r="H481" s="221"/>
      <c r="I481" s="213"/>
      <c r="J481" s="213"/>
      <c r="K481" s="215"/>
      <c r="L481" s="216"/>
      <c r="M481" s="217"/>
      <c r="O481" s="241" t="str">
        <f>IF(Q481 = "", "", COUNT(Q$4:$Q481))</f>
        <v/>
      </c>
      <c r="P481" s="241" t="str">
        <f t="shared" si="60"/>
        <v/>
      </c>
      <c r="Q481" s="242" t="str">
        <f t="shared" si="61"/>
        <v/>
      </c>
      <c r="R481" s="243" t="str">
        <f t="shared" si="64"/>
        <v/>
      </c>
      <c r="S481" s="244" t="str">
        <f t="shared" si="62"/>
        <v/>
      </c>
      <c r="T481" s="245" t="str">
        <f t="shared" si="65"/>
        <v/>
      </c>
      <c r="U481" s="246" t="str">
        <f t="shared" si="63"/>
        <v/>
      </c>
      <c r="V481" s="8"/>
      <c r="AR481" t="str">
        <f t="shared" si="67"/>
        <v/>
      </c>
      <c r="AS481" t="str">
        <f t="shared" si="66"/>
        <v/>
      </c>
    </row>
    <row r="482" spans="1:45" x14ac:dyDescent="0.3">
      <c r="A482" s="231"/>
      <c r="B482" s="235"/>
      <c r="C482" s="214"/>
      <c r="D482" s="214"/>
      <c r="E482" s="214"/>
      <c r="F482" s="214"/>
      <c r="G482" s="222"/>
      <c r="H482" s="221"/>
      <c r="I482" s="213"/>
      <c r="J482" s="213"/>
      <c r="K482" s="215"/>
      <c r="L482" s="216"/>
      <c r="M482" s="217"/>
      <c r="O482" s="241" t="str">
        <f>IF(Q482 = "", "", COUNT(Q$4:$Q482))</f>
        <v/>
      </c>
      <c r="P482" s="241" t="str">
        <f t="shared" si="60"/>
        <v/>
      </c>
      <c r="Q482" s="242" t="str">
        <f t="shared" si="61"/>
        <v/>
      </c>
      <c r="R482" s="243" t="str">
        <f t="shared" si="64"/>
        <v/>
      </c>
      <c r="S482" s="244" t="str">
        <f t="shared" si="62"/>
        <v/>
      </c>
      <c r="T482" s="245" t="str">
        <f t="shared" si="65"/>
        <v/>
      </c>
      <c r="U482" s="246" t="str">
        <f t="shared" si="63"/>
        <v/>
      </c>
      <c r="V482" s="8"/>
      <c r="AR482" t="str">
        <f t="shared" si="67"/>
        <v/>
      </c>
      <c r="AS482" t="str">
        <f t="shared" si="66"/>
        <v/>
      </c>
    </row>
    <row r="483" spans="1:45" x14ac:dyDescent="0.3">
      <c r="A483" s="231"/>
      <c r="B483" s="235"/>
      <c r="C483" s="214"/>
      <c r="D483" s="214"/>
      <c r="E483" s="214"/>
      <c r="F483" s="214"/>
      <c r="G483" s="222"/>
      <c r="H483" s="221"/>
      <c r="I483" s="213"/>
      <c r="J483" s="213"/>
      <c r="K483" s="215"/>
      <c r="L483" s="216"/>
      <c r="M483" s="217"/>
      <c r="O483" s="241" t="str">
        <f>IF(Q483 = "", "", COUNT(Q$4:$Q483))</f>
        <v/>
      </c>
      <c r="P483" s="241" t="str">
        <f t="shared" si="60"/>
        <v/>
      </c>
      <c r="Q483" s="242" t="str">
        <f t="shared" si="61"/>
        <v/>
      </c>
      <c r="R483" s="243" t="str">
        <f t="shared" si="64"/>
        <v/>
      </c>
      <c r="S483" s="244" t="str">
        <f t="shared" si="62"/>
        <v/>
      </c>
      <c r="T483" s="245" t="str">
        <f t="shared" si="65"/>
        <v/>
      </c>
      <c r="U483" s="246" t="str">
        <f t="shared" si="63"/>
        <v/>
      </c>
      <c r="V483" s="8"/>
      <c r="AR483" t="str">
        <f t="shared" si="67"/>
        <v/>
      </c>
      <c r="AS483" t="str">
        <f t="shared" si="66"/>
        <v/>
      </c>
    </row>
    <row r="484" spans="1:45" x14ac:dyDescent="0.3">
      <c r="A484" s="231"/>
      <c r="B484" s="235"/>
      <c r="C484" s="214"/>
      <c r="D484" s="214"/>
      <c r="E484" s="214"/>
      <c r="F484" s="214"/>
      <c r="G484" s="222"/>
      <c r="H484" s="221"/>
      <c r="I484" s="213"/>
      <c r="J484" s="213"/>
      <c r="K484" s="215"/>
      <c r="L484" s="216"/>
      <c r="M484" s="217"/>
      <c r="O484" s="241" t="str">
        <f>IF(Q484 = "", "", COUNT(Q$4:$Q484))</f>
        <v/>
      </c>
      <c r="P484" s="241" t="str">
        <f t="shared" si="60"/>
        <v/>
      </c>
      <c r="Q484" s="242" t="str">
        <f t="shared" si="61"/>
        <v/>
      </c>
      <c r="R484" s="243" t="str">
        <f t="shared" si="64"/>
        <v/>
      </c>
      <c r="S484" s="244" t="str">
        <f t="shared" si="62"/>
        <v/>
      </c>
      <c r="T484" s="245" t="str">
        <f t="shared" si="65"/>
        <v/>
      </c>
      <c r="U484" s="246" t="str">
        <f t="shared" si="63"/>
        <v/>
      </c>
      <c r="V484" s="8"/>
      <c r="AR484" t="str">
        <f t="shared" si="67"/>
        <v/>
      </c>
      <c r="AS484" t="str">
        <f t="shared" si="66"/>
        <v/>
      </c>
    </row>
    <row r="485" spans="1:45" x14ac:dyDescent="0.3">
      <c r="A485" s="231"/>
      <c r="B485" s="235"/>
      <c r="C485" s="214"/>
      <c r="D485" s="214"/>
      <c r="E485" s="214"/>
      <c r="F485" s="214"/>
      <c r="G485" s="222"/>
      <c r="H485" s="221"/>
      <c r="I485" s="213"/>
      <c r="J485" s="213"/>
      <c r="K485" s="215"/>
      <c r="L485" s="216"/>
      <c r="M485" s="217"/>
      <c r="O485" s="241" t="str">
        <f>IF(Q485 = "", "", COUNT(Q$4:$Q485))</f>
        <v/>
      </c>
      <c r="P485" s="241" t="str">
        <f t="shared" si="60"/>
        <v/>
      </c>
      <c r="Q485" s="242" t="str">
        <f t="shared" si="61"/>
        <v/>
      </c>
      <c r="R485" s="243" t="str">
        <f t="shared" si="64"/>
        <v/>
      </c>
      <c r="S485" s="244" t="str">
        <f t="shared" si="62"/>
        <v/>
      </c>
      <c r="T485" s="245" t="str">
        <f t="shared" si="65"/>
        <v/>
      </c>
      <c r="U485" s="246" t="str">
        <f t="shared" si="63"/>
        <v/>
      </c>
      <c r="V485" s="8"/>
      <c r="AR485" t="str">
        <f t="shared" si="67"/>
        <v/>
      </c>
      <c r="AS485" t="str">
        <f t="shared" si="66"/>
        <v/>
      </c>
    </row>
    <row r="486" spans="1:45" x14ac:dyDescent="0.3">
      <c r="A486" s="231"/>
      <c r="B486" s="235"/>
      <c r="C486" s="214"/>
      <c r="D486" s="214"/>
      <c r="E486" s="214"/>
      <c r="F486" s="214"/>
      <c r="G486" s="222"/>
      <c r="H486" s="221"/>
      <c r="I486" s="213"/>
      <c r="J486" s="213"/>
      <c r="K486" s="215"/>
      <c r="L486" s="216"/>
      <c r="M486" s="217"/>
      <c r="O486" s="241" t="str">
        <f>IF(Q486 = "", "", COUNT(Q$4:$Q486))</f>
        <v/>
      </c>
      <c r="P486" s="241" t="str">
        <f t="shared" si="60"/>
        <v/>
      </c>
      <c r="Q486" s="242" t="str">
        <f t="shared" si="61"/>
        <v/>
      </c>
      <c r="R486" s="243" t="str">
        <f t="shared" si="64"/>
        <v/>
      </c>
      <c r="S486" s="244" t="str">
        <f t="shared" si="62"/>
        <v/>
      </c>
      <c r="T486" s="245" t="str">
        <f t="shared" si="65"/>
        <v/>
      </c>
      <c r="U486" s="246" t="str">
        <f t="shared" si="63"/>
        <v/>
      </c>
      <c r="V486" s="8"/>
      <c r="AR486" t="str">
        <f t="shared" si="67"/>
        <v/>
      </c>
      <c r="AS486" t="str">
        <f t="shared" si="66"/>
        <v/>
      </c>
    </row>
    <row r="487" spans="1:45" x14ac:dyDescent="0.3">
      <c r="A487" s="231"/>
      <c r="B487" s="235"/>
      <c r="C487" s="214"/>
      <c r="D487" s="214"/>
      <c r="E487" s="214"/>
      <c r="F487" s="214"/>
      <c r="G487" s="222"/>
      <c r="H487" s="221"/>
      <c r="I487" s="213"/>
      <c r="J487" s="213"/>
      <c r="K487" s="215"/>
      <c r="L487" s="216"/>
      <c r="M487" s="217"/>
      <c r="O487" s="241" t="str">
        <f>IF(Q487 = "", "", COUNT(Q$4:$Q487))</f>
        <v/>
      </c>
      <c r="P487" s="241" t="str">
        <f t="shared" si="60"/>
        <v/>
      </c>
      <c r="Q487" s="242" t="str">
        <f t="shared" si="61"/>
        <v/>
      </c>
      <c r="R487" s="243" t="str">
        <f t="shared" si="64"/>
        <v/>
      </c>
      <c r="S487" s="244" t="str">
        <f t="shared" si="62"/>
        <v/>
      </c>
      <c r="T487" s="245" t="str">
        <f t="shared" si="65"/>
        <v/>
      </c>
      <c r="U487" s="246" t="str">
        <f t="shared" si="63"/>
        <v/>
      </c>
      <c r="V487" s="8"/>
      <c r="AR487" t="str">
        <f t="shared" si="67"/>
        <v/>
      </c>
      <c r="AS487" t="str">
        <f t="shared" si="66"/>
        <v/>
      </c>
    </row>
    <row r="488" spans="1:45" x14ac:dyDescent="0.3">
      <c r="A488" s="231"/>
      <c r="B488" s="235"/>
      <c r="C488" s="214"/>
      <c r="D488" s="214"/>
      <c r="E488" s="214"/>
      <c r="F488" s="214"/>
      <c r="G488" s="222"/>
      <c r="H488" s="221"/>
      <c r="I488" s="213"/>
      <c r="J488" s="213"/>
      <c r="K488" s="215"/>
      <c r="L488" s="216"/>
      <c r="M488" s="217"/>
      <c r="O488" s="241" t="str">
        <f>IF(Q488 = "", "", COUNT(Q$4:$Q488))</f>
        <v/>
      </c>
      <c r="P488" s="241" t="str">
        <f t="shared" si="60"/>
        <v/>
      </c>
      <c r="Q488" s="242" t="str">
        <f t="shared" si="61"/>
        <v/>
      </c>
      <c r="R488" s="243" t="str">
        <f t="shared" si="64"/>
        <v/>
      </c>
      <c r="S488" s="244" t="str">
        <f t="shared" si="62"/>
        <v/>
      </c>
      <c r="T488" s="245" t="str">
        <f t="shared" si="65"/>
        <v/>
      </c>
      <c r="U488" s="246" t="str">
        <f t="shared" si="63"/>
        <v/>
      </c>
      <c r="V488" s="8"/>
      <c r="AR488" t="str">
        <f t="shared" si="67"/>
        <v/>
      </c>
      <c r="AS488" t="str">
        <f t="shared" si="66"/>
        <v/>
      </c>
    </row>
    <row r="489" spans="1:45" x14ac:dyDescent="0.3">
      <c r="A489" s="231"/>
      <c r="B489" s="235"/>
      <c r="C489" s="214"/>
      <c r="D489" s="214"/>
      <c r="E489" s="214"/>
      <c r="F489" s="214"/>
      <c r="G489" s="222"/>
      <c r="H489" s="221"/>
      <c r="I489" s="213"/>
      <c r="J489" s="213"/>
      <c r="K489" s="215"/>
      <c r="L489" s="216"/>
      <c r="M489" s="217"/>
      <c r="O489" s="241" t="str">
        <f>IF(Q489 = "", "", COUNT(Q$4:$Q489))</f>
        <v/>
      </c>
      <c r="P489" s="241" t="str">
        <f t="shared" si="60"/>
        <v/>
      </c>
      <c r="Q489" s="242" t="str">
        <f t="shared" si="61"/>
        <v/>
      </c>
      <c r="R489" s="243" t="str">
        <f t="shared" si="64"/>
        <v/>
      </c>
      <c r="S489" s="244" t="str">
        <f t="shared" si="62"/>
        <v/>
      </c>
      <c r="T489" s="245" t="str">
        <f t="shared" si="65"/>
        <v/>
      </c>
      <c r="U489" s="246" t="str">
        <f t="shared" si="63"/>
        <v/>
      </c>
      <c r="V489" s="8"/>
      <c r="AR489" t="str">
        <f t="shared" si="67"/>
        <v/>
      </c>
      <c r="AS489" t="str">
        <f t="shared" si="66"/>
        <v/>
      </c>
    </row>
    <row r="490" spans="1:45" x14ac:dyDescent="0.3">
      <c r="A490" s="231"/>
      <c r="B490" s="235"/>
      <c r="C490" s="214"/>
      <c r="D490" s="214"/>
      <c r="E490" s="214"/>
      <c r="F490" s="214"/>
      <c r="G490" s="222"/>
      <c r="H490" s="221"/>
      <c r="I490" s="213"/>
      <c r="J490" s="213"/>
      <c r="K490" s="215"/>
      <c r="L490" s="216"/>
      <c r="M490" s="217"/>
      <c r="O490" s="241" t="str">
        <f>IF(Q490 = "", "", COUNT(Q$4:$Q490))</f>
        <v/>
      </c>
      <c r="P490" s="241" t="str">
        <f t="shared" si="60"/>
        <v/>
      </c>
      <c r="Q490" s="242" t="str">
        <f t="shared" si="61"/>
        <v/>
      </c>
      <c r="R490" s="243" t="str">
        <f t="shared" si="64"/>
        <v/>
      </c>
      <c r="S490" s="244" t="str">
        <f t="shared" si="62"/>
        <v/>
      </c>
      <c r="T490" s="245" t="str">
        <f t="shared" si="65"/>
        <v/>
      </c>
      <c r="U490" s="246" t="str">
        <f t="shared" si="63"/>
        <v/>
      </c>
      <c r="V490" s="8"/>
      <c r="AR490" t="str">
        <f t="shared" si="67"/>
        <v/>
      </c>
      <c r="AS490" t="str">
        <f t="shared" si="66"/>
        <v/>
      </c>
    </row>
    <row r="491" spans="1:45" x14ac:dyDescent="0.3">
      <c r="A491" s="231"/>
      <c r="B491" s="235"/>
      <c r="C491" s="214"/>
      <c r="D491" s="214"/>
      <c r="E491" s="214"/>
      <c r="F491" s="214"/>
      <c r="G491" s="222"/>
      <c r="H491" s="221"/>
      <c r="I491" s="213"/>
      <c r="J491" s="213"/>
      <c r="K491" s="215"/>
      <c r="L491" s="216"/>
      <c r="M491" s="217"/>
      <c r="O491" s="241" t="str">
        <f>IF(Q491 = "", "", COUNT(Q$4:$Q491))</f>
        <v/>
      </c>
      <c r="P491" s="241" t="str">
        <f t="shared" si="60"/>
        <v/>
      </c>
      <c r="Q491" s="242" t="str">
        <f t="shared" si="61"/>
        <v/>
      </c>
      <c r="R491" s="243" t="str">
        <f t="shared" si="64"/>
        <v/>
      </c>
      <c r="S491" s="244" t="str">
        <f t="shared" si="62"/>
        <v/>
      </c>
      <c r="T491" s="245" t="str">
        <f t="shared" si="65"/>
        <v/>
      </c>
      <c r="U491" s="246" t="str">
        <f t="shared" si="63"/>
        <v/>
      </c>
      <c r="V491" s="8"/>
      <c r="AR491" t="str">
        <f t="shared" si="67"/>
        <v/>
      </c>
      <c r="AS491" t="str">
        <f t="shared" si="66"/>
        <v/>
      </c>
    </row>
    <row r="492" spans="1:45" x14ac:dyDescent="0.3">
      <c r="A492" s="231"/>
      <c r="B492" s="235"/>
      <c r="C492" s="214"/>
      <c r="D492" s="214"/>
      <c r="E492" s="214"/>
      <c r="F492" s="214"/>
      <c r="G492" s="222"/>
      <c r="H492" s="221"/>
      <c r="I492" s="213"/>
      <c r="J492" s="213"/>
      <c r="K492" s="215"/>
      <c r="L492" s="216"/>
      <c r="M492" s="217"/>
      <c r="O492" s="241" t="str">
        <f>IF(Q492 = "", "", COUNT(Q$4:$Q492))</f>
        <v/>
      </c>
      <c r="P492" s="241" t="str">
        <f t="shared" si="60"/>
        <v/>
      </c>
      <c r="Q492" s="242" t="str">
        <f t="shared" si="61"/>
        <v/>
      </c>
      <c r="R492" s="243" t="str">
        <f t="shared" si="64"/>
        <v/>
      </c>
      <c r="S492" s="244" t="str">
        <f t="shared" si="62"/>
        <v/>
      </c>
      <c r="T492" s="245" t="str">
        <f t="shared" si="65"/>
        <v/>
      </c>
      <c r="U492" s="246" t="str">
        <f t="shared" si="63"/>
        <v/>
      </c>
      <c r="V492" s="8"/>
      <c r="AR492" t="str">
        <f t="shared" si="67"/>
        <v/>
      </c>
      <c r="AS492" t="str">
        <f t="shared" si="66"/>
        <v/>
      </c>
    </row>
    <row r="493" spans="1:45" x14ac:dyDescent="0.3">
      <c r="A493" s="231"/>
      <c r="B493" s="235"/>
      <c r="C493" s="214"/>
      <c r="D493" s="214"/>
      <c r="E493" s="214"/>
      <c r="F493" s="214"/>
      <c r="G493" s="222"/>
      <c r="H493" s="221"/>
      <c r="I493" s="213"/>
      <c r="J493" s="213"/>
      <c r="K493" s="215"/>
      <c r="L493" s="216"/>
      <c r="M493" s="217"/>
      <c r="O493" s="241" t="str">
        <f>IF(Q493 = "", "", COUNT(Q$4:$Q493))</f>
        <v/>
      </c>
      <c r="P493" s="241" t="str">
        <f t="shared" si="60"/>
        <v/>
      </c>
      <c r="Q493" s="242" t="str">
        <f t="shared" si="61"/>
        <v/>
      </c>
      <c r="R493" s="243" t="str">
        <f t="shared" si="64"/>
        <v/>
      </c>
      <c r="S493" s="244" t="str">
        <f t="shared" si="62"/>
        <v/>
      </c>
      <c r="T493" s="245" t="str">
        <f t="shared" si="65"/>
        <v/>
      </c>
      <c r="U493" s="246" t="str">
        <f t="shared" si="63"/>
        <v/>
      </c>
      <c r="V493" s="8"/>
      <c r="AR493" t="str">
        <f t="shared" si="67"/>
        <v/>
      </c>
      <c r="AS493" t="str">
        <f t="shared" si="66"/>
        <v/>
      </c>
    </row>
    <row r="494" spans="1:45" x14ac:dyDescent="0.3">
      <c r="A494" s="231"/>
      <c r="B494" s="235"/>
      <c r="C494" s="214"/>
      <c r="D494" s="214"/>
      <c r="E494" s="214"/>
      <c r="F494" s="214"/>
      <c r="G494" s="222"/>
      <c r="H494" s="221"/>
      <c r="I494" s="213"/>
      <c r="J494" s="213"/>
      <c r="K494" s="215"/>
      <c r="L494" s="216"/>
      <c r="M494" s="217"/>
      <c r="O494" s="241" t="str">
        <f>IF(Q494 = "", "", COUNT(Q$4:$Q494))</f>
        <v/>
      </c>
      <c r="P494" s="241" t="str">
        <f t="shared" si="60"/>
        <v/>
      </c>
      <c r="Q494" s="242" t="str">
        <f t="shared" si="61"/>
        <v/>
      </c>
      <c r="R494" s="243" t="str">
        <f t="shared" si="64"/>
        <v/>
      </c>
      <c r="S494" s="244" t="str">
        <f t="shared" si="62"/>
        <v/>
      </c>
      <c r="T494" s="245" t="str">
        <f t="shared" si="65"/>
        <v/>
      </c>
      <c r="U494" s="246" t="str">
        <f t="shared" si="63"/>
        <v/>
      </c>
      <c r="V494" s="8"/>
      <c r="AR494" t="str">
        <f t="shared" si="67"/>
        <v/>
      </c>
      <c r="AS494" t="str">
        <f t="shared" si="66"/>
        <v/>
      </c>
    </row>
    <row r="495" spans="1:45" x14ac:dyDescent="0.3">
      <c r="A495" s="231"/>
      <c r="B495" s="235"/>
      <c r="C495" s="214"/>
      <c r="D495" s="214"/>
      <c r="E495" s="214"/>
      <c r="F495" s="214"/>
      <c r="G495" s="222"/>
      <c r="H495" s="221"/>
      <c r="I495" s="213"/>
      <c r="J495" s="213"/>
      <c r="K495" s="215"/>
      <c r="L495" s="216"/>
      <c r="M495" s="217"/>
      <c r="O495" s="241" t="str">
        <f>IF(Q495 = "", "", COUNT(Q$4:$Q495))</f>
        <v/>
      </c>
      <c r="P495" s="241" t="str">
        <f t="shared" si="60"/>
        <v/>
      </c>
      <c r="Q495" s="242" t="str">
        <f t="shared" si="61"/>
        <v/>
      </c>
      <c r="R495" s="243" t="str">
        <f t="shared" si="64"/>
        <v/>
      </c>
      <c r="S495" s="244" t="str">
        <f t="shared" si="62"/>
        <v/>
      </c>
      <c r="T495" s="245" t="str">
        <f t="shared" si="65"/>
        <v/>
      </c>
      <c r="U495" s="246" t="str">
        <f t="shared" si="63"/>
        <v/>
      </c>
      <c r="V495" s="8"/>
      <c r="AR495" t="str">
        <f t="shared" si="67"/>
        <v/>
      </c>
      <c r="AS495" t="str">
        <f t="shared" si="66"/>
        <v/>
      </c>
    </row>
    <row r="496" spans="1:45" x14ac:dyDescent="0.3">
      <c r="A496" s="231"/>
      <c r="B496" s="235"/>
      <c r="C496" s="214"/>
      <c r="D496" s="214"/>
      <c r="E496" s="214"/>
      <c r="F496" s="214"/>
      <c r="G496" s="222"/>
      <c r="H496" s="221"/>
      <c r="I496" s="213"/>
      <c r="J496" s="213"/>
      <c r="K496" s="215"/>
      <c r="L496" s="216"/>
      <c r="M496" s="217"/>
      <c r="O496" s="241" t="str">
        <f>IF(Q496 = "", "", COUNT(Q$4:$Q496))</f>
        <v/>
      </c>
      <c r="P496" s="241" t="str">
        <f t="shared" si="60"/>
        <v/>
      </c>
      <c r="Q496" s="242" t="str">
        <f t="shared" si="61"/>
        <v/>
      </c>
      <c r="R496" s="243" t="str">
        <f t="shared" si="64"/>
        <v/>
      </c>
      <c r="S496" s="244" t="str">
        <f t="shared" si="62"/>
        <v/>
      </c>
      <c r="T496" s="245" t="str">
        <f t="shared" si="65"/>
        <v/>
      </c>
      <c r="U496" s="246" t="str">
        <f t="shared" si="63"/>
        <v/>
      </c>
      <c r="V496" s="8"/>
      <c r="AR496" t="str">
        <f t="shared" si="67"/>
        <v/>
      </c>
      <c r="AS496" t="str">
        <f t="shared" si="66"/>
        <v/>
      </c>
    </row>
    <row r="497" spans="1:45" x14ac:dyDescent="0.3">
      <c r="A497" s="231"/>
      <c r="B497" s="235"/>
      <c r="C497" s="214"/>
      <c r="D497" s="214"/>
      <c r="E497" s="214"/>
      <c r="F497" s="214"/>
      <c r="G497" s="222"/>
      <c r="H497" s="221"/>
      <c r="I497" s="213"/>
      <c r="J497" s="213"/>
      <c r="K497" s="215"/>
      <c r="L497" s="216"/>
      <c r="M497" s="217"/>
      <c r="O497" s="241" t="str">
        <f>IF(Q497 = "", "", COUNT(Q$4:$Q497))</f>
        <v/>
      </c>
      <c r="P497" s="241" t="str">
        <f t="shared" si="60"/>
        <v/>
      </c>
      <c r="Q497" s="242" t="str">
        <f t="shared" si="61"/>
        <v/>
      </c>
      <c r="R497" s="243" t="str">
        <f t="shared" si="64"/>
        <v/>
      </c>
      <c r="S497" s="244" t="str">
        <f t="shared" si="62"/>
        <v/>
      </c>
      <c r="T497" s="245" t="str">
        <f t="shared" si="65"/>
        <v/>
      </c>
      <c r="U497" s="246" t="str">
        <f t="shared" si="63"/>
        <v/>
      </c>
      <c r="V497" s="8"/>
      <c r="AR497" t="str">
        <f t="shared" si="67"/>
        <v/>
      </c>
      <c r="AS497" t="str">
        <f t="shared" si="66"/>
        <v/>
      </c>
    </row>
    <row r="498" spans="1:45" x14ac:dyDescent="0.3">
      <c r="A498" s="231"/>
      <c r="B498" s="235"/>
      <c r="C498" s="214"/>
      <c r="D498" s="214"/>
      <c r="E498" s="214"/>
      <c r="F498" s="214"/>
      <c r="G498" s="222"/>
      <c r="H498" s="221"/>
      <c r="I498" s="213"/>
      <c r="J498" s="213"/>
      <c r="K498" s="215"/>
      <c r="L498" s="216"/>
      <c r="M498" s="217"/>
      <c r="O498" s="241" t="str">
        <f>IF(Q498 = "", "", COUNT(Q$4:$Q498))</f>
        <v/>
      </c>
      <c r="P498" s="241" t="str">
        <f t="shared" si="60"/>
        <v/>
      </c>
      <c r="Q498" s="242" t="str">
        <f t="shared" si="61"/>
        <v/>
      </c>
      <c r="R498" s="243" t="str">
        <f t="shared" si="64"/>
        <v/>
      </c>
      <c r="S498" s="244" t="str">
        <f t="shared" si="62"/>
        <v/>
      </c>
      <c r="T498" s="245" t="str">
        <f t="shared" si="65"/>
        <v/>
      </c>
      <c r="U498" s="246" t="str">
        <f t="shared" si="63"/>
        <v/>
      </c>
      <c r="V498" s="8"/>
      <c r="AR498" t="str">
        <f t="shared" si="67"/>
        <v/>
      </c>
      <c r="AS498" t="str">
        <f t="shared" si="66"/>
        <v/>
      </c>
    </row>
    <row r="499" spans="1:45" x14ac:dyDescent="0.3">
      <c r="A499" s="231"/>
      <c r="B499" s="235"/>
      <c r="C499" s="214"/>
      <c r="D499" s="214"/>
      <c r="E499" s="214"/>
      <c r="F499" s="214"/>
      <c r="G499" s="222"/>
      <c r="H499" s="221"/>
      <c r="I499" s="213"/>
      <c r="J499" s="213"/>
      <c r="K499" s="215"/>
      <c r="L499" s="216"/>
      <c r="M499" s="217"/>
      <c r="O499" s="241" t="str">
        <f>IF(Q499 = "", "", COUNT(Q$4:$Q499))</f>
        <v/>
      </c>
      <c r="P499" s="241" t="str">
        <f t="shared" si="60"/>
        <v/>
      </c>
      <c r="Q499" s="242" t="str">
        <f t="shared" si="61"/>
        <v/>
      </c>
      <c r="R499" s="243" t="str">
        <f t="shared" si="64"/>
        <v/>
      </c>
      <c r="S499" s="244" t="str">
        <f t="shared" si="62"/>
        <v/>
      </c>
      <c r="T499" s="245" t="str">
        <f t="shared" si="65"/>
        <v/>
      </c>
      <c r="U499" s="246" t="str">
        <f t="shared" si="63"/>
        <v/>
      </c>
      <c r="V499" s="8"/>
      <c r="AR499" t="str">
        <f t="shared" si="67"/>
        <v/>
      </c>
      <c r="AS499" t="str">
        <f t="shared" si="66"/>
        <v/>
      </c>
    </row>
    <row r="500" spans="1:45" x14ac:dyDescent="0.3">
      <c r="A500" s="231"/>
      <c r="B500" s="235"/>
      <c r="C500" s="214"/>
      <c r="D500" s="214"/>
      <c r="E500" s="214"/>
      <c r="F500" s="214"/>
      <c r="G500" s="222"/>
      <c r="H500" s="221"/>
      <c r="I500" s="213"/>
      <c r="J500" s="213"/>
      <c r="K500" s="215"/>
      <c r="L500" s="216"/>
      <c r="M500" s="217"/>
      <c r="O500" s="241" t="str">
        <f>IF(Q500 = "", "", COUNT(Q$4:$Q500))</f>
        <v/>
      </c>
      <c r="P500" s="241" t="str">
        <f t="shared" si="60"/>
        <v/>
      </c>
      <c r="Q500" s="242" t="str">
        <f t="shared" si="61"/>
        <v/>
      </c>
      <c r="R500" s="243" t="str">
        <f t="shared" si="64"/>
        <v/>
      </c>
      <c r="S500" s="244" t="str">
        <f t="shared" si="62"/>
        <v/>
      </c>
      <c r="T500" s="245" t="str">
        <f t="shared" si="65"/>
        <v/>
      </c>
      <c r="U500" s="246" t="str">
        <f t="shared" si="63"/>
        <v/>
      </c>
      <c r="V500" s="8"/>
      <c r="AR500" t="str">
        <f t="shared" si="67"/>
        <v/>
      </c>
      <c r="AS500" t="str">
        <f t="shared" si="66"/>
        <v/>
      </c>
    </row>
    <row r="501" spans="1:45" x14ac:dyDescent="0.3">
      <c r="A501" s="231"/>
      <c r="B501" s="235"/>
      <c r="C501" s="214"/>
      <c r="D501" s="214"/>
      <c r="E501" s="214"/>
      <c r="F501" s="214"/>
      <c r="G501" s="222"/>
      <c r="H501" s="221"/>
      <c r="I501" s="213"/>
      <c r="J501" s="213"/>
      <c r="K501" s="215"/>
      <c r="L501" s="216"/>
      <c r="M501" s="217"/>
      <c r="O501" s="241" t="str">
        <f>IF(Q501 = "", "", COUNT(Q$4:$Q501))</f>
        <v/>
      </c>
      <c r="P501" s="241" t="str">
        <f t="shared" si="60"/>
        <v/>
      </c>
      <c r="Q501" s="242" t="str">
        <f t="shared" si="61"/>
        <v/>
      </c>
      <c r="R501" s="243" t="str">
        <f t="shared" si="64"/>
        <v/>
      </c>
      <c r="S501" s="244" t="str">
        <f t="shared" si="62"/>
        <v/>
      </c>
      <c r="T501" s="245" t="str">
        <f t="shared" si="65"/>
        <v/>
      </c>
      <c r="U501" s="246" t="str">
        <f t="shared" si="63"/>
        <v/>
      </c>
      <c r="V501" s="8"/>
      <c r="AR501" t="str">
        <f t="shared" si="67"/>
        <v/>
      </c>
      <c r="AS501" t="str">
        <f t="shared" si="66"/>
        <v/>
      </c>
    </row>
    <row r="502" spans="1:45" x14ac:dyDescent="0.3">
      <c r="A502" s="231"/>
      <c r="B502" s="235"/>
      <c r="C502" s="214"/>
      <c r="D502" s="214"/>
      <c r="E502" s="214"/>
      <c r="F502" s="214"/>
      <c r="G502" s="222"/>
      <c r="H502" s="221"/>
      <c r="I502" s="213"/>
      <c r="J502" s="213"/>
      <c r="K502" s="215"/>
      <c r="L502" s="216"/>
      <c r="M502" s="217"/>
      <c r="O502" s="241" t="str">
        <f>IF(Q502 = "", "", COUNT(Q$4:$Q502))</f>
        <v/>
      </c>
      <c r="P502" s="241" t="str">
        <f t="shared" si="60"/>
        <v/>
      </c>
      <c r="Q502" s="242" t="str">
        <f t="shared" si="61"/>
        <v/>
      </c>
      <c r="R502" s="243" t="str">
        <f t="shared" si="64"/>
        <v/>
      </c>
      <c r="S502" s="244" t="str">
        <f t="shared" si="62"/>
        <v/>
      </c>
      <c r="T502" s="245" t="str">
        <f t="shared" si="65"/>
        <v/>
      </c>
      <c r="U502" s="246" t="str">
        <f t="shared" si="63"/>
        <v/>
      </c>
      <c r="V502" s="8"/>
      <c r="AR502" t="str">
        <f t="shared" si="67"/>
        <v/>
      </c>
      <c r="AS502" t="str">
        <f t="shared" si="66"/>
        <v/>
      </c>
    </row>
    <row r="503" spans="1:45" x14ac:dyDescent="0.3">
      <c r="A503" s="231"/>
      <c r="B503" s="235"/>
      <c r="C503" s="214"/>
      <c r="D503" s="214"/>
      <c r="E503" s="214"/>
      <c r="F503" s="214"/>
      <c r="G503" s="222"/>
      <c r="H503" s="221"/>
      <c r="I503" s="213"/>
      <c r="J503" s="213"/>
      <c r="K503" s="215"/>
      <c r="L503" s="216"/>
      <c r="M503" s="217"/>
      <c r="O503" s="241" t="str">
        <f>IF(Q503 = "", "", COUNT(Q$4:$Q503))</f>
        <v/>
      </c>
      <c r="P503" s="241" t="str">
        <f t="shared" si="60"/>
        <v/>
      </c>
      <c r="Q503" s="242" t="str">
        <f t="shared" si="61"/>
        <v/>
      </c>
      <c r="R503" s="243" t="str">
        <f t="shared" si="64"/>
        <v/>
      </c>
      <c r="S503" s="244" t="str">
        <f t="shared" si="62"/>
        <v/>
      </c>
      <c r="T503" s="245" t="str">
        <f t="shared" si="65"/>
        <v/>
      </c>
      <c r="U503" s="246" t="str">
        <f t="shared" si="63"/>
        <v/>
      </c>
      <c r="V503" s="8"/>
      <c r="AR503" t="str">
        <f t="shared" si="67"/>
        <v/>
      </c>
      <c r="AS503" t="str">
        <f t="shared" si="66"/>
        <v/>
      </c>
    </row>
    <row r="504" spans="1:45" x14ac:dyDescent="0.3">
      <c r="A504" s="231"/>
      <c r="B504" s="235"/>
      <c r="C504" s="214"/>
      <c r="D504" s="214"/>
      <c r="E504" s="214"/>
      <c r="F504" s="214"/>
      <c r="G504" s="222"/>
      <c r="H504" s="221"/>
      <c r="I504" s="213"/>
      <c r="J504" s="213"/>
      <c r="K504" s="215"/>
      <c r="L504" s="216"/>
      <c r="M504" s="217"/>
      <c r="O504" s="241" t="str">
        <f>IF(Q504 = "", "", COUNT(Q$4:$Q504))</f>
        <v/>
      </c>
      <c r="P504" s="241" t="str">
        <f t="shared" si="60"/>
        <v/>
      </c>
      <c r="Q504" s="242" t="str">
        <f t="shared" si="61"/>
        <v/>
      </c>
      <c r="R504" s="243" t="str">
        <f t="shared" si="64"/>
        <v/>
      </c>
      <c r="S504" s="244" t="str">
        <f t="shared" si="62"/>
        <v/>
      </c>
      <c r="T504" s="245" t="str">
        <f t="shared" si="65"/>
        <v/>
      </c>
      <c r="U504" s="246" t="str">
        <f t="shared" si="63"/>
        <v/>
      </c>
      <c r="V504" s="8"/>
      <c r="AR504" t="str">
        <f t="shared" si="67"/>
        <v/>
      </c>
      <c r="AS504" t="str">
        <f t="shared" si="66"/>
        <v/>
      </c>
    </row>
    <row r="505" spans="1:45" x14ac:dyDescent="0.3">
      <c r="A505" s="231"/>
      <c r="B505" s="235"/>
      <c r="C505" s="214"/>
      <c r="D505" s="214"/>
      <c r="E505" s="214"/>
      <c r="F505" s="214"/>
      <c r="G505" s="222"/>
      <c r="H505" s="221"/>
      <c r="I505" s="213"/>
      <c r="J505" s="213"/>
      <c r="K505" s="215"/>
      <c r="L505" s="216"/>
      <c r="M505" s="217"/>
      <c r="O505" s="241" t="str">
        <f>IF(Q505 = "", "", COUNT(Q$4:$Q505))</f>
        <v/>
      </c>
      <c r="P505" s="241" t="str">
        <f t="shared" si="60"/>
        <v/>
      </c>
      <c r="Q505" s="242" t="str">
        <f t="shared" si="61"/>
        <v/>
      </c>
      <c r="R505" s="243" t="str">
        <f t="shared" si="64"/>
        <v/>
      </c>
      <c r="S505" s="244" t="str">
        <f t="shared" si="62"/>
        <v/>
      </c>
      <c r="T505" s="245" t="str">
        <f t="shared" si="65"/>
        <v/>
      </c>
      <c r="U505" s="246" t="str">
        <f t="shared" si="63"/>
        <v/>
      </c>
      <c r="V505" s="8"/>
      <c r="AR505" t="str">
        <f t="shared" si="67"/>
        <v/>
      </c>
      <c r="AS505" t="str">
        <f t="shared" si="66"/>
        <v/>
      </c>
    </row>
    <row r="506" spans="1:45" x14ac:dyDescent="0.3">
      <c r="A506" s="231"/>
      <c r="B506" s="235"/>
      <c r="C506" s="214"/>
      <c r="D506" s="214"/>
      <c r="E506" s="214"/>
      <c r="F506" s="214"/>
      <c r="G506" s="222"/>
      <c r="H506" s="221"/>
      <c r="I506" s="213"/>
      <c r="J506" s="213"/>
      <c r="K506" s="215"/>
      <c r="L506" s="216"/>
      <c r="M506" s="217"/>
      <c r="O506" s="241" t="str">
        <f>IF(Q506 = "", "", COUNT(Q$4:$Q506))</f>
        <v/>
      </c>
      <c r="P506" s="241" t="str">
        <f t="shared" si="60"/>
        <v/>
      </c>
      <c r="Q506" s="242" t="str">
        <f t="shared" si="61"/>
        <v/>
      </c>
      <c r="R506" s="243" t="str">
        <f t="shared" si="64"/>
        <v/>
      </c>
      <c r="S506" s="244" t="str">
        <f t="shared" si="62"/>
        <v/>
      </c>
      <c r="T506" s="245" t="str">
        <f t="shared" si="65"/>
        <v/>
      </c>
      <c r="U506" s="246" t="str">
        <f t="shared" si="63"/>
        <v/>
      </c>
      <c r="V506" s="8"/>
      <c r="AR506" t="str">
        <f t="shared" si="67"/>
        <v/>
      </c>
      <c r="AS506" t="str">
        <f t="shared" si="66"/>
        <v/>
      </c>
    </row>
    <row r="507" spans="1:45" x14ac:dyDescent="0.3">
      <c r="A507" s="231"/>
      <c r="B507" s="235"/>
      <c r="C507" s="214"/>
      <c r="D507" s="214"/>
      <c r="E507" s="214"/>
      <c r="F507" s="214"/>
      <c r="G507" s="222"/>
      <c r="H507" s="221"/>
      <c r="I507" s="213"/>
      <c r="J507" s="213"/>
      <c r="K507" s="215"/>
      <c r="L507" s="216"/>
      <c r="M507" s="217"/>
      <c r="O507" s="241" t="str">
        <f>IF(Q507 = "", "", COUNT(Q$4:$Q507))</f>
        <v/>
      </c>
      <c r="P507" s="241" t="str">
        <f t="shared" si="60"/>
        <v/>
      </c>
      <c r="Q507" s="242" t="str">
        <f t="shared" si="61"/>
        <v/>
      </c>
      <c r="R507" s="243" t="str">
        <f t="shared" si="64"/>
        <v/>
      </c>
      <c r="S507" s="244" t="str">
        <f t="shared" si="62"/>
        <v/>
      </c>
      <c r="T507" s="245" t="str">
        <f t="shared" si="65"/>
        <v/>
      </c>
      <c r="U507" s="246" t="str">
        <f t="shared" si="63"/>
        <v/>
      </c>
      <c r="V507" s="8"/>
      <c r="AR507" t="str">
        <f t="shared" si="67"/>
        <v/>
      </c>
      <c r="AS507" t="str">
        <f t="shared" si="66"/>
        <v/>
      </c>
    </row>
    <row r="508" spans="1:45" x14ac:dyDescent="0.3">
      <c r="A508" s="231"/>
      <c r="B508" s="235"/>
      <c r="C508" s="214"/>
      <c r="D508" s="214"/>
      <c r="E508" s="214"/>
      <c r="F508" s="214"/>
      <c r="G508" s="222"/>
      <c r="H508" s="221"/>
      <c r="I508" s="213"/>
      <c r="J508" s="213"/>
      <c r="K508" s="215"/>
      <c r="L508" s="216"/>
      <c r="M508" s="217"/>
      <c r="O508" s="241" t="str">
        <f>IF(Q508 = "", "", COUNT(Q$4:$Q508))</f>
        <v/>
      </c>
      <c r="P508" s="241" t="str">
        <f t="shared" si="60"/>
        <v/>
      </c>
      <c r="Q508" s="242" t="str">
        <f t="shared" si="61"/>
        <v/>
      </c>
      <c r="R508" s="243" t="str">
        <f t="shared" si="64"/>
        <v/>
      </c>
      <c r="S508" s="244" t="str">
        <f t="shared" si="62"/>
        <v/>
      </c>
      <c r="T508" s="245" t="str">
        <f t="shared" si="65"/>
        <v/>
      </c>
      <c r="U508" s="246" t="str">
        <f t="shared" si="63"/>
        <v/>
      </c>
      <c r="V508" s="8"/>
      <c r="AR508" t="str">
        <f t="shared" si="67"/>
        <v/>
      </c>
      <c r="AS508" t="str">
        <f t="shared" si="66"/>
        <v/>
      </c>
    </row>
    <row r="509" spans="1:45" x14ac:dyDescent="0.3">
      <c r="A509" s="231"/>
      <c r="B509" s="235"/>
      <c r="C509" s="214"/>
      <c r="D509" s="214"/>
      <c r="E509" s="214"/>
      <c r="F509" s="214"/>
      <c r="G509" s="222"/>
      <c r="H509" s="221"/>
      <c r="I509" s="213"/>
      <c r="J509" s="213"/>
      <c r="K509" s="215"/>
      <c r="L509" s="216"/>
      <c r="M509" s="217"/>
      <c r="O509" s="241" t="str">
        <f>IF(Q509 = "", "", COUNT(Q$4:$Q509))</f>
        <v/>
      </c>
      <c r="P509" s="241" t="str">
        <f t="shared" si="60"/>
        <v/>
      </c>
      <c r="Q509" s="242" t="str">
        <f t="shared" si="61"/>
        <v/>
      </c>
      <c r="R509" s="243" t="str">
        <f t="shared" si="64"/>
        <v/>
      </c>
      <c r="S509" s="244" t="str">
        <f t="shared" si="62"/>
        <v/>
      </c>
      <c r="T509" s="245" t="str">
        <f t="shared" si="65"/>
        <v/>
      </c>
      <c r="U509" s="246" t="str">
        <f t="shared" si="63"/>
        <v/>
      </c>
      <c r="V509" s="8"/>
      <c r="AR509" t="str">
        <f t="shared" si="67"/>
        <v/>
      </c>
      <c r="AS509" t="str">
        <f t="shared" si="66"/>
        <v/>
      </c>
    </row>
    <row r="510" spans="1:45" x14ac:dyDescent="0.3">
      <c r="A510" s="231"/>
      <c r="B510" s="235"/>
      <c r="C510" s="214"/>
      <c r="D510" s="214"/>
      <c r="E510" s="214"/>
      <c r="F510" s="214"/>
      <c r="G510" s="222"/>
      <c r="H510" s="221"/>
      <c r="I510" s="213"/>
      <c r="J510" s="213"/>
      <c r="K510" s="215"/>
      <c r="L510" s="216"/>
      <c r="M510" s="217"/>
      <c r="O510" s="241" t="str">
        <f>IF(Q510 = "", "", COUNT(Q$4:$Q510))</f>
        <v/>
      </c>
      <c r="P510" s="241" t="str">
        <f t="shared" si="60"/>
        <v/>
      </c>
      <c r="Q510" s="242" t="str">
        <f t="shared" si="61"/>
        <v/>
      </c>
      <c r="R510" s="243" t="str">
        <f t="shared" si="64"/>
        <v/>
      </c>
      <c r="S510" s="244" t="str">
        <f t="shared" si="62"/>
        <v/>
      </c>
      <c r="T510" s="245" t="str">
        <f t="shared" si="65"/>
        <v/>
      </c>
      <c r="U510" s="246" t="str">
        <f t="shared" si="63"/>
        <v/>
      </c>
      <c r="V510" s="8"/>
      <c r="AR510" t="str">
        <f t="shared" si="67"/>
        <v/>
      </c>
      <c r="AS510" t="str">
        <f t="shared" si="66"/>
        <v/>
      </c>
    </row>
    <row r="511" spans="1:45" x14ac:dyDescent="0.3">
      <c r="A511" s="231"/>
      <c r="B511" s="235"/>
      <c r="C511" s="214"/>
      <c r="D511" s="214"/>
      <c r="E511" s="214"/>
      <c r="F511" s="214"/>
      <c r="G511" s="222"/>
      <c r="H511" s="221"/>
      <c r="I511" s="213"/>
      <c r="J511" s="213"/>
      <c r="K511" s="215"/>
      <c r="L511" s="216"/>
      <c r="M511" s="217"/>
      <c r="O511" s="241" t="str">
        <f>IF(Q511 = "", "", COUNT(Q$4:$Q511))</f>
        <v/>
      </c>
      <c r="P511" s="241" t="str">
        <f t="shared" si="60"/>
        <v/>
      </c>
      <c r="Q511" s="242" t="str">
        <f t="shared" si="61"/>
        <v/>
      </c>
      <c r="R511" s="243" t="str">
        <f t="shared" si="64"/>
        <v/>
      </c>
      <c r="S511" s="244" t="str">
        <f t="shared" si="62"/>
        <v/>
      </c>
      <c r="T511" s="245" t="str">
        <f t="shared" si="65"/>
        <v/>
      </c>
      <c r="U511" s="246" t="str">
        <f t="shared" si="63"/>
        <v/>
      </c>
      <c r="V511" s="8"/>
      <c r="AR511" t="str">
        <f t="shared" si="67"/>
        <v/>
      </c>
      <c r="AS511" t="str">
        <f t="shared" si="66"/>
        <v/>
      </c>
    </row>
    <row r="512" spans="1:45" x14ac:dyDescent="0.3">
      <c r="A512" s="231"/>
      <c r="B512" s="235"/>
      <c r="C512" s="214"/>
      <c r="D512" s="214"/>
      <c r="E512" s="214"/>
      <c r="F512" s="214"/>
      <c r="G512" s="222"/>
      <c r="H512" s="221"/>
      <c r="I512" s="213"/>
      <c r="J512" s="213"/>
      <c r="K512" s="215"/>
      <c r="L512" s="216"/>
      <c r="M512" s="217"/>
      <c r="O512" s="241" t="str">
        <f>IF(Q512 = "", "", COUNT(Q$4:$Q512))</f>
        <v/>
      </c>
      <c r="P512" s="241" t="str">
        <f t="shared" si="60"/>
        <v/>
      </c>
      <c r="Q512" s="242" t="str">
        <f t="shared" si="61"/>
        <v/>
      </c>
      <c r="R512" s="243" t="str">
        <f t="shared" si="64"/>
        <v/>
      </c>
      <c r="S512" s="244" t="str">
        <f t="shared" si="62"/>
        <v/>
      </c>
      <c r="T512" s="245" t="str">
        <f t="shared" si="65"/>
        <v/>
      </c>
      <c r="U512" s="246" t="str">
        <f t="shared" si="63"/>
        <v/>
      </c>
      <c r="V512" s="8"/>
      <c r="AR512" t="str">
        <f t="shared" si="67"/>
        <v/>
      </c>
      <c r="AS512" t="str">
        <f t="shared" si="66"/>
        <v/>
      </c>
    </row>
    <row r="513" spans="1:45" x14ac:dyDescent="0.3">
      <c r="A513" s="231"/>
      <c r="B513" s="235"/>
      <c r="C513" s="214"/>
      <c r="D513" s="214"/>
      <c r="E513" s="214"/>
      <c r="F513" s="214"/>
      <c r="G513" s="222"/>
      <c r="H513" s="221"/>
      <c r="I513" s="213"/>
      <c r="J513" s="213"/>
      <c r="K513" s="215"/>
      <c r="L513" s="216"/>
      <c r="M513" s="217"/>
      <c r="O513" s="241" t="str">
        <f>IF(Q513 = "", "", COUNT(Q$4:$Q513))</f>
        <v/>
      </c>
      <c r="P513" s="241" t="str">
        <f t="shared" si="60"/>
        <v/>
      </c>
      <c r="Q513" s="242" t="str">
        <f t="shared" si="61"/>
        <v/>
      </c>
      <c r="R513" s="243" t="str">
        <f t="shared" si="64"/>
        <v/>
      </c>
      <c r="S513" s="244" t="str">
        <f t="shared" si="62"/>
        <v/>
      </c>
      <c r="T513" s="245" t="str">
        <f t="shared" si="65"/>
        <v/>
      </c>
      <c r="U513" s="246" t="str">
        <f t="shared" si="63"/>
        <v/>
      </c>
      <c r="V513" s="8"/>
      <c r="AR513" t="str">
        <f t="shared" si="67"/>
        <v/>
      </c>
      <c r="AS513" t="str">
        <f t="shared" si="66"/>
        <v/>
      </c>
    </row>
    <row r="514" spans="1:45" x14ac:dyDescent="0.3">
      <c r="A514" s="231"/>
      <c r="B514" s="235"/>
      <c r="C514" s="214"/>
      <c r="D514" s="214"/>
      <c r="E514" s="214"/>
      <c r="F514" s="214"/>
      <c r="G514" s="222"/>
      <c r="H514" s="221"/>
      <c r="I514" s="213"/>
      <c r="J514" s="213"/>
      <c r="K514" s="215"/>
      <c r="L514" s="216"/>
      <c r="M514" s="217"/>
      <c r="O514" s="241" t="str">
        <f>IF(Q514 = "", "", COUNT(Q$4:$Q514))</f>
        <v/>
      </c>
      <c r="P514" s="241" t="str">
        <f t="shared" si="60"/>
        <v/>
      </c>
      <c r="Q514" s="242" t="str">
        <f t="shared" si="61"/>
        <v/>
      </c>
      <c r="R514" s="243" t="str">
        <f t="shared" si="64"/>
        <v/>
      </c>
      <c r="S514" s="244" t="str">
        <f t="shared" si="62"/>
        <v/>
      </c>
      <c r="T514" s="245" t="str">
        <f t="shared" si="65"/>
        <v/>
      </c>
      <c r="U514" s="246" t="str">
        <f t="shared" si="63"/>
        <v/>
      </c>
      <c r="V514" s="8"/>
      <c r="AR514" t="str">
        <f t="shared" si="67"/>
        <v/>
      </c>
      <c r="AS514" t="str">
        <f t="shared" si="66"/>
        <v/>
      </c>
    </row>
    <row r="515" spans="1:45" x14ac:dyDescent="0.3">
      <c r="A515" s="231"/>
      <c r="B515" s="235"/>
      <c r="C515" s="214"/>
      <c r="D515" s="214"/>
      <c r="E515" s="214"/>
      <c r="F515" s="214"/>
      <c r="G515" s="222"/>
      <c r="H515" s="221"/>
      <c r="I515" s="213"/>
      <c r="J515" s="213"/>
      <c r="K515" s="215"/>
      <c r="L515" s="216"/>
      <c r="M515" s="217"/>
      <c r="O515" s="241" t="str">
        <f>IF(Q515 = "", "", COUNT(Q$4:$Q515))</f>
        <v/>
      </c>
      <c r="P515" s="241" t="str">
        <f t="shared" si="60"/>
        <v/>
      </c>
      <c r="Q515" s="242" t="str">
        <f t="shared" si="61"/>
        <v/>
      </c>
      <c r="R515" s="243" t="str">
        <f t="shared" si="64"/>
        <v/>
      </c>
      <c r="S515" s="244" t="str">
        <f t="shared" si="62"/>
        <v/>
      </c>
      <c r="T515" s="245" t="str">
        <f t="shared" si="65"/>
        <v/>
      </c>
      <c r="U515" s="246" t="str">
        <f t="shared" si="63"/>
        <v/>
      </c>
      <c r="V515" s="8"/>
      <c r="AR515" t="str">
        <f t="shared" si="67"/>
        <v/>
      </c>
      <c r="AS515" t="str">
        <f t="shared" si="66"/>
        <v/>
      </c>
    </row>
    <row r="516" spans="1:45" x14ac:dyDescent="0.3">
      <c r="A516" s="231"/>
      <c r="B516" s="235"/>
      <c r="C516" s="214"/>
      <c r="D516" s="214"/>
      <c r="E516" s="214"/>
      <c r="F516" s="214"/>
      <c r="G516" s="222"/>
      <c r="H516" s="221"/>
      <c r="I516" s="213"/>
      <c r="J516" s="213"/>
      <c r="K516" s="215"/>
      <c r="L516" s="216"/>
      <c r="M516" s="217"/>
      <c r="O516" s="241" t="str">
        <f>IF(Q516 = "", "", COUNT(Q$4:$Q516))</f>
        <v/>
      </c>
      <c r="P516" s="241" t="str">
        <f t="shared" ref="P516:P579" si="68">IF(C516 &gt; 0, YEAR(B516), "")</f>
        <v/>
      </c>
      <c r="Q516" s="242" t="str">
        <f t="shared" ref="Q516:Q579" si="69">IF(A516="", "", IF(G516="",1,IF(G516="O",1,IF(G516="C",8.4,IF(G516="B",8.4,IF(G516="A",76.8,IF(G516="K",76.8,"ERR")))))))</f>
        <v/>
      </c>
      <c r="R516" s="243" t="str">
        <f t="shared" si="64"/>
        <v/>
      </c>
      <c r="S516" s="244" t="str">
        <f t="shared" ref="S516:S579" si="70">IF(IF(L516&lt;&gt;"",G516,"")=0, "O", IF(L516&lt;&gt;"",G516,""))</f>
        <v/>
      </c>
      <c r="T516" s="245" t="str">
        <f t="shared" si="65"/>
        <v/>
      </c>
      <c r="U516" s="246" t="str">
        <f t="shared" ref="U516:U579" si="71">IF(IF(M516&lt;&gt;"",G516,"")=0, "O", IF(M516&lt;&gt;"",G516,""))</f>
        <v/>
      </c>
      <c r="V516" s="8"/>
      <c r="AR516" t="str">
        <f t="shared" si="67"/>
        <v/>
      </c>
      <c r="AS516" t="str">
        <f t="shared" si="66"/>
        <v/>
      </c>
    </row>
    <row r="517" spans="1:45" x14ac:dyDescent="0.3">
      <c r="A517" s="231"/>
      <c r="B517" s="235"/>
      <c r="C517" s="214"/>
      <c r="D517" s="214"/>
      <c r="E517" s="214"/>
      <c r="F517" s="214"/>
      <c r="G517" s="222"/>
      <c r="H517" s="221"/>
      <c r="I517" s="213"/>
      <c r="J517" s="213"/>
      <c r="K517" s="215"/>
      <c r="L517" s="216"/>
      <c r="M517" s="217"/>
      <c r="O517" s="241" t="str">
        <f>IF(Q517 = "", "", COUNT(Q$4:$Q517))</f>
        <v/>
      </c>
      <c r="P517" s="241" t="str">
        <f t="shared" si="68"/>
        <v/>
      </c>
      <c r="Q517" s="242" t="str">
        <f t="shared" si="69"/>
        <v/>
      </c>
      <c r="R517" s="243" t="str">
        <f t="shared" ref="R517:R580" si="72">IF(L517&lt;&gt;"",Q517,"")</f>
        <v/>
      </c>
      <c r="S517" s="244" t="str">
        <f t="shared" si="70"/>
        <v/>
      </c>
      <c r="T517" s="245" t="str">
        <f t="shared" ref="T517:T580" si="73">IF(M517&lt;&gt;"",Q517,"")</f>
        <v/>
      </c>
      <c r="U517" s="246" t="str">
        <f t="shared" si="71"/>
        <v/>
      </c>
      <c r="V517" s="8"/>
      <c r="AR517" t="str">
        <f t="shared" si="67"/>
        <v/>
      </c>
      <c r="AS517" t="str">
        <f t="shared" si="66"/>
        <v/>
      </c>
    </row>
    <row r="518" spans="1:45" x14ac:dyDescent="0.3">
      <c r="A518" s="231"/>
      <c r="B518" s="235"/>
      <c r="C518" s="214"/>
      <c r="D518" s="214"/>
      <c r="E518" s="214"/>
      <c r="F518" s="214"/>
      <c r="G518" s="222"/>
      <c r="H518" s="221"/>
      <c r="I518" s="213"/>
      <c r="J518" s="213"/>
      <c r="K518" s="215"/>
      <c r="L518" s="216"/>
      <c r="M518" s="217"/>
      <c r="O518" s="241" t="str">
        <f>IF(Q518 = "", "", COUNT(Q$4:$Q518))</f>
        <v/>
      </c>
      <c r="P518" s="241" t="str">
        <f t="shared" si="68"/>
        <v/>
      </c>
      <c r="Q518" s="242" t="str">
        <f t="shared" si="69"/>
        <v/>
      </c>
      <c r="R518" s="243" t="str">
        <f t="shared" si="72"/>
        <v/>
      </c>
      <c r="S518" s="244" t="str">
        <f t="shared" si="70"/>
        <v/>
      </c>
      <c r="T518" s="245" t="str">
        <f t="shared" si="73"/>
        <v/>
      </c>
      <c r="U518" s="246" t="str">
        <f t="shared" si="71"/>
        <v/>
      </c>
      <c r="V518" s="8"/>
      <c r="AR518" t="str">
        <f t="shared" si="67"/>
        <v/>
      </c>
      <c r="AS518" t="str">
        <f t="shared" si="66"/>
        <v/>
      </c>
    </row>
    <row r="519" spans="1:45" x14ac:dyDescent="0.3">
      <c r="A519" s="231"/>
      <c r="B519" s="235"/>
      <c r="C519" s="214"/>
      <c r="D519" s="214"/>
      <c r="E519" s="214"/>
      <c r="F519" s="214"/>
      <c r="G519" s="222"/>
      <c r="H519" s="221"/>
      <c r="I519" s="213"/>
      <c r="J519" s="213"/>
      <c r="K519" s="215"/>
      <c r="L519" s="216"/>
      <c r="M519" s="217"/>
      <c r="O519" s="241" t="str">
        <f>IF(Q519 = "", "", COUNT(Q$4:$Q519))</f>
        <v/>
      </c>
      <c r="P519" s="241" t="str">
        <f t="shared" si="68"/>
        <v/>
      </c>
      <c r="Q519" s="242" t="str">
        <f t="shared" si="69"/>
        <v/>
      </c>
      <c r="R519" s="243" t="str">
        <f t="shared" si="72"/>
        <v/>
      </c>
      <c r="S519" s="244" t="str">
        <f t="shared" si="70"/>
        <v/>
      </c>
      <c r="T519" s="245" t="str">
        <f t="shared" si="73"/>
        <v/>
      </c>
      <c r="U519" s="246" t="str">
        <f t="shared" si="71"/>
        <v/>
      </c>
      <c r="V519" s="8"/>
      <c r="AR519" t="str">
        <f t="shared" si="67"/>
        <v/>
      </c>
      <c r="AS519" t="str">
        <f t="shared" si="66"/>
        <v/>
      </c>
    </row>
    <row r="520" spans="1:45" x14ac:dyDescent="0.3">
      <c r="A520" s="231"/>
      <c r="B520" s="235"/>
      <c r="C520" s="214"/>
      <c r="D520" s="214"/>
      <c r="E520" s="214"/>
      <c r="F520" s="214"/>
      <c r="G520" s="222"/>
      <c r="H520" s="221"/>
      <c r="I520" s="213"/>
      <c r="J520" s="213"/>
      <c r="K520" s="215"/>
      <c r="L520" s="216"/>
      <c r="M520" s="217"/>
      <c r="O520" s="241" t="str">
        <f>IF(Q520 = "", "", COUNT(Q$4:$Q520))</f>
        <v/>
      </c>
      <c r="P520" s="241" t="str">
        <f t="shared" si="68"/>
        <v/>
      </c>
      <c r="Q520" s="242" t="str">
        <f t="shared" si="69"/>
        <v/>
      </c>
      <c r="R520" s="243" t="str">
        <f t="shared" si="72"/>
        <v/>
      </c>
      <c r="S520" s="244" t="str">
        <f t="shared" si="70"/>
        <v/>
      </c>
      <c r="T520" s="245" t="str">
        <f t="shared" si="73"/>
        <v/>
      </c>
      <c r="U520" s="246" t="str">
        <f t="shared" si="71"/>
        <v/>
      </c>
      <c r="V520" s="8"/>
      <c r="AR520" t="str">
        <f t="shared" si="67"/>
        <v/>
      </c>
      <c r="AS520" t="str">
        <f t="shared" si="66"/>
        <v/>
      </c>
    </row>
    <row r="521" spans="1:45" x14ac:dyDescent="0.3">
      <c r="A521" s="231"/>
      <c r="B521" s="235"/>
      <c r="C521" s="214"/>
      <c r="D521" s="214"/>
      <c r="E521" s="214"/>
      <c r="F521" s="214"/>
      <c r="G521" s="222"/>
      <c r="H521" s="221"/>
      <c r="I521" s="213"/>
      <c r="J521" s="213"/>
      <c r="K521" s="215"/>
      <c r="L521" s="216"/>
      <c r="M521" s="217"/>
      <c r="O521" s="241" t="str">
        <f>IF(Q521 = "", "", COUNT(Q$4:$Q521))</f>
        <v/>
      </c>
      <c r="P521" s="241" t="str">
        <f t="shared" si="68"/>
        <v/>
      </c>
      <c r="Q521" s="242" t="str">
        <f t="shared" si="69"/>
        <v/>
      </c>
      <c r="R521" s="243" t="str">
        <f t="shared" si="72"/>
        <v/>
      </c>
      <c r="S521" s="244" t="str">
        <f t="shared" si="70"/>
        <v/>
      </c>
      <c r="T521" s="245" t="str">
        <f t="shared" si="73"/>
        <v/>
      </c>
      <c r="U521" s="246" t="str">
        <f t="shared" si="71"/>
        <v/>
      </c>
      <c r="V521" s="8"/>
      <c r="AR521" t="str">
        <f t="shared" si="67"/>
        <v/>
      </c>
      <c r="AS521" t="str">
        <f t="shared" si="66"/>
        <v/>
      </c>
    </row>
    <row r="522" spans="1:45" x14ac:dyDescent="0.3">
      <c r="A522" s="231"/>
      <c r="B522" s="235"/>
      <c r="C522" s="214"/>
      <c r="D522" s="214"/>
      <c r="E522" s="214"/>
      <c r="F522" s="214"/>
      <c r="G522" s="222"/>
      <c r="H522" s="221"/>
      <c r="I522" s="213"/>
      <c r="J522" s="213"/>
      <c r="K522" s="215"/>
      <c r="L522" s="216"/>
      <c r="M522" s="217"/>
      <c r="O522" s="241" t="str">
        <f>IF(Q522 = "", "", COUNT(Q$4:$Q522))</f>
        <v/>
      </c>
      <c r="P522" s="241" t="str">
        <f t="shared" si="68"/>
        <v/>
      </c>
      <c r="Q522" s="242" t="str">
        <f t="shared" si="69"/>
        <v/>
      </c>
      <c r="R522" s="243" t="str">
        <f t="shared" si="72"/>
        <v/>
      </c>
      <c r="S522" s="244" t="str">
        <f t="shared" si="70"/>
        <v/>
      </c>
      <c r="T522" s="245" t="str">
        <f t="shared" si="73"/>
        <v/>
      </c>
      <c r="U522" s="246" t="str">
        <f t="shared" si="71"/>
        <v/>
      </c>
      <c r="V522" s="8"/>
      <c r="AR522" t="str">
        <f t="shared" si="67"/>
        <v/>
      </c>
      <c r="AS522" t="str">
        <f t="shared" si="66"/>
        <v/>
      </c>
    </row>
    <row r="523" spans="1:45" x14ac:dyDescent="0.3">
      <c r="A523" s="231"/>
      <c r="B523" s="235"/>
      <c r="C523" s="214"/>
      <c r="D523" s="214"/>
      <c r="E523" s="214"/>
      <c r="F523" s="214"/>
      <c r="G523" s="222"/>
      <c r="H523" s="221"/>
      <c r="I523" s="213"/>
      <c r="J523" s="213"/>
      <c r="K523" s="215"/>
      <c r="L523" s="216"/>
      <c r="M523" s="217"/>
      <c r="O523" s="241" t="str">
        <f>IF(Q523 = "", "", COUNT(Q$4:$Q523))</f>
        <v/>
      </c>
      <c r="P523" s="241" t="str">
        <f t="shared" si="68"/>
        <v/>
      </c>
      <c r="Q523" s="242" t="str">
        <f t="shared" si="69"/>
        <v/>
      </c>
      <c r="R523" s="243" t="str">
        <f t="shared" si="72"/>
        <v/>
      </c>
      <c r="S523" s="244" t="str">
        <f t="shared" si="70"/>
        <v/>
      </c>
      <c r="T523" s="245" t="str">
        <f t="shared" si="73"/>
        <v/>
      </c>
      <c r="U523" s="246" t="str">
        <f t="shared" si="71"/>
        <v/>
      </c>
      <c r="V523" s="8"/>
      <c r="AR523" t="str">
        <f t="shared" si="67"/>
        <v/>
      </c>
      <c r="AS523" t="str">
        <f t="shared" si="66"/>
        <v/>
      </c>
    </row>
    <row r="524" spans="1:45" x14ac:dyDescent="0.3">
      <c r="A524" s="231"/>
      <c r="B524" s="235"/>
      <c r="C524" s="214"/>
      <c r="D524" s="214"/>
      <c r="E524" s="214"/>
      <c r="F524" s="214"/>
      <c r="G524" s="222"/>
      <c r="H524" s="221"/>
      <c r="I524" s="213"/>
      <c r="J524" s="213"/>
      <c r="K524" s="215"/>
      <c r="L524" s="216"/>
      <c r="M524" s="217"/>
      <c r="O524" s="241" t="str">
        <f>IF(Q524 = "", "", COUNT(Q$4:$Q524))</f>
        <v/>
      </c>
      <c r="P524" s="241" t="str">
        <f t="shared" si="68"/>
        <v/>
      </c>
      <c r="Q524" s="242" t="str">
        <f t="shared" si="69"/>
        <v/>
      </c>
      <c r="R524" s="243" t="str">
        <f t="shared" si="72"/>
        <v/>
      </c>
      <c r="S524" s="244" t="str">
        <f t="shared" si="70"/>
        <v/>
      </c>
      <c r="T524" s="245" t="str">
        <f t="shared" si="73"/>
        <v/>
      </c>
      <c r="U524" s="246" t="str">
        <f t="shared" si="71"/>
        <v/>
      </c>
      <c r="V524" s="8"/>
      <c r="AR524" t="str">
        <f t="shared" si="67"/>
        <v/>
      </c>
      <c r="AS524" t="str">
        <f t="shared" si="66"/>
        <v/>
      </c>
    </row>
    <row r="525" spans="1:45" x14ac:dyDescent="0.3">
      <c r="A525" s="231"/>
      <c r="B525" s="235"/>
      <c r="C525" s="214"/>
      <c r="D525" s="214"/>
      <c r="E525" s="214"/>
      <c r="F525" s="214"/>
      <c r="G525" s="222"/>
      <c r="H525" s="221"/>
      <c r="I525" s="213"/>
      <c r="J525" s="213"/>
      <c r="K525" s="215"/>
      <c r="L525" s="216"/>
      <c r="M525" s="217"/>
      <c r="O525" s="241" t="str">
        <f>IF(Q525 = "", "", COUNT(Q$4:$Q525))</f>
        <v/>
      </c>
      <c r="P525" s="241" t="str">
        <f t="shared" si="68"/>
        <v/>
      </c>
      <c r="Q525" s="242" t="str">
        <f t="shared" si="69"/>
        <v/>
      </c>
      <c r="R525" s="243" t="str">
        <f t="shared" si="72"/>
        <v/>
      </c>
      <c r="S525" s="244" t="str">
        <f t="shared" si="70"/>
        <v/>
      </c>
      <c r="T525" s="245" t="str">
        <f t="shared" si="73"/>
        <v/>
      </c>
      <c r="U525" s="246" t="str">
        <f t="shared" si="71"/>
        <v/>
      </c>
      <c r="V525" s="8"/>
      <c r="AR525" t="str">
        <f t="shared" si="67"/>
        <v/>
      </c>
      <c r="AS525" t="str">
        <f t="shared" si="66"/>
        <v/>
      </c>
    </row>
    <row r="526" spans="1:45" x14ac:dyDescent="0.3">
      <c r="A526" s="231"/>
      <c r="B526" s="235"/>
      <c r="C526" s="214"/>
      <c r="D526" s="214"/>
      <c r="E526" s="214"/>
      <c r="F526" s="214"/>
      <c r="G526" s="222"/>
      <c r="H526" s="221"/>
      <c r="I526" s="213"/>
      <c r="J526" s="213"/>
      <c r="K526" s="215"/>
      <c r="L526" s="216"/>
      <c r="M526" s="217"/>
      <c r="O526" s="241" t="str">
        <f>IF(Q526 = "", "", COUNT(Q$4:$Q526))</f>
        <v/>
      </c>
      <c r="P526" s="241" t="str">
        <f t="shared" si="68"/>
        <v/>
      </c>
      <c r="Q526" s="242" t="str">
        <f t="shared" si="69"/>
        <v/>
      </c>
      <c r="R526" s="243" t="str">
        <f t="shared" si="72"/>
        <v/>
      </c>
      <c r="S526" s="244" t="str">
        <f t="shared" si="70"/>
        <v/>
      </c>
      <c r="T526" s="245" t="str">
        <f t="shared" si="73"/>
        <v/>
      </c>
      <c r="U526" s="246" t="str">
        <f t="shared" si="71"/>
        <v/>
      </c>
      <c r="V526" s="8"/>
      <c r="AR526" t="str">
        <f t="shared" si="67"/>
        <v/>
      </c>
      <c r="AS526" t="str">
        <f t="shared" si="66"/>
        <v/>
      </c>
    </row>
    <row r="527" spans="1:45" x14ac:dyDescent="0.3">
      <c r="A527" s="231"/>
      <c r="B527" s="235"/>
      <c r="C527" s="214"/>
      <c r="D527" s="214"/>
      <c r="E527" s="214"/>
      <c r="F527" s="214"/>
      <c r="G527" s="222"/>
      <c r="H527" s="221"/>
      <c r="I527" s="213"/>
      <c r="J527" s="213"/>
      <c r="K527" s="215"/>
      <c r="L527" s="216"/>
      <c r="M527" s="217"/>
      <c r="O527" s="241" t="str">
        <f>IF(Q527 = "", "", COUNT(Q$4:$Q527))</f>
        <v/>
      </c>
      <c r="P527" s="241" t="str">
        <f t="shared" si="68"/>
        <v/>
      </c>
      <c r="Q527" s="242" t="str">
        <f t="shared" si="69"/>
        <v/>
      </c>
      <c r="R527" s="243" t="str">
        <f t="shared" si="72"/>
        <v/>
      </c>
      <c r="S527" s="244" t="str">
        <f t="shared" si="70"/>
        <v/>
      </c>
      <c r="T527" s="245" t="str">
        <f t="shared" si="73"/>
        <v/>
      </c>
      <c r="U527" s="246" t="str">
        <f t="shared" si="71"/>
        <v/>
      </c>
      <c r="V527" s="8"/>
      <c r="AR527" t="str">
        <f t="shared" si="67"/>
        <v/>
      </c>
      <c r="AS527" t="str">
        <f t="shared" si="66"/>
        <v/>
      </c>
    </row>
    <row r="528" spans="1:45" x14ac:dyDescent="0.3">
      <c r="A528" s="231"/>
      <c r="B528" s="235"/>
      <c r="C528" s="214"/>
      <c r="D528" s="214"/>
      <c r="E528" s="214"/>
      <c r="F528" s="214"/>
      <c r="G528" s="222"/>
      <c r="H528" s="221"/>
      <c r="I528" s="213"/>
      <c r="J528" s="213"/>
      <c r="K528" s="215"/>
      <c r="L528" s="216"/>
      <c r="M528" s="217"/>
      <c r="O528" s="241" t="str">
        <f>IF(Q528 = "", "", COUNT(Q$4:$Q528))</f>
        <v/>
      </c>
      <c r="P528" s="241" t="str">
        <f t="shared" si="68"/>
        <v/>
      </c>
      <c r="Q528" s="242" t="str">
        <f t="shared" si="69"/>
        <v/>
      </c>
      <c r="R528" s="243" t="str">
        <f t="shared" si="72"/>
        <v/>
      </c>
      <c r="S528" s="244" t="str">
        <f t="shared" si="70"/>
        <v/>
      </c>
      <c r="T528" s="245" t="str">
        <f t="shared" si="73"/>
        <v/>
      </c>
      <c r="U528" s="246" t="str">
        <f t="shared" si="71"/>
        <v/>
      </c>
      <c r="V528" s="8"/>
      <c r="AR528" t="str">
        <f t="shared" si="67"/>
        <v/>
      </c>
      <c r="AS528" t="str">
        <f t="shared" si="66"/>
        <v/>
      </c>
    </row>
    <row r="529" spans="1:45" x14ac:dyDescent="0.3">
      <c r="A529" s="231"/>
      <c r="B529" s="235"/>
      <c r="C529" s="214"/>
      <c r="D529" s="214"/>
      <c r="E529" s="214"/>
      <c r="F529" s="214"/>
      <c r="G529" s="222"/>
      <c r="H529" s="221"/>
      <c r="I529" s="213"/>
      <c r="J529" s="213"/>
      <c r="K529" s="215"/>
      <c r="L529" s="216"/>
      <c r="M529" s="217"/>
      <c r="O529" s="241" t="str">
        <f>IF(Q529 = "", "", COUNT(Q$4:$Q529))</f>
        <v/>
      </c>
      <c r="P529" s="241" t="str">
        <f t="shared" si="68"/>
        <v/>
      </c>
      <c r="Q529" s="242" t="str">
        <f t="shared" si="69"/>
        <v/>
      </c>
      <c r="R529" s="243" t="str">
        <f t="shared" si="72"/>
        <v/>
      </c>
      <c r="S529" s="244" t="str">
        <f t="shared" si="70"/>
        <v/>
      </c>
      <c r="T529" s="245" t="str">
        <f t="shared" si="73"/>
        <v/>
      </c>
      <c r="U529" s="246" t="str">
        <f t="shared" si="71"/>
        <v/>
      </c>
      <c r="V529" s="8"/>
      <c r="AR529" t="str">
        <f t="shared" si="67"/>
        <v/>
      </c>
      <c r="AS529" t="str">
        <f t="shared" si="66"/>
        <v/>
      </c>
    </row>
    <row r="530" spans="1:45" x14ac:dyDescent="0.3">
      <c r="A530" s="231"/>
      <c r="B530" s="235"/>
      <c r="C530" s="214"/>
      <c r="D530" s="214"/>
      <c r="E530" s="214"/>
      <c r="F530" s="214"/>
      <c r="G530" s="222"/>
      <c r="H530" s="221"/>
      <c r="I530" s="213"/>
      <c r="J530" s="213"/>
      <c r="K530" s="215"/>
      <c r="L530" s="216"/>
      <c r="M530" s="217"/>
      <c r="O530" s="241" t="str">
        <f>IF(Q530 = "", "", COUNT(Q$4:$Q530))</f>
        <v/>
      </c>
      <c r="P530" s="241" t="str">
        <f t="shared" si="68"/>
        <v/>
      </c>
      <c r="Q530" s="242" t="str">
        <f t="shared" si="69"/>
        <v/>
      </c>
      <c r="R530" s="243" t="str">
        <f t="shared" si="72"/>
        <v/>
      </c>
      <c r="S530" s="244" t="str">
        <f t="shared" si="70"/>
        <v/>
      </c>
      <c r="T530" s="245" t="str">
        <f t="shared" si="73"/>
        <v/>
      </c>
      <c r="U530" s="246" t="str">
        <f t="shared" si="71"/>
        <v/>
      </c>
      <c r="V530" s="8"/>
      <c r="AR530" t="str">
        <f t="shared" si="67"/>
        <v/>
      </c>
      <c r="AS530" t="str">
        <f t="shared" si="66"/>
        <v/>
      </c>
    </row>
    <row r="531" spans="1:45" x14ac:dyDescent="0.3">
      <c r="A531" s="231"/>
      <c r="B531" s="235"/>
      <c r="C531" s="214"/>
      <c r="D531" s="214"/>
      <c r="E531" s="214"/>
      <c r="F531" s="214"/>
      <c r="G531" s="222"/>
      <c r="H531" s="221"/>
      <c r="I531" s="213"/>
      <c r="J531" s="213"/>
      <c r="K531" s="215"/>
      <c r="L531" s="216"/>
      <c r="M531" s="217"/>
      <c r="O531" s="241" t="str">
        <f>IF(Q531 = "", "", COUNT(Q$4:$Q531))</f>
        <v/>
      </c>
      <c r="P531" s="241" t="str">
        <f t="shared" si="68"/>
        <v/>
      </c>
      <c r="Q531" s="242" t="str">
        <f t="shared" si="69"/>
        <v/>
      </c>
      <c r="R531" s="243" t="str">
        <f t="shared" si="72"/>
        <v/>
      </c>
      <c r="S531" s="244" t="str">
        <f t="shared" si="70"/>
        <v/>
      </c>
      <c r="T531" s="245" t="str">
        <f t="shared" si="73"/>
        <v/>
      </c>
      <c r="U531" s="246" t="str">
        <f t="shared" si="71"/>
        <v/>
      </c>
      <c r="V531" s="8"/>
      <c r="AR531" t="str">
        <f t="shared" si="67"/>
        <v/>
      </c>
      <c r="AS531" t="str">
        <f t="shared" si="66"/>
        <v/>
      </c>
    </row>
    <row r="532" spans="1:45" x14ac:dyDescent="0.3">
      <c r="A532" s="231"/>
      <c r="B532" s="235"/>
      <c r="C532" s="214"/>
      <c r="D532" s="214"/>
      <c r="E532" s="214"/>
      <c r="F532" s="214"/>
      <c r="G532" s="222"/>
      <c r="H532" s="221"/>
      <c r="I532" s="213"/>
      <c r="J532" s="213"/>
      <c r="K532" s="215"/>
      <c r="L532" s="216"/>
      <c r="M532" s="217"/>
      <c r="O532" s="241" t="str">
        <f>IF(Q532 = "", "", COUNT(Q$4:$Q532))</f>
        <v/>
      </c>
      <c r="P532" s="241" t="str">
        <f t="shared" si="68"/>
        <v/>
      </c>
      <c r="Q532" s="242" t="str">
        <f t="shared" si="69"/>
        <v/>
      </c>
      <c r="R532" s="243" t="str">
        <f t="shared" si="72"/>
        <v/>
      </c>
      <c r="S532" s="244" t="str">
        <f t="shared" si="70"/>
        <v/>
      </c>
      <c r="T532" s="245" t="str">
        <f t="shared" si="73"/>
        <v/>
      </c>
      <c r="U532" s="246" t="str">
        <f t="shared" si="71"/>
        <v/>
      </c>
      <c r="V532" s="8"/>
      <c r="AR532" t="str">
        <f t="shared" si="67"/>
        <v/>
      </c>
      <c r="AS532" t="str">
        <f t="shared" si="66"/>
        <v/>
      </c>
    </row>
    <row r="533" spans="1:45" x14ac:dyDescent="0.3">
      <c r="A533" s="231"/>
      <c r="B533" s="235"/>
      <c r="C533" s="214"/>
      <c r="D533" s="214"/>
      <c r="E533" s="214"/>
      <c r="F533" s="214"/>
      <c r="G533" s="222"/>
      <c r="H533" s="221"/>
      <c r="I533" s="213"/>
      <c r="J533" s="213"/>
      <c r="K533" s="215"/>
      <c r="L533" s="216"/>
      <c r="M533" s="217"/>
      <c r="O533" s="241" t="str">
        <f>IF(Q533 = "", "", COUNT(Q$4:$Q533))</f>
        <v/>
      </c>
      <c r="P533" s="241" t="str">
        <f t="shared" si="68"/>
        <v/>
      </c>
      <c r="Q533" s="242" t="str">
        <f t="shared" si="69"/>
        <v/>
      </c>
      <c r="R533" s="243" t="str">
        <f t="shared" si="72"/>
        <v/>
      </c>
      <c r="S533" s="244" t="str">
        <f t="shared" si="70"/>
        <v/>
      </c>
      <c r="T533" s="245" t="str">
        <f t="shared" si="73"/>
        <v/>
      </c>
      <c r="U533" s="246" t="str">
        <f t="shared" si="71"/>
        <v/>
      </c>
      <c r="V533" s="8"/>
      <c r="AR533" t="str">
        <f t="shared" si="67"/>
        <v/>
      </c>
      <c r="AS533" t="str">
        <f t="shared" ref="AS533:AS596" si="74">IF(OR(L533="Y",M533="Y"),"Y","")</f>
        <v/>
      </c>
    </row>
    <row r="534" spans="1:45" x14ac:dyDescent="0.3">
      <c r="A534" s="231"/>
      <c r="B534" s="235"/>
      <c r="C534" s="214"/>
      <c r="D534" s="214"/>
      <c r="E534" s="214"/>
      <c r="F534" s="214"/>
      <c r="G534" s="222"/>
      <c r="H534" s="221"/>
      <c r="I534" s="213"/>
      <c r="J534" s="213"/>
      <c r="K534" s="215"/>
      <c r="L534" s="216"/>
      <c r="M534" s="217"/>
      <c r="O534" s="241" t="str">
        <f>IF(Q534 = "", "", COUNT(Q$4:$Q534))</f>
        <v/>
      </c>
      <c r="P534" s="241" t="str">
        <f t="shared" si="68"/>
        <v/>
      </c>
      <c r="Q534" s="242" t="str">
        <f t="shared" si="69"/>
        <v/>
      </c>
      <c r="R534" s="243" t="str">
        <f t="shared" si="72"/>
        <v/>
      </c>
      <c r="S534" s="244" t="str">
        <f t="shared" si="70"/>
        <v/>
      </c>
      <c r="T534" s="245" t="str">
        <f t="shared" si="73"/>
        <v/>
      </c>
      <c r="U534" s="246" t="str">
        <f t="shared" si="71"/>
        <v/>
      </c>
      <c r="V534" s="8"/>
      <c r="AR534" t="str">
        <f t="shared" ref="AR534:AR597" si="75">IF(O534&gt;0, O534, "")</f>
        <v/>
      </c>
      <c r="AS534" t="str">
        <f t="shared" si="74"/>
        <v/>
      </c>
    </row>
    <row r="535" spans="1:45" x14ac:dyDescent="0.3">
      <c r="A535" s="231"/>
      <c r="B535" s="235"/>
      <c r="C535" s="214"/>
      <c r="D535" s="214"/>
      <c r="E535" s="214"/>
      <c r="F535" s="214"/>
      <c r="G535" s="222"/>
      <c r="H535" s="221"/>
      <c r="I535" s="213"/>
      <c r="J535" s="213"/>
      <c r="K535" s="215"/>
      <c r="L535" s="216"/>
      <c r="M535" s="217"/>
      <c r="O535" s="241" t="str">
        <f>IF(Q535 = "", "", COUNT(Q$4:$Q535))</f>
        <v/>
      </c>
      <c r="P535" s="241" t="str">
        <f t="shared" si="68"/>
        <v/>
      </c>
      <c r="Q535" s="242" t="str">
        <f t="shared" si="69"/>
        <v/>
      </c>
      <c r="R535" s="243" t="str">
        <f t="shared" si="72"/>
        <v/>
      </c>
      <c r="S535" s="244" t="str">
        <f t="shared" si="70"/>
        <v/>
      </c>
      <c r="T535" s="245" t="str">
        <f t="shared" si="73"/>
        <v/>
      </c>
      <c r="U535" s="246" t="str">
        <f t="shared" si="71"/>
        <v/>
      </c>
      <c r="V535" s="8"/>
      <c r="AR535" t="str">
        <f t="shared" si="75"/>
        <v/>
      </c>
      <c r="AS535" t="str">
        <f t="shared" si="74"/>
        <v/>
      </c>
    </row>
    <row r="536" spans="1:45" x14ac:dyDescent="0.3">
      <c r="A536" s="231"/>
      <c r="B536" s="235"/>
      <c r="C536" s="214"/>
      <c r="D536" s="214"/>
      <c r="E536" s="214"/>
      <c r="F536" s="214"/>
      <c r="G536" s="222"/>
      <c r="H536" s="221"/>
      <c r="I536" s="213"/>
      <c r="J536" s="213"/>
      <c r="K536" s="215"/>
      <c r="L536" s="216"/>
      <c r="M536" s="217"/>
      <c r="O536" s="241" t="str">
        <f>IF(Q536 = "", "", COUNT(Q$4:$Q536))</f>
        <v/>
      </c>
      <c r="P536" s="241" t="str">
        <f t="shared" si="68"/>
        <v/>
      </c>
      <c r="Q536" s="242" t="str">
        <f t="shared" si="69"/>
        <v/>
      </c>
      <c r="R536" s="243" t="str">
        <f t="shared" si="72"/>
        <v/>
      </c>
      <c r="S536" s="244" t="str">
        <f t="shared" si="70"/>
        <v/>
      </c>
      <c r="T536" s="245" t="str">
        <f t="shared" si="73"/>
        <v/>
      </c>
      <c r="U536" s="246" t="str">
        <f t="shared" si="71"/>
        <v/>
      </c>
      <c r="V536" s="8"/>
      <c r="AR536" t="str">
        <f t="shared" si="75"/>
        <v/>
      </c>
      <c r="AS536" t="str">
        <f t="shared" si="74"/>
        <v/>
      </c>
    </row>
    <row r="537" spans="1:45" x14ac:dyDescent="0.3">
      <c r="A537" s="231"/>
      <c r="B537" s="235"/>
      <c r="C537" s="214"/>
      <c r="D537" s="214"/>
      <c r="E537" s="214"/>
      <c r="F537" s="214"/>
      <c r="G537" s="222"/>
      <c r="H537" s="221"/>
      <c r="I537" s="213"/>
      <c r="J537" s="213"/>
      <c r="K537" s="215"/>
      <c r="L537" s="216"/>
      <c r="M537" s="217"/>
      <c r="O537" s="241" t="str">
        <f>IF(Q537 = "", "", COUNT(Q$4:$Q537))</f>
        <v/>
      </c>
      <c r="P537" s="241" t="str">
        <f t="shared" si="68"/>
        <v/>
      </c>
      <c r="Q537" s="242" t="str">
        <f t="shared" si="69"/>
        <v/>
      </c>
      <c r="R537" s="243" t="str">
        <f t="shared" si="72"/>
        <v/>
      </c>
      <c r="S537" s="244" t="str">
        <f t="shared" si="70"/>
        <v/>
      </c>
      <c r="T537" s="245" t="str">
        <f t="shared" si="73"/>
        <v/>
      </c>
      <c r="U537" s="246" t="str">
        <f t="shared" si="71"/>
        <v/>
      </c>
      <c r="V537" s="8"/>
      <c r="AR537" t="str">
        <f t="shared" si="75"/>
        <v/>
      </c>
      <c r="AS537" t="str">
        <f t="shared" si="74"/>
        <v/>
      </c>
    </row>
    <row r="538" spans="1:45" x14ac:dyDescent="0.3">
      <c r="A538" s="231"/>
      <c r="B538" s="235"/>
      <c r="C538" s="214"/>
      <c r="D538" s="214"/>
      <c r="E538" s="214"/>
      <c r="F538" s="214"/>
      <c r="G538" s="222"/>
      <c r="H538" s="221"/>
      <c r="I538" s="213"/>
      <c r="J538" s="213"/>
      <c r="K538" s="215"/>
      <c r="L538" s="216"/>
      <c r="M538" s="217"/>
      <c r="O538" s="241" t="str">
        <f>IF(Q538 = "", "", COUNT(Q$4:$Q538))</f>
        <v/>
      </c>
      <c r="P538" s="241" t="str">
        <f t="shared" si="68"/>
        <v/>
      </c>
      <c r="Q538" s="242" t="str">
        <f t="shared" si="69"/>
        <v/>
      </c>
      <c r="R538" s="243" t="str">
        <f t="shared" si="72"/>
        <v/>
      </c>
      <c r="S538" s="244" t="str">
        <f t="shared" si="70"/>
        <v/>
      </c>
      <c r="T538" s="245" t="str">
        <f t="shared" si="73"/>
        <v/>
      </c>
      <c r="U538" s="246" t="str">
        <f t="shared" si="71"/>
        <v/>
      </c>
      <c r="V538" s="8"/>
      <c r="AR538" t="str">
        <f t="shared" si="75"/>
        <v/>
      </c>
      <c r="AS538" t="str">
        <f t="shared" si="74"/>
        <v/>
      </c>
    </row>
    <row r="539" spans="1:45" x14ac:dyDescent="0.3">
      <c r="A539" s="231"/>
      <c r="B539" s="235"/>
      <c r="C539" s="214"/>
      <c r="D539" s="214"/>
      <c r="E539" s="214"/>
      <c r="F539" s="214"/>
      <c r="G539" s="222"/>
      <c r="H539" s="221"/>
      <c r="I539" s="213"/>
      <c r="J539" s="213"/>
      <c r="K539" s="215"/>
      <c r="L539" s="216"/>
      <c r="M539" s="217"/>
      <c r="O539" s="241" t="str">
        <f>IF(Q539 = "", "", COUNT(Q$4:$Q539))</f>
        <v/>
      </c>
      <c r="P539" s="241" t="str">
        <f t="shared" si="68"/>
        <v/>
      </c>
      <c r="Q539" s="242" t="str">
        <f t="shared" si="69"/>
        <v/>
      </c>
      <c r="R539" s="243" t="str">
        <f t="shared" si="72"/>
        <v/>
      </c>
      <c r="S539" s="244" t="str">
        <f t="shared" si="70"/>
        <v/>
      </c>
      <c r="T539" s="245" t="str">
        <f t="shared" si="73"/>
        <v/>
      </c>
      <c r="U539" s="246" t="str">
        <f t="shared" si="71"/>
        <v/>
      </c>
      <c r="V539" s="8"/>
      <c r="AR539" t="str">
        <f t="shared" si="75"/>
        <v/>
      </c>
      <c r="AS539" t="str">
        <f t="shared" si="74"/>
        <v/>
      </c>
    </row>
    <row r="540" spans="1:45" x14ac:dyDescent="0.3">
      <c r="A540" s="231"/>
      <c r="B540" s="235"/>
      <c r="C540" s="214"/>
      <c r="D540" s="214"/>
      <c r="E540" s="214"/>
      <c r="F540" s="214"/>
      <c r="G540" s="222"/>
      <c r="H540" s="221"/>
      <c r="I540" s="213"/>
      <c r="J540" s="213"/>
      <c r="K540" s="215"/>
      <c r="L540" s="216"/>
      <c r="M540" s="217"/>
      <c r="O540" s="241" t="str">
        <f>IF(Q540 = "", "", COUNT(Q$4:$Q540))</f>
        <v/>
      </c>
      <c r="P540" s="241" t="str">
        <f t="shared" si="68"/>
        <v/>
      </c>
      <c r="Q540" s="242" t="str">
        <f t="shared" si="69"/>
        <v/>
      </c>
      <c r="R540" s="243" t="str">
        <f t="shared" si="72"/>
        <v/>
      </c>
      <c r="S540" s="244" t="str">
        <f t="shared" si="70"/>
        <v/>
      </c>
      <c r="T540" s="245" t="str">
        <f t="shared" si="73"/>
        <v/>
      </c>
      <c r="U540" s="246" t="str">
        <f t="shared" si="71"/>
        <v/>
      </c>
      <c r="V540" s="8"/>
      <c r="AR540" t="str">
        <f t="shared" si="75"/>
        <v/>
      </c>
      <c r="AS540" t="str">
        <f t="shared" si="74"/>
        <v/>
      </c>
    </row>
    <row r="541" spans="1:45" x14ac:dyDescent="0.3">
      <c r="A541" s="231"/>
      <c r="B541" s="235"/>
      <c r="C541" s="214"/>
      <c r="D541" s="214"/>
      <c r="E541" s="214"/>
      <c r="F541" s="214"/>
      <c r="G541" s="222"/>
      <c r="H541" s="221"/>
      <c r="I541" s="213"/>
      <c r="J541" s="213"/>
      <c r="K541" s="215"/>
      <c r="L541" s="216"/>
      <c r="M541" s="217"/>
      <c r="O541" s="241" t="str">
        <f>IF(Q541 = "", "", COUNT(Q$4:$Q541))</f>
        <v/>
      </c>
      <c r="P541" s="241" t="str">
        <f t="shared" si="68"/>
        <v/>
      </c>
      <c r="Q541" s="242" t="str">
        <f t="shared" si="69"/>
        <v/>
      </c>
      <c r="R541" s="243" t="str">
        <f t="shared" si="72"/>
        <v/>
      </c>
      <c r="S541" s="244" t="str">
        <f t="shared" si="70"/>
        <v/>
      </c>
      <c r="T541" s="245" t="str">
        <f t="shared" si="73"/>
        <v/>
      </c>
      <c r="U541" s="246" t="str">
        <f t="shared" si="71"/>
        <v/>
      </c>
      <c r="V541" s="8"/>
      <c r="AR541" t="str">
        <f t="shared" si="75"/>
        <v/>
      </c>
      <c r="AS541" t="str">
        <f t="shared" si="74"/>
        <v/>
      </c>
    </row>
    <row r="542" spans="1:45" x14ac:dyDescent="0.3">
      <c r="A542" s="231"/>
      <c r="B542" s="235"/>
      <c r="C542" s="214"/>
      <c r="D542" s="214"/>
      <c r="E542" s="214"/>
      <c r="F542" s="214"/>
      <c r="G542" s="222"/>
      <c r="H542" s="221"/>
      <c r="I542" s="213"/>
      <c r="J542" s="213"/>
      <c r="K542" s="215"/>
      <c r="L542" s="216"/>
      <c r="M542" s="217"/>
      <c r="O542" s="241" t="str">
        <f>IF(Q542 = "", "", COUNT(Q$4:$Q542))</f>
        <v/>
      </c>
      <c r="P542" s="241" t="str">
        <f t="shared" si="68"/>
        <v/>
      </c>
      <c r="Q542" s="242" t="str">
        <f t="shared" si="69"/>
        <v/>
      </c>
      <c r="R542" s="243" t="str">
        <f t="shared" si="72"/>
        <v/>
      </c>
      <c r="S542" s="244" t="str">
        <f t="shared" si="70"/>
        <v/>
      </c>
      <c r="T542" s="245" t="str">
        <f t="shared" si="73"/>
        <v/>
      </c>
      <c r="U542" s="246" t="str">
        <f t="shared" si="71"/>
        <v/>
      </c>
      <c r="V542" s="8"/>
      <c r="AR542" t="str">
        <f t="shared" si="75"/>
        <v/>
      </c>
      <c r="AS542" t="str">
        <f t="shared" si="74"/>
        <v/>
      </c>
    </row>
    <row r="543" spans="1:45" x14ac:dyDescent="0.3">
      <c r="A543" s="231"/>
      <c r="B543" s="235"/>
      <c r="C543" s="214"/>
      <c r="D543" s="214"/>
      <c r="E543" s="214"/>
      <c r="F543" s="214"/>
      <c r="G543" s="222"/>
      <c r="H543" s="221"/>
      <c r="I543" s="213"/>
      <c r="J543" s="213"/>
      <c r="K543" s="215"/>
      <c r="L543" s="216"/>
      <c r="M543" s="217"/>
      <c r="O543" s="241" t="str">
        <f>IF(Q543 = "", "", COUNT(Q$4:$Q543))</f>
        <v/>
      </c>
      <c r="P543" s="241" t="str">
        <f t="shared" si="68"/>
        <v/>
      </c>
      <c r="Q543" s="242" t="str">
        <f t="shared" si="69"/>
        <v/>
      </c>
      <c r="R543" s="243" t="str">
        <f t="shared" si="72"/>
        <v/>
      </c>
      <c r="S543" s="244" t="str">
        <f t="shared" si="70"/>
        <v/>
      </c>
      <c r="T543" s="245" t="str">
        <f t="shared" si="73"/>
        <v/>
      </c>
      <c r="U543" s="246" t="str">
        <f t="shared" si="71"/>
        <v/>
      </c>
      <c r="V543" s="8"/>
      <c r="AR543" t="str">
        <f t="shared" si="75"/>
        <v/>
      </c>
      <c r="AS543" t="str">
        <f t="shared" si="74"/>
        <v/>
      </c>
    </row>
    <row r="544" spans="1:45" x14ac:dyDescent="0.3">
      <c r="A544" s="231"/>
      <c r="B544" s="235"/>
      <c r="C544" s="214"/>
      <c r="D544" s="214"/>
      <c r="E544" s="214"/>
      <c r="F544" s="214"/>
      <c r="G544" s="222"/>
      <c r="H544" s="221"/>
      <c r="I544" s="213"/>
      <c r="J544" s="213"/>
      <c r="K544" s="215"/>
      <c r="L544" s="216"/>
      <c r="M544" s="217"/>
      <c r="O544" s="241" t="str">
        <f>IF(Q544 = "", "", COUNT(Q$4:$Q544))</f>
        <v/>
      </c>
      <c r="P544" s="241" t="str">
        <f t="shared" si="68"/>
        <v/>
      </c>
      <c r="Q544" s="242" t="str">
        <f t="shared" si="69"/>
        <v/>
      </c>
      <c r="R544" s="243" t="str">
        <f t="shared" si="72"/>
        <v/>
      </c>
      <c r="S544" s="244" t="str">
        <f t="shared" si="70"/>
        <v/>
      </c>
      <c r="T544" s="245" t="str">
        <f t="shared" si="73"/>
        <v/>
      </c>
      <c r="U544" s="246" t="str">
        <f t="shared" si="71"/>
        <v/>
      </c>
      <c r="V544" s="8"/>
      <c r="AR544" t="str">
        <f t="shared" si="75"/>
        <v/>
      </c>
      <c r="AS544" t="str">
        <f t="shared" si="74"/>
        <v/>
      </c>
    </row>
    <row r="545" spans="1:45" x14ac:dyDescent="0.3">
      <c r="A545" s="231"/>
      <c r="B545" s="235"/>
      <c r="C545" s="214"/>
      <c r="D545" s="214"/>
      <c r="E545" s="214"/>
      <c r="F545" s="214"/>
      <c r="G545" s="222"/>
      <c r="H545" s="221"/>
      <c r="I545" s="213"/>
      <c r="J545" s="213"/>
      <c r="K545" s="215"/>
      <c r="L545" s="216"/>
      <c r="M545" s="217"/>
      <c r="O545" s="241" t="str">
        <f>IF(Q545 = "", "", COUNT(Q$4:$Q545))</f>
        <v/>
      </c>
      <c r="P545" s="241" t="str">
        <f t="shared" si="68"/>
        <v/>
      </c>
      <c r="Q545" s="242" t="str">
        <f t="shared" si="69"/>
        <v/>
      </c>
      <c r="R545" s="243" t="str">
        <f t="shared" si="72"/>
        <v/>
      </c>
      <c r="S545" s="244" t="str">
        <f t="shared" si="70"/>
        <v/>
      </c>
      <c r="T545" s="245" t="str">
        <f t="shared" si="73"/>
        <v/>
      </c>
      <c r="U545" s="246" t="str">
        <f t="shared" si="71"/>
        <v/>
      </c>
      <c r="V545" s="8"/>
      <c r="AR545" t="str">
        <f t="shared" si="75"/>
        <v/>
      </c>
      <c r="AS545" t="str">
        <f t="shared" si="74"/>
        <v/>
      </c>
    </row>
    <row r="546" spans="1:45" x14ac:dyDescent="0.3">
      <c r="A546" s="231"/>
      <c r="B546" s="235"/>
      <c r="C546" s="214"/>
      <c r="D546" s="214"/>
      <c r="E546" s="214"/>
      <c r="F546" s="214"/>
      <c r="G546" s="222"/>
      <c r="H546" s="221"/>
      <c r="I546" s="213"/>
      <c r="J546" s="213"/>
      <c r="K546" s="215"/>
      <c r="L546" s="216"/>
      <c r="M546" s="217"/>
      <c r="O546" s="241" t="str">
        <f>IF(Q546 = "", "", COUNT(Q$4:$Q546))</f>
        <v/>
      </c>
      <c r="P546" s="241" t="str">
        <f t="shared" si="68"/>
        <v/>
      </c>
      <c r="Q546" s="242" t="str">
        <f t="shared" si="69"/>
        <v/>
      </c>
      <c r="R546" s="243" t="str">
        <f t="shared" si="72"/>
        <v/>
      </c>
      <c r="S546" s="244" t="str">
        <f t="shared" si="70"/>
        <v/>
      </c>
      <c r="T546" s="245" t="str">
        <f t="shared" si="73"/>
        <v/>
      </c>
      <c r="U546" s="246" t="str">
        <f t="shared" si="71"/>
        <v/>
      </c>
      <c r="V546" s="8"/>
      <c r="AR546" t="str">
        <f t="shared" si="75"/>
        <v/>
      </c>
      <c r="AS546" t="str">
        <f t="shared" si="74"/>
        <v/>
      </c>
    </row>
    <row r="547" spans="1:45" x14ac:dyDescent="0.3">
      <c r="A547" s="231"/>
      <c r="B547" s="235"/>
      <c r="C547" s="214"/>
      <c r="D547" s="214"/>
      <c r="E547" s="214"/>
      <c r="F547" s="214"/>
      <c r="G547" s="222"/>
      <c r="H547" s="221"/>
      <c r="I547" s="213"/>
      <c r="J547" s="213"/>
      <c r="K547" s="215"/>
      <c r="L547" s="216"/>
      <c r="M547" s="217"/>
      <c r="O547" s="241" t="str">
        <f>IF(Q547 = "", "", COUNT(Q$4:$Q547))</f>
        <v/>
      </c>
      <c r="P547" s="241" t="str">
        <f t="shared" si="68"/>
        <v/>
      </c>
      <c r="Q547" s="242" t="str">
        <f t="shared" si="69"/>
        <v/>
      </c>
      <c r="R547" s="243" t="str">
        <f t="shared" si="72"/>
        <v/>
      </c>
      <c r="S547" s="244" t="str">
        <f t="shared" si="70"/>
        <v/>
      </c>
      <c r="T547" s="245" t="str">
        <f t="shared" si="73"/>
        <v/>
      </c>
      <c r="U547" s="246" t="str">
        <f t="shared" si="71"/>
        <v/>
      </c>
      <c r="V547" s="8"/>
      <c r="AR547" t="str">
        <f t="shared" si="75"/>
        <v/>
      </c>
      <c r="AS547" t="str">
        <f t="shared" si="74"/>
        <v/>
      </c>
    </row>
    <row r="548" spans="1:45" x14ac:dyDescent="0.3">
      <c r="A548" s="231"/>
      <c r="B548" s="235"/>
      <c r="C548" s="214"/>
      <c r="D548" s="214"/>
      <c r="E548" s="214"/>
      <c r="F548" s="214"/>
      <c r="G548" s="222"/>
      <c r="H548" s="221"/>
      <c r="I548" s="213"/>
      <c r="J548" s="213"/>
      <c r="K548" s="215"/>
      <c r="L548" s="216"/>
      <c r="M548" s="217"/>
      <c r="O548" s="241" t="str">
        <f>IF(Q548 = "", "", COUNT(Q$4:$Q548))</f>
        <v/>
      </c>
      <c r="P548" s="241" t="str">
        <f t="shared" si="68"/>
        <v/>
      </c>
      <c r="Q548" s="242" t="str">
        <f t="shared" si="69"/>
        <v/>
      </c>
      <c r="R548" s="243" t="str">
        <f t="shared" si="72"/>
        <v/>
      </c>
      <c r="S548" s="244" t="str">
        <f t="shared" si="70"/>
        <v/>
      </c>
      <c r="T548" s="245" t="str">
        <f t="shared" si="73"/>
        <v/>
      </c>
      <c r="U548" s="246" t="str">
        <f t="shared" si="71"/>
        <v/>
      </c>
      <c r="V548" s="8"/>
      <c r="AR548" t="str">
        <f t="shared" si="75"/>
        <v/>
      </c>
      <c r="AS548" t="str">
        <f t="shared" si="74"/>
        <v/>
      </c>
    </row>
    <row r="549" spans="1:45" x14ac:dyDescent="0.3">
      <c r="A549" s="231"/>
      <c r="B549" s="235"/>
      <c r="C549" s="214"/>
      <c r="D549" s="214"/>
      <c r="E549" s="214"/>
      <c r="F549" s="214"/>
      <c r="G549" s="222"/>
      <c r="H549" s="221"/>
      <c r="I549" s="213"/>
      <c r="J549" s="213"/>
      <c r="K549" s="215"/>
      <c r="L549" s="216"/>
      <c r="M549" s="217"/>
      <c r="O549" s="241" t="str">
        <f>IF(Q549 = "", "", COUNT(Q$4:$Q549))</f>
        <v/>
      </c>
      <c r="P549" s="241" t="str">
        <f t="shared" si="68"/>
        <v/>
      </c>
      <c r="Q549" s="242" t="str">
        <f t="shared" si="69"/>
        <v/>
      </c>
      <c r="R549" s="243" t="str">
        <f t="shared" si="72"/>
        <v/>
      </c>
      <c r="S549" s="244" t="str">
        <f t="shared" si="70"/>
        <v/>
      </c>
      <c r="T549" s="245" t="str">
        <f t="shared" si="73"/>
        <v/>
      </c>
      <c r="U549" s="246" t="str">
        <f t="shared" si="71"/>
        <v/>
      </c>
      <c r="V549" s="8"/>
      <c r="AR549" t="str">
        <f t="shared" si="75"/>
        <v/>
      </c>
      <c r="AS549" t="str">
        <f t="shared" si="74"/>
        <v/>
      </c>
    </row>
    <row r="550" spans="1:45" x14ac:dyDescent="0.3">
      <c r="A550" s="231"/>
      <c r="B550" s="235"/>
      <c r="C550" s="214"/>
      <c r="D550" s="214"/>
      <c r="E550" s="214"/>
      <c r="F550" s="214"/>
      <c r="G550" s="222"/>
      <c r="H550" s="221"/>
      <c r="I550" s="213"/>
      <c r="J550" s="213"/>
      <c r="K550" s="215"/>
      <c r="L550" s="216"/>
      <c r="M550" s="217"/>
      <c r="O550" s="241" t="str">
        <f>IF(Q550 = "", "", COUNT(Q$4:$Q550))</f>
        <v/>
      </c>
      <c r="P550" s="241" t="str">
        <f t="shared" si="68"/>
        <v/>
      </c>
      <c r="Q550" s="242" t="str">
        <f t="shared" si="69"/>
        <v/>
      </c>
      <c r="R550" s="243" t="str">
        <f t="shared" si="72"/>
        <v/>
      </c>
      <c r="S550" s="244" t="str">
        <f t="shared" si="70"/>
        <v/>
      </c>
      <c r="T550" s="245" t="str">
        <f t="shared" si="73"/>
        <v/>
      </c>
      <c r="U550" s="246" t="str">
        <f t="shared" si="71"/>
        <v/>
      </c>
      <c r="V550" s="8"/>
      <c r="AR550" t="str">
        <f t="shared" si="75"/>
        <v/>
      </c>
      <c r="AS550" t="str">
        <f t="shared" si="74"/>
        <v/>
      </c>
    </row>
    <row r="551" spans="1:45" x14ac:dyDescent="0.3">
      <c r="A551" s="231"/>
      <c r="B551" s="235"/>
      <c r="C551" s="214"/>
      <c r="D551" s="214"/>
      <c r="E551" s="214"/>
      <c r="F551" s="214"/>
      <c r="G551" s="222"/>
      <c r="H551" s="221"/>
      <c r="I551" s="213"/>
      <c r="J551" s="213"/>
      <c r="K551" s="215"/>
      <c r="L551" s="216"/>
      <c r="M551" s="217"/>
      <c r="O551" s="241" t="str">
        <f>IF(Q551 = "", "", COUNT(Q$4:$Q551))</f>
        <v/>
      </c>
      <c r="P551" s="241" t="str">
        <f t="shared" si="68"/>
        <v/>
      </c>
      <c r="Q551" s="242" t="str">
        <f t="shared" si="69"/>
        <v/>
      </c>
      <c r="R551" s="243" t="str">
        <f t="shared" si="72"/>
        <v/>
      </c>
      <c r="S551" s="244" t="str">
        <f t="shared" si="70"/>
        <v/>
      </c>
      <c r="T551" s="245" t="str">
        <f t="shared" si="73"/>
        <v/>
      </c>
      <c r="U551" s="246" t="str">
        <f t="shared" si="71"/>
        <v/>
      </c>
      <c r="V551" s="8"/>
      <c r="AR551" t="str">
        <f t="shared" si="75"/>
        <v/>
      </c>
      <c r="AS551" t="str">
        <f t="shared" si="74"/>
        <v/>
      </c>
    </row>
    <row r="552" spans="1:45" x14ac:dyDescent="0.3">
      <c r="A552" s="231"/>
      <c r="B552" s="235"/>
      <c r="C552" s="214"/>
      <c r="D552" s="214"/>
      <c r="E552" s="214"/>
      <c r="F552" s="214"/>
      <c r="G552" s="222"/>
      <c r="H552" s="221"/>
      <c r="I552" s="213"/>
      <c r="J552" s="213"/>
      <c r="K552" s="215"/>
      <c r="L552" s="216"/>
      <c r="M552" s="217"/>
      <c r="O552" s="241" t="str">
        <f>IF(Q552 = "", "", COUNT(Q$4:$Q552))</f>
        <v/>
      </c>
      <c r="P552" s="241" t="str">
        <f t="shared" si="68"/>
        <v/>
      </c>
      <c r="Q552" s="242" t="str">
        <f t="shared" si="69"/>
        <v/>
      </c>
      <c r="R552" s="243" t="str">
        <f t="shared" si="72"/>
        <v/>
      </c>
      <c r="S552" s="244" t="str">
        <f t="shared" si="70"/>
        <v/>
      </c>
      <c r="T552" s="245" t="str">
        <f t="shared" si="73"/>
        <v/>
      </c>
      <c r="U552" s="246" t="str">
        <f t="shared" si="71"/>
        <v/>
      </c>
      <c r="V552" s="8"/>
      <c r="AR552" t="str">
        <f t="shared" si="75"/>
        <v/>
      </c>
      <c r="AS552" t="str">
        <f t="shared" si="74"/>
        <v/>
      </c>
    </row>
    <row r="553" spans="1:45" x14ac:dyDescent="0.3">
      <c r="A553" s="231"/>
      <c r="B553" s="235"/>
      <c r="C553" s="214"/>
      <c r="D553" s="214"/>
      <c r="E553" s="214"/>
      <c r="F553" s="214"/>
      <c r="G553" s="222"/>
      <c r="H553" s="221"/>
      <c r="I553" s="213"/>
      <c r="J553" s="213"/>
      <c r="K553" s="215"/>
      <c r="L553" s="216"/>
      <c r="M553" s="217"/>
      <c r="O553" s="241" t="str">
        <f>IF(Q553 = "", "", COUNT(Q$4:$Q553))</f>
        <v/>
      </c>
      <c r="P553" s="241" t="str">
        <f t="shared" si="68"/>
        <v/>
      </c>
      <c r="Q553" s="242" t="str">
        <f t="shared" si="69"/>
        <v/>
      </c>
      <c r="R553" s="243" t="str">
        <f t="shared" si="72"/>
        <v/>
      </c>
      <c r="S553" s="244" t="str">
        <f t="shared" si="70"/>
        <v/>
      </c>
      <c r="T553" s="245" t="str">
        <f t="shared" si="73"/>
        <v/>
      </c>
      <c r="U553" s="246" t="str">
        <f t="shared" si="71"/>
        <v/>
      </c>
      <c r="V553" s="8"/>
      <c r="AR553" t="str">
        <f t="shared" si="75"/>
        <v/>
      </c>
      <c r="AS553" t="str">
        <f t="shared" si="74"/>
        <v/>
      </c>
    </row>
    <row r="554" spans="1:45" x14ac:dyDescent="0.3">
      <c r="A554" s="231"/>
      <c r="B554" s="235"/>
      <c r="C554" s="214"/>
      <c r="D554" s="214"/>
      <c r="E554" s="214"/>
      <c r="F554" s="214"/>
      <c r="G554" s="222"/>
      <c r="H554" s="221"/>
      <c r="I554" s="213"/>
      <c r="J554" s="213"/>
      <c r="K554" s="215"/>
      <c r="L554" s="216"/>
      <c r="M554" s="217"/>
      <c r="O554" s="241" t="str">
        <f>IF(Q554 = "", "", COUNT(Q$4:$Q554))</f>
        <v/>
      </c>
      <c r="P554" s="241" t="str">
        <f t="shared" si="68"/>
        <v/>
      </c>
      <c r="Q554" s="242" t="str">
        <f t="shared" si="69"/>
        <v/>
      </c>
      <c r="R554" s="243" t="str">
        <f t="shared" si="72"/>
        <v/>
      </c>
      <c r="S554" s="244" t="str">
        <f t="shared" si="70"/>
        <v/>
      </c>
      <c r="T554" s="245" t="str">
        <f t="shared" si="73"/>
        <v/>
      </c>
      <c r="U554" s="246" t="str">
        <f t="shared" si="71"/>
        <v/>
      </c>
      <c r="V554" s="8"/>
      <c r="AR554" t="str">
        <f t="shared" si="75"/>
        <v/>
      </c>
      <c r="AS554" t="str">
        <f t="shared" si="74"/>
        <v/>
      </c>
    </row>
    <row r="555" spans="1:45" x14ac:dyDescent="0.3">
      <c r="A555" s="231"/>
      <c r="B555" s="235"/>
      <c r="C555" s="214"/>
      <c r="D555" s="214"/>
      <c r="E555" s="214"/>
      <c r="F555" s="214"/>
      <c r="G555" s="222"/>
      <c r="H555" s="221"/>
      <c r="I555" s="213"/>
      <c r="J555" s="213"/>
      <c r="K555" s="215"/>
      <c r="L555" s="216"/>
      <c r="M555" s="217"/>
      <c r="O555" s="241" t="str">
        <f>IF(Q555 = "", "", COUNT(Q$4:$Q555))</f>
        <v/>
      </c>
      <c r="P555" s="241" t="str">
        <f t="shared" si="68"/>
        <v/>
      </c>
      <c r="Q555" s="242" t="str">
        <f t="shared" si="69"/>
        <v/>
      </c>
      <c r="R555" s="243" t="str">
        <f t="shared" si="72"/>
        <v/>
      </c>
      <c r="S555" s="244" t="str">
        <f t="shared" si="70"/>
        <v/>
      </c>
      <c r="T555" s="245" t="str">
        <f t="shared" si="73"/>
        <v/>
      </c>
      <c r="U555" s="246" t="str">
        <f t="shared" si="71"/>
        <v/>
      </c>
      <c r="V555" s="8"/>
      <c r="AR555" t="str">
        <f t="shared" si="75"/>
        <v/>
      </c>
      <c r="AS555" t="str">
        <f t="shared" si="74"/>
        <v/>
      </c>
    </row>
    <row r="556" spans="1:45" x14ac:dyDescent="0.3">
      <c r="A556" s="231"/>
      <c r="B556" s="235"/>
      <c r="C556" s="214"/>
      <c r="D556" s="214"/>
      <c r="E556" s="214"/>
      <c r="F556" s="214"/>
      <c r="G556" s="222"/>
      <c r="H556" s="221"/>
      <c r="I556" s="213"/>
      <c r="J556" s="213"/>
      <c r="K556" s="215"/>
      <c r="L556" s="216"/>
      <c r="M556" s="217"/>
      <c r="O556" s="241" t="str">
        <f>IF(Q556 = "", "", COUNT(Q$4:$Q556))</f>
        <v/>
      </c>
      <c r="P556" s="241" t="str">
        <f t="shared" si="68"/>
        <v/>
      </c>
      <c r="Q556" s="242" t="str">
        <f t="shared" si="69"/>
        <v/>
      </c>
      <c r="R556" s="243" t="str">
        <f t="shared" si="72"/>
        <v/>
      </c>
      <c r="S556" s="244" t="str">
        <f t="shared" si="70"/>
        <v/>
      </c>
      <c r="T556" s="245" t="str">
        <f t="shared" si="73"/>
        <v/>
      </c>
      <c r="U556" s="246" t="str">
        <f t="shared" si="71"/>
        <v/>
      </c>
      <c r="V556" s="8"/>
      <c r="AR556" t="str">
        <f t="shared" si="75"/>
        <v/>
      </c>
      <c r="AS556" t="str">
        <f t="shared" si="74"/>
        <v/>
      </c>
    </row>
    <row r="557" spans="1:45" x14ac:dyDescent="0.3">
      <c r="A557" s="231"/>
      <c r="B557" s="235"/>
      <c r="C557" s="214"/>
      <c r="D557" s="214"/>
      <c r="E557" s="214"/>
      <c r="F557" s="214"/>
      <c r="G557" s="222"/>
      <c r="H557" s="221"/>
      <c r="I557" s="213"/>
      <c r="J557" s="213"/>
      <c r="K557" s="215"/>
      <c r="L557" s="216"/>
      <c r="M557" s="217"/>
      <c r="O557" s="241" t="str">
        <f>IF(Q557 = "", "", COUNT(Q$4:$Q557))</f>
        <v/>
      </c>
      <c r="P557" s="241" t="str">
        <f t="shared" si="68"/>
        <v/>
      </c>
      <c r="Q557" s="242" t="str">
        <f t="shared" si="69"/>
        <v/>
      </c>
      <c r="R557" s="243" t="str">
        <f t="shared" si="72"/>
        <v/>
      </c>
      <c r="S557" s="244" t="str">
        <f t="shared" si="70"/>
        <v/>
      </c>
      <c r="T557" s="245" t="str">
        <f t="shared" si="73"/>
        <v/>
      </c>
      <c r="U557" s="246" t="str">
        <f t="shared" si="71"/>
        <v/>
      </c>
      <c r="V557" s="8"/>
      <c r="AR557" t="str">
        <f t="shared" si="75"/>
        <v/>
      </c>
      <c r="AS557" t="str">
        <f t="shared" si="74"/>
        <v/>
      </c>
    </row>
    <row r="558" spans="1:45" x14ac:dyDescent="0.3">
      <c r="A558" s="231"/>
      <c r="B558" s="235"/>
      <c r="C558" s="214"/>
      <c r="D558" s="214"/>
      <c r="E558" s="214"/>
      <c r="F558" s="214"/>
      <c r="G558" s="222"/>
      <c r="H558" s="221"/>
      <c r="I558" s="213"/>
      <c r="J558" s="213"/>
      <c r="K558" s="215"/>
      <c r="L558" s="216"/>
      <c r="M558" s="217"/>
      <c r="O558" s="241" t="str">
        <f>IF(Q558 = "", "", COUNT(Q$4:$Q558))</f>
        <v/>
      </c>
      <c r="P558" s="241" t="str">
        <f t="shared" si="68"/>
        <v/>
      </c>
      <c r="Q558" s="242" t="str">
        <f t="shared" si="69"/>
        <v/>
      </c>
      <c r="R558" s="243" t="str">
        <f t="shared" si="72"/>
        <v/>
      </c>
      <c r="S558" s="244" t="str">
        <f t="shared" si="70"/>
        <v/>
      </c>
      <c r="T558" s="245" t="str">
        <f t="shared" si="73"/>
        <v/>
      </c>
      <c r="U558" s="246" t="str">
        <f t="shared" si="71"/>
        <v/>
      </c>
      <c r="V558" s="8"/>
      <c r="AR558" t="str">
        <f t="shared" si="75"/>
        <v/>
      </c>
      <c r="AS558" t="str">
        <f t="shared" si="74"/>
        <v/>
      </c>
    </row>
    <row r="559" spans="1:45" x14ac:dyDescent="0.3">
      <c r="A559" s="231"/>
      <c r="B559" s="235"/>
      <c r="C559" s="214"/>
      <c r="D559" s="214"/>
      <c r="E559" s="214"/>
      <c r="F559" s="214"/>
      <c r="G559" s="222"/>
      <c r="H559" s="221"/>
      <c r="I559" s="213"/>
      <c r="J559" s="213"/>
      <c r="K559" s="215"/>
      <c r="L559" s="216"/>
      <c r="M559" s="217"/>
      <c r="O559" s="241" t="str">
        <f>IF(Q559 = "", "", COUNT(Q$4:$Q559))</f>
        <v/>
      </c>
      <c r="P559" s="241" t="str">
        <f t="shared" si="68"/>
        <v/>
      </c>
      <c r="Q559" s="242" t="str">
        <f t="shared" si="69"/>
        <v/>
      </c>
      <c r="R559" s="243" t="str">
        <f t="shared" si="72"/>
        <v/>
      </c>
      <c r="S559" s="244" t="str">
        <f t="shared" si="70"/>
        <v/>
      </c>
      <c r="T559" s="245" t="str">
        <f t="shared" si="73"/>
        <v/>
      </c>
      <c r="U559" s="246" t="str">
        <f t="shared" si="71"/>
        <v/>
      </c>
      <c r="V559" s="8"/>
      <c r="AR559" t="str">
        <f t="shared" si="75"/>
        <v/>
      </c>
      <c r="AS559" t="str">
        <f t="shared" si="74"/>
        <v/>
      </c>
    </row>
    <row r="560" spans="1:45" x14ac:dyDescent="0.3">
      <c r="A560" s="231"/>
      <c r="B560" s="235"/>
      <c r="C560" s="214"/>
      <c r="D560" s="214"/>
      <c r="E560" s="214"/>
      <c r="F560" s="214"/>
      <c r="G560" s="222"/>
      <c r="H560" s="221"/>
      <c r="I560" s="213"/>
      <c r="J560" s="213"/>
      <c r="K560" s="215"/>
      <c r="L560" s="216"/>
      <c r="M560" s="217"/>
      <c r="O560" s="241" t="str">
        <f>IF(Q560 = "", "", COUNT(Q$4:$Q560))</f>
        <v/>
      </c>
      <c r="P560" s="241" t="str">
        <f t="shared" si="68"/>
        <v/>
      </c>
      <c r="Q560" s="242" t="str">
        <f t="shared" si="69"/>
        <v/>
      </c>
      <c r="R560" s="243" t="str">
        <f t="shared" si="72"/>
        <v/>
      </c>
      <c r="S560" s="244" t="str">
        <f t="shared" si="70"/>
        <v/>
      </c>
      <c r="T560" s="245" t="str">
        <f t="shared" si="73"/>
        <v/>
      </c>
      <c r="U560" s="246" t="str">
        <f t="shared" si="71"/>
        <v/>
      </c>
      <c r="V560" s="8"/>
      <c r="AR560" t="str">
        <f t="shared" si="75"/>
        <v/>
      </c>
      <c r="AS560" t="str">
        <f t="shared" si="74"/>
        <v/>
      </c>
    </row>
    <row r="561" spans="1:45" x14ac:dyDescent="0.3">
      <c r="A561" s="231"/>
      <c r="B561" s="235"/>
      <c r="C561" s="214"/>
      <c r="D561" s="214"/>
      <c r="E561" s="214"/>
      <c r="F561" s="214"/>
      <c r="G561" s="222"/>
      <c r="H561" s="221"/>
      <c r="I561" s="213"/>
      <c r="J561" s="213"/>
      <c r="K561" s="215"/>
      <c r="L561" s="216"/>
      <c r="M561" s="217"/>
      <c r="O561" s="241" t="str">
        <f>IF(Q561 = "", "", COUNT(Q$4:$Q561))</f>
        <v/>
      </c>
      <c r="P561" s="241" t="str">
        <f t="shared" si="68"/>
        <v/>
      </c>
      <c r="Q561" s="242" t="str">
        <f t="shared" si="69"/>
        <v/>
      </c>
      <c r="R561" s="243" t="str">
        <f t="shared" si="72"/>
        <v/>
      </c>
      <c r="S561" s="244" t="str">
        <f t="shared" si="70"/>
        <v/>
      </c>
      <c r="T561" s="245" t="str">
        <f t="shared" si="73"/>
        <v/>
      </c>
      <c r="U561" s="246" t="str">
        <f t="shared" si="71"/>
        <v/>
      </c>
      <c r="V561" s="8"/>
      <c r="AR561" t="str">
        <f t="shared" si="75"/>
        <v/>
      </c>
      <c r="AS561" t="str">
        <f t="shared" si="74"/>
        <v/>
      </c>
    </row>
    <row r="562" spans="1:45" x14ac:dyDescent="0.3">
      <c r="A562" s="231"/>
      <c r="B562" s="235"/>
      <c r="C562" s="214"/>
      <c r="D562" s="214"/>
      <c r="E562" s="214"/>
      <c r="F562" s="214"/>
      <c r="G562" s="222"/>
      <c r="H562" s="221"/>
      <c r="I562" s="213"/>
      <c r="J562" s="213"/>
      <c r="K562" s="215"/>
      <c r="L562" s="216"/>
      <c r="M562" s="217"/>
      <c r="O562" s="241" t="str">
        <f>IF(Q562 = "", "", COUNT(Q$4:$Q562))</f>
        <v/>
      </c>
      <c r="P562" s="241" t="str">
        <f t="shared" si="68"/>
        <v/>
      </c>
      <c r="Q562" s="242" t="str">
        <f t="shared" si="69"/>
        <v/>
      </c>
      <c r="R562" s="243" t="str">
        <f t="shared" si="72"/>
        <v/>
      </c>
      <c r="S562" s="244" t="str">
        <f t="shared" si="70"/>
        <v/>
      </c>
      <c r="T562" s="245" t="str">
        <f t="shared" si="73"/>
        <v/>
      </c>
      <c r="U562" s="246" t="str">
        <f t="shared" si="71"/>
        <v/>
      </c>
      <c r="V562" s="8"/>
      <c r="AR562" t="str">
        <f t="shared" si="75"/>
        <v/>
      </c>
      <c r="AS562" t="str">
        <f t="shared" si="74"/>
        <v/>
      </c>
    </row>
    <row r="563" spans="1:45" x14ac:dyDescent="0.3">
      <c r="A563" s="231"/>
      <c r="B563" s="235"/>
      <c r="C563" s="214"/>
      <c r="D563" s="214"/>
      <c r="E563" s="214"/>
      <c r="F563" s="214"/>
      <c r="G563" s="222"/>
      <c r="H563" s="221"/>
      <c r="I563" s="213"/>
      <c r="J563" s="213"/>
      <c r="K563" s="215"/>
      <c r="L563" s="216"/>
      <c r="M563" s="217"/>
      <c r="O563" s="241" t="str">
        <f>IF(Q563 = "", "", COUNT(Q$4:$Q563))</f>
        <v/>
      </c>
      <c r="P563" s="241" t="str">
        <f t="shared" si="68"/>
        <v/>
      </c>
      <c r="Q563" s="242" t="str">
        <f t="shared" si="69"/>
        <v/>
      </c>
      <c r="R563" s="243" t="str">
        <f t="shared" si="72"/>
        <v/>
      </c>
      <c r="S563" s="244" t="str">
        <f t="shared" si="70"/>
        <v/>
      </c>
      <c r="T563" s="245" t="str">
        <f t="shared" si="73"/>
        <v/>
      </c>
      <c r="U563" s="246" t="str">
        <f t="shared" si="71"/>
        <v/>
      </c>
      <c r="V563" s="8"/>
      <c r="AR563" t="str">
        <f t="shared" si="75"/>
        <v/>
      </c>
      <c r="AS563" t="str">
        <f t="shared" si="74"/>
        <v/>
      </c>
    </row>
    <row r="564" spans="1:45" x14ac:dyDescent="0.3">
      <c r="A564" s="231"/>
      <c r="B564" s="235"/>
      <c r="C564" s="214"/>
      <c r="D564" s="214"/>
      <c r="E564" s="214"/>
      <c r="F564" s="214"/>
      <c r="G564" s="222"/>
      <c r="H564" s="221"/>
      <c r="I564" s="213"/>
      <c r="J564" s="213"/>
      <c r="K564" s="215"/>
      <c r="L564" s="216"/>
      <c r="M564" s="217"/>
      <c r="O564" s="241" t="str">
        <f>IF(Q564 = "", "", COUNT(Q$4:$Q564))</f>
        <v/>
      </c>
      <c r="P564" s="241" t="str">
        <f t="shared" si="68"/>
        <v/>
      </c>
      <c r="Q564" s="242" t="str">
        <f t="shared" si="69"/>
        <v/>
      </c>
      <c r="R564" s="243" t="str">
        <f t="shared" si="72"/>
        <v/>
      </c>
      <c r="S564" s="244" t="str">
        <f t="shared" si="70"/>
        <v/>
      </c>
      <c r="T564" s="245" t="str">
        <f t="shared" si="73"/>
        <v/>
      </c>
      <c r="U564" s="246" t="str">
        <f t="shared" si="71"/>
        <v/>
      </c>
      <c r="V564" s="8"/>
      <c r="AR564" t="str">
        <f t="shared" si="75"/>
        <v/>
      </c>
      <c r="AS564" t="str">
        <f t="shared" si="74"/>
        <v/>
      </c>
    </row>
    <row r="565" spans="1:45" x14ac:dyDescent="0.3">
      <c r="A565" s="231"/>
      <c r="B565" s="235"/>
      <c r="C565" s="214"/>
      <c r="D565" s="214"/>
      <c r="E565" s="214"/>
      <c r="F565" s="214"/>
      <c r="G565" s="222"/>
      <c r="H565" s="221"/>
      <c r="I565" s="213"/>
      <c r="J565" s="213"/>
      <c r="K565" s="215"/>
      <c r="L565" s="216"/>
      <c r="M565" s="217"/>
      <c r="O565" s="241" t="str">
        <f>IF(Q565 = "", "", COUNT(Q$4:$Q565))</f>
        <v/>
      </c>
      <c r="P565" s="241" t="str">
        <f t="shared" si="68"/>
        <v/>
      </c>
      <c r="Q565" s="242" t="str">
        <f t="shared" si="69"/>
        <v/>
      </c>
      <c r="R565" s="243" t="str">
        <f t="shared" si="72"/>
        <v/>
      </c>
      <c r="S565" s="244" t="str">
        <f t="shared" si="70"/>
        <v/>
      </c>
      <c r="T565" s="245" t="str">
        <f t="shared" si="73"/>
        <v/>
      </c>
      <c r="U565" s="246" t="str">
        <f t="shared" si="71"/>
        <v/>
      </c>
      <c r="V565" s="8"/>
      <c r="AR565" t="str">
        <f t="shared" si="75"/>
        <v/>
      </c>
      <c r="AS565" t="str">
        <f t="shared" si="74"/>
        <v/>
      </c>
    </row>
    <row r="566" spans="1:45" x14ac:dyDescent="0.3">
      <c r="A566" s="231"/>
      <c r="B566" s="235"/>
      <c r="C566" s="214"/>
      <c r="D566" s="214"/>
      <c r="E566" s="214"/>
      <c r="F566" s="214"/>
      <c r="G566" s="222"/>
      <c r="H566" s="221"/>
      <c r="I566" s="213"/>
      <c r="J566" s="213"/>
      <c r="K566" s="215"/>
      <c r="L566" s="216"/>
      <c r="M566" s="217"/>
      <c r="O566" s="241" t="str">
        <f>IF(Q566 = "", "", COUNT(Q$4:$Q566))</f>
        <v/>
      </c>
      <c r="P566" s="241" t="str">
        <f t="shared" si="68"/>
        <v/>
      </c>
      <c r="Q566" s="242" t="str">
        <f t="shared" si="69"/>
        <v/>
      </c>
      <c r="R566" s="243" t="str">
        <f t="shared" si="72"/>
        <v/>
      </c>
      <c r="S566" s="244" t="str">
        <f t="shared" si="70"/>
        <v/>
      </c>
      <c r="T566" s="245" t="str">
        <f t="shared" si="73"/>
        <v/>
      </c>
      <c r="U566" s="246" t="str">
        <f t="shared" si="71"/>
        <v/>
      </c>
      <c r="V566" s="8"/>
      <c r="AR566" t="str">
        <f t="shared" si="75"/>
        <v/>
      </c>
      <c r="AS566" t="str">
        <f t="shared" si="74"/>
        <v/>
      </c>
    </row>
    <row r="567" spans="1:45" x14ac:dyDescent="0.3">
      <c r="A567" s="231"/>
      <c r="B567" s="235"/>
      <c r="C567" s="214"/>
      <c r="D567" s="214"/>
      <c r="E567" s="214"/>
      <c r="F567" s="214"/>
      <c r="G567" s="222"/>
      <c r="H567" s="221"/>
      <c r="I567" s="213"/>
      <c r="J567" s="213"/>
      <c r="K567" s="215"/>
      <c r="L567" s="216"/>
      <c r="M567" s="217"/>
      <c r="O567" s="241" t="str">
        <f>IF(Q567 = "", "", COUNT(Q$4:$Q567))</f>
        <v/>
      </c>
      <c r="P567" s="241" t="str">
        <f t="shared" si="68"/>
        <v/>
      </c>
      <c r="Q567" s="242" t="str">
        <f t="shared" si="69"/>
        <v/>
      </c>
      <c r="R567" s="243" t="str">
        <f t="shared" si="72"/>
        <v/>
      </c>
      <c r="S567" s="244" t="str">
        <f t="shared" si="70"/>
        <v/>
      </c>
      <c r="T567" s="245" t="str">
        <f t="shared" si="73"/>
        <v/>
      </c>
      <c r="U567" s="246" t="str">
        <f t="shared" si="71"/>
        <v/>
      </c>
      <c r="V567" s="8"/>
      <c r="AR567" t="str">
        <f t="shared" si="75"/>
        <v/>
      </c>
      <c r="AS567" t="str">
        <f t="shared" si="74"/>
        <v/>
      </c>
    </row>
    <row r="568" spans="1:45" x14ac:dyDescent="0.3">
      <c r="A568" s="231"/>
      <c r="B568" s="235"/>
      <c r="C568" s="214"/>
      <c r="D568" s="214"/>
      <c r="E568" s="214"/>
      <c r="F568" s="214"/>
      <c r="G568" s="222"/>
      <c r="H568" s="221"/>
      <c r="I568" s="213"/>
      <c r="J568" s="213"/>
      <c r="K568" s="215"/>
      <c r="L568" s="216"/>
      <c r="M568" s="217"/>
      <c r="O568" s="241" t="str">
        <f>IF(Q568 = "", "", COUNT(Q$4:$Q568))</f>
        <v/>
      </c>
      <c r="P568" s="241" t="str">
        <f t="shared" si="68"/>
        <v/>
      </c>
      <c r="Q568" s="242" t="str">
        <f t="shared" si="69"/>
        <v/>
      </c>
      <c r="R568" s="243" t="str">
        <f t="shared" si="72"/>
        <v/>
      </c>
      <c r="S568" s="244" t="str">
        <f t="shared" si="70"/>
        <v/>
      </c>
      <c r="T568" s="245" t="str">
        <f t="shared" si="73"/>
        <v/>
      </c>
      <c r="U568" s="246" t="str">
        <f t="shared" si="71"/>
        <v/>
      </c>
      <c r="V568" s="8"/>
      <c r="AR568" t="str">
        <f t="shared" si="75"/>
        <v/>
      </c>
      <c r="AS568" t="str">
        <f t="shared" si="74"/>
        <v/>
      </c>
    </row>
    <row r="569" spans="1:45" x14ac:dyDescent="0.3">
      <c r="A569" s="231"/>
      <c r="B569" s="235"/>
      <c r="C569" s="214"/>
      <c r="D569" s="214"/>
      <c r="E569" s="214"/>
      <c r="F569" s="214"/>
      <c r="G569" s="222"/>
      <c r="H569" s="221"/>
      <c r="I569" s="213"/>
      <c r="J569" s="213"/>
      <c r="K569" s="215"/>
      <c r="L569" s="216"/>
      <c r="M569" s="217"/>
      <c r="O569" s="241" t="str">
        <f>IF(Q569 = "", "", COUNT(Q$4:$Q569))</f>
        <v/>
      </c>
      <c r="P569" s="241" t="str">
        <f t="shared" si="68"/>
        <v/>
      </c>
      <c r="Q569" s="242" t="str">
        <f t="shared" si="69"/>
        <v/>
      </c>
      <c r="R569" s="243" t="str">
        <f t="shared" si="72"/>
        <v/>
      </c>
      <c r="S569" s="244" t="str">
        <f t="shared" si="70"/>
        <v/>
      </c>
      <c r="T569" s="245" t="str">
        <f t="shared" si="73"/>
        <v/>
      </c>
      <c r="U569" s="246" t="str">
        <f t="shared" si="71"/>
        <v/>
      </c>
      <c r="V569" s="8"/>
      <c r="AR569" t="str">
        <f t="shared" si="75"/>
        <v/>
      </c>
      <c r="AS569" t="str">
        <f t="shared" si="74"/>
        <v/>
      </c>
    </row>
    <row r="570" spans="1:45" x14ac:dyDescent="0.3">
      <c r="A570" s="231"/>
      <c r="B570" s="235"/>
      <c r="C570" s="214"/>
      <c r="D570" s="214"/>
      <c r="E570" s="214"/>
      <c r="F570" s="214"/>
      <c r="G570" s="222"/>
      <c r="H570" s="221"/>
      <c r="I570" s="213"/>
      <c r="J570" s="213"/>
      <c r="K570" s="215"/>
      <c r="L570" s="216"/>
      <c r="M570" s="217"/>
      <c r="O570" s="241" t="str">
        <f>IF(Q570 = "", "", COUNT(Q$4:$Q570))</f>
        <v/>
      </c>
      <c r="P570" s="241" t="str">
        <f t="shared" si="68"/>
        <v/>
      </c>
      <c r="Q570" s="242" t="str">
        <f t="shared" si="69"/>
        <v/>
      </c>
      <c r="R570" s="243" t="str">
        <f t="shared" si="72"/>
        <v/>
      </c>
      <c r="S570" s="244" t="str">
        <f t="shared" si="70"/>
        <v/>
      </c>
      <c r="T570" s="245" t="str">
        <f t="shared" si="73"/>
        <v/>
      </c>
      <c r="U570" s="246" t="str">
        <f t="shared" si="71"/>
        <v/>
      </c>
      <c r="V570" s="8"/>
      <c r="AR570" t="str">
        <f t="shared" si="75"/>
        <v/>
      </c>
      <c r="AS570" t="str">
        <f t="shared" si="74"/>
        <v/>
      </c>
    </row>
    <row r="571" spans="1:45" x14ac:dyDescent="0.3">
      <c r="A571" s="231"/>
      <c r="B571" s="235"/>
      <c r="C571" s="214"/>
      <c r="D571" s="214"/>
      <c r="E571" s="214"/>
      <c r="F571" s="214"/>
      <c r="G571" s="222"/>
      <c r="H571" s="221"/>
      <c r="I571" s="213"/>
      <c r="J571" s="213"/>
      <c r="K571" s="215"/>
      <c r="L571" s="216"/>
      <c r="M571" s="217"/>
      <c r="O571" s="241" t="str">
        <f>IF(Q571 = "", "", COUNT(Q$4:$Q571))</f>
        <v/>
      </c>
      <c r="P571" s="241" t="str">
        <f t="shared" si="68"/>
        <v/>
      </c>
      <c r="Q571" s="242" t="str">
        <f t="shared" si="69"/>
        <v/>
      </c>
      <c r="R571" s="243" t="str">
        <f t="shared" si="72"/>
        <v/>
      </c>
      <c r="S571" s="244" t="str">
        <f t="shared" si="70"/>
        <v/>
      </c>
      <c r="T571" s="245" t="str">
        <f t="shared" si="73"/>
        <v/>
      </c>
      <c r="U571" s="246" t="str">
        <f t="shared" si="71"/>
        <v/>
      </c>
      <c r="V571" s="8"/>
      <c r="AR571" t="str">
        <f t="shared" si="75"/>
        <v/>
      </c>
      <c r="AS571" t="str">
        <f t="shared" si="74"/>
        <v/>
      </c>
    </row>
    <row r="572" spans="1:45" x14ac:dyDescent="0.3">
      <c r="A572" s="231"/>
      <c r="B572" s="235"/>
      <c r="C572" s="214"/>
      <c r="D572" s="214"/>
      <c r="E572" s="214"/>
      <c r="F572" s="214"/>
      <c r="G572" s="222"/>
      <c r="H572" s="221"/>
      <c r="I572" s="213"/>
      <c r="J572" s="213"/>
      <c r="K572" s="215"/>
      <c r="L572" s="216"/>
      <c r="M572" s="217"/>
      <c r="O572" s="241" t="str">
        <f>IF(Q572 = "", "", COUNT(Q$4:$Q572))</f>
        <v/>
      </c>
      <c r="P572" s="241" t="str">
        <f t="shared" si="68"/>
        <v/>
      </c>
      <c r="Q572" s="242" t="str">
        <f t="shared" si="69"/>
        <v/>
      </c>
      <c r="R572" s="243" t="str">
        <f t="shared" si="72"/>
        <v/>
      </c>
      <c r="S572" s="244" t="str">
        <f t="shared" si="70"/>
        <v/>
      </c>
      <c r="T572" s="245" t="str">
        <f t="shared" si="73"/>
        <v/>
      </c>
      <c r="U572" s="246" t="str">
        <f t="shared" si="71"/>
        <v/>
      </c>
      <c r="V572" s="8"/>
      <c r="AR572" t="str">
        <f t="shared" si="75"/>
        <v/>
      </c>
      <c r="AS572" t="str">
        <f t="shared" si="74"/>
        <v/>
      </c>
    </row>
    <row r="573" spans="1:45" x14ac:dyDescent="0.3">
      <c r="A573" s="231"/>
      <c r="B573" s="235"/>
      <c r="C573" s="214"/>
      <c r="D573" s="214"/>
      <c r="E573" s="214"/>
      <c r="F573" s="214"/>
      <c r="G573" s="222"/>
      <c r="H573" s="221"/>
      <c r="I573" s="213"/>
      <c r="J573" s="213"/>
      <c r="K573" s="215"/>
      <c r="L573" s="216"/>
      <c r="M573" s="217"/>
      <c r="O573" s="241" t="str">
        <f>IF(Q573 = "", "", COUNT(Q$4:$Q573))</f>
        <v/>
      </c>
      <c r="P573" s="241" t="str">
        <f t="shared" si="68"/>
        <v/>
      </c>
      <c r="Q573" s="242" t="str">
        <f t="shared" si="69"/>
        <v/>
      </c>
      <c r="R573" s="243" t="str">
        <f t="shared" si="72"/>
        <v/>
      </c>
      <c r="S573" s="244" t="str">
        <f t="shared" si="70"/>
        <v/>
      </c>
      <c r="T573" s="245" t="str">
        <f t="shared" si="73"/>
        <v/>
      </c>
      <c r="U573" s="246" t="str">
        <f t="shared" si="71"/>
        <v/>
      </c>
      <c r="V573" s="8"/>
      <c r="AR573" t="str">
        <f t="shared" si="75"/>
        <v/>
      </c>
      <c r="AS573" t="str">
        <f t="shared" si="74"/>
        <v/>
      </c>
    </row>
    <row r="574" spans="1:45" x14ac:dyDescent="0.3">
      <c r="A574" s="231"/>
      <c r="B574" s="235"/>
      <c r="C574" s="214"/>
      <c r="D574" s="214"/>
      <c r="E574" s="214"/>
      <c r="F574" s="214"/>
      <c r="G574" s="222"/>
      <c r="H574" s="221"/>
      <c r="I574" s="213"/>
      <c r="J574" s="213"/>
      <c r="K574" s="215"/>
      <c r="L574" s="216"/>
      <c r="M574" s="217"/>
      <c r="O574" s="241" t="str">
        <f>IF(Q574 = "", "", COUNT(Q$4:$Q574))</f>
        <v/>
      </c>
      <c r="P574" s="241" t="str">
        <f t="shared" si="68"/>
        <v/>
      </c>
      <c r="Q574" s="242" t="str">
        <f t="shared" si="69"/>
        <v/>
      </c>
      <c r="R574" s="243" t="str">
        <f t="shared" si="72"/>
        <v/>
      </c>
      <c r="S574" s="244" t="str">
        <f t="shared" si="70"/>
        <v/>
      </c>
      <c r="T574" s="245" t="str">
        <f t="shared" si="73"/>
        <v/>
      </c>
      <c r="U574" s="246" t="str">
        <f t="shared" si="71"/>
        <v/>
      </c>
      <c r="V574" s="8"/>
      <c r="AR574" t="str">
        <f t="shared" si="75"/>
        <v/>
      </c>
      <c r="AS574" t="str">
        <f t="shared" si="74"/>
        <v/>
      </c>
    </row>
    <row r="575" spans="1:45" x14ac:dyDescent="0.3">
      <c r="A575" s="231"/>
      <c r="B575" s="235"/>
      <c r="C575" s="214"/>
      <c r="D575" s="214"/>
      <c r="E575" s="214"/>
      <c r="F575" s="214"/>
      <c r="G575" s="222"/>
      <c r="H575" s="221"/>
      <c r="I575" s="213"/>
      <c r="J575" s="213"/>
      <c r="K575" s="215"/>
      <c r="L575" s="216"/>
      <c r="M575" s="217"/>
      <c r="O575" s="241" t="str">
        <f>IF(Q575 = "", "", COUNT(Q$4:$Q575))</f>
        <v/>
      </c>
      <c r="P575" s="241" t="str">
        <f t="shared" si="68"/>
        <v/>
      </c>
      <c r="Q575" s="242" t="str">
        <f t="shared" si="69"/>
        <v/>
      </c>
      <c r="R575" s="243" t="str">
        <f t="shared" si="72"/>
        <v/>
      </c>
      <c r="S575" s="244" t="str">
        <f t="shared" si="70"/>
        <v/>
      </c>
      <c r="T575" s="245" t="str">
        <f t="shared" si="73"/>
        <v/>
      </c>
      <c r="U575" s="246" t="str">
        <f t="shared" si="71"/>
        <v/>
      </c>
      <c r="V575" s="8"/>
      <c r="AR575" t="str">
        <f t="shared" si="75"/>
        <v/>
      </c>
      <c r="AS575" t="str">
        <f t="shared" si="74"/>
        <v/>
      </c>
    </row>
    <row r="576" spans="1:45" x14ac:dyDescent="0.3">
      <c r="A576" s="231"/>
      <c r="B576" s="235"/>
      <c r="C576" s="214"/>
      <c r="D576" s="214"/>
      <c r="E576" s="214"/>
      <c r="F576" s="214"/>
      <c r="G576" s="222"/>
      <c r="H576" s="221"/>
      <c r="I576" s="213"/>
      <c r="J576" s="213"/>
      <c r="K576" s="215"/>
      <c r="L576" s="216"/>
      <c r="M576" s="217"/>
      <c r="O576" s="241" t="str">
        <f>IF(Q576 = "", "", COUNT(Q$4:$Q576))</f>
        <v/>
      </c>
      <c r="P576" s="241" t="str">
        <f t="shared" si="68"/>
        <v/>
      </c>
      <c r="Q576" s="242" t="str">
        <f t="shared" si="69"/>
        <v/>
      </c>
      <c r="R576" s="243" t="str">
        <f t="shared" si="72"/>
        <v/>
      </c>
      <c r="S576" s="244" t="str">
        <f t="shared" si="70"/>
        <v/>
      </c>
      <c r="T576" s="245" t="str">
        <f t="shared" si="73"/>
        <v/>
      </c>
      <c r="U576" s="246" t="str">
        <f t="shared" si="71"/>
        <v/>
      </c>
      <c r="V576" s="8"/>
      <c r="AR576" t="str">
        <f t="shared" si="75"/>
        <v/>
      </c>
      <c r="AS576" t="str">
        <f t="shared" si="74"/>
        <v/>
      </c>
    </row>
    <row r="577" spans="1:45" x14ac:dyDescent="0.3">
      <c r="A577" s="231"/>
      <c r="B577" s="235"/>
      <c r="C577" s="214"/>
      <c r="D577" s="214"/>
      <c r="E577" s="214"/>
      <c r="F577" s="214"/>
      <c r="G577" s="222"/>
      <c r="H577" s="221"/>
      <c r="I577" s="213"/>
      <c r="J577" s="213"/>
      <c r="K577" s="215"/>
      <c r="L577" s="216"/>
      <c r="M577" s="217"/>
      <c r="O577" s="241" t="str">
        <f>IF(Q577 = "", "", COUNT(Q$4:$Q577))</f>
        <v/>
      </c>
      <c r="P577" s="241" t="str">
        <f t="shared" si="68"/>
        <v/>
      </c>
      <c r="Q577" s="242" t="str">
        <f t="shared" si="69"/>
        <v/>
      </c>
      <c r="R577" s="243" t="str">
        <f t="shared" si="72"/>
        <v/>
      </c>
      <c r="S577" s="244" t="str">
        <f t="shared" si="70"/>
        <v/>
      </c>
      <c r="T577" s="245" t="str">
        <f t="shared" si="73"/>
        <v/>
      </c>
      <c r="U577" s="246" t="str">
        <f t="shared" si="71"/>
        <v/>
      </c>
      <c r="V577" s="8"/>
      <c r="AR577" t="str">
        <f t="shared" si="75"/>
        <v/>
      </c>
      <c r="AS577" t="str">
        <f t="shared" si="74"/>
        <v/>
      </c>
    </row>
    <row r="578" spans="1:45" x14ac:dyDescent="0.3">
      <c r="A578" s="231"/>
      <c r="B578" s="235"/>
      <c r="C578" s="214"/>
      <c r="D578" s="214"/>
      <c r="E578" s="214"/>
      <c r="F578" s="214"/>
      <c r="G578" s="222"/>
      <c r="H578" s="221"/>
      <c r="I578" s="213"/>
      <c r="J578" s="213"/>
      <c r="K578" s="215"/>
      <c r="L578" s="216"/>
      <c r="M578" s="217"/>
      <c r="O578" s="241" t="str">
        <f>IF(Q578 = "", "", COUNT(Q$4:$Q578))</f>
        <v/>
      </c>
      <c r="P578" s="241" t="str">
        <f t="shared" si="68"/>
        <v/>
      </c>
      <c r="Q578" s="242" t="str">
        <f t="shared" si="69"/>
        <v/>
      </c>
      <c r="R578" s="243" t="str">
        <f t="shared" si="72"/>
        <v/>
      </c>
      <c r="S578" s="244" t="str">
        <f t="shared" si="70"/>
        <v/>
      </c>
      <c r="T578" s="245" t="str">
        <f t="shared" si="73"/>
        <v/>
      </c>
      <c r="U578" s="246" t="str">
        <f t="shared" si="71"/>
        <v/>
      </c>
      <c r="V578" s="8"/>
      <c r="AR578" t="str">
        <f t="shared" si="75"/>
        <v/>
      </c>
      <c r="AS578" t="str">
        <f t="shared" si="74"/>
        <v/>
      </c>
    </row>
    <row r="579" spans="1:45" x14ac:dyDescent="0.3">
      <c r="A579" s="231"/>
      <c r="B579" s="235"/>
      <c r="C579" s="214"/>
      <c r="D579" s="214"/>
      <c r="E579" s="214"/>
      <c r="F579" s="214"/>
      <c r="G579" s="222"/>
      <c r="H579" s="221"/>
      <c r="I579" s="213"/>
      <c r="J579" s="213"/>
      <c r="K579" s="215"/>
      <c r="L579" s="216"/>
      <c r="M579" s="217"/>
      <c r="O579" s="241" t="str">
        <f>IF(Q579 = "", "", COUNT(Q$4:$Q579))</f>
        <v/>
      </c>
      <c r="P579" s="241" t="str">
        <f t="shared" si="68"/>
        <v/>
      </c>
      <c r="Q579" s="242" t="str">
        <f t="shared" si="69"/>
        <v/>
      </c>
      <c r="R579" s="243" t="str">
        <f t="shared" si="72"/>
        <v/>
      </c>
      <c r="S579" s="244" t="str">
        <f t="shared" si="70"/>
        <v/>
      </c>
      <c r="T579" s="245" t="str">
        <f t="shared" si="73"/>
        <v/>
      </c>
      <c r="U579" s="246" t="str">
        <f t="shared" si="71"/>
        <v/>
      </c>
      <c r="V579" s="8"/>
      <c r="AR579" t="str">
        <f t="shared" si="75"/>
        <v/>
      </c>
      <c r="AS579" t="str">
        <f t="shared" si="74"/>
        <v/>
      </c>
    </row>
    <row r="580" spans="1:45" x14ac:dyDescent="0.3">
      <c r="A580" s="231"/>
      <c r="B580" s="235"/>
      <c r="C580" s="214"/>
      <c r="D580" s="214"/>
      <c r="E580" s="214"/>
      <c r="F580" s="214"/>
      <c r="G580" s="222"/>
      <c r="H580" s="221"/>
      <c r="I580" s="213"/>
      <c r="J580" s="213"/>
      <c r="K580" s="215"/>
      <c r="L580" s="216"/>
      <c r="M580" s="217"/>
      <c r="O580" s="241" t="str">
        <f>IF(Q580 = "", "", COUNT(Q$4:$Q580))</f>
        <v/>
      </c>
      <c r="P580" s="241" t="str">
        <f t="shared" ref="P580:P643" si="76">IF(C580 &gt; 0, YEAR(B580), "")</f>
        <v/>
      </c>
      <c r="Q580" s="242" t="str">
        <f t="shared" ref="Q580:Q643" si="77">IF(A580="", "", IF(G580="",1,IF(G580="O",1,IF(G580="C",8.4,IF(G580="B",8.4,IF(G580="A",76.8,IF(G580="K",76.8,"ERR")))))))</f>
        <v/>
      </c>
      <c r="R580" s="243" t="str">
        <f t="shared" si="72"/>
        <v/>
      </c>
      <c r="S580" s="244" t="str">
        <f t="shared" ref="S580:S643" si="78">IF(IF(L580&lt;&gt;"",G580,"")=0, "O", IF(L580&lt;&gt;"",G580,""))</f>
        <v/>
      </c>
      <c r="T580" s="245" t="str">
        <f t="shared" si="73"/>
        <v/>
      </c>
      <c r="U580" s="246" t="str">
        <f t="shared" ref="U580:U643" si="79">IF(IF(M580&lt;&gt;"",G580,"")=0, "O", IF(M580&lt;&gt;"",G580,""))</f>
        <v/>
      </c>
      <c r="V580" s="8"/>
      <c r="AR580" t="str">
        <f t="shared" si="75"/>
        <v/>
      </c>
      <c r="AS580" t="str">
        <f t="shared" si="74"/>
        <v/>
      </c>
    </row>
    <row r="581" spans="1:45" x14ac:dyDescent="0.3">
      <c r="A581" s="231"/>
      <c r="B581" s="235"/>
      <c r="C581" s="214"/>
      <c r="D581" s="214"/>
      <c r="E581" s="214"/>
      <c r="F581" s="214"/>
      <c r="G581" s="222"/>
      <c r="H581" s="221"/>
      <c r="I581" s="213"/>
      <c r="J581" s="213"/>
      <c r="K581" s="215"/>
      <c r="L581" s="216"/>
      <c r="M581" s="217"/>
      <c r="O581" s="241" t="str">
        <f>IF(Q581 = "", "", COUNT(Q$4:$Q581))</f>
        <v/>
      </c>
      <c r="P581" s="241" t="str">
        <f t="shared" si="76"/>
        <v/>
      </c>
      <c r="Q581" s="242" t="str">
        <f t="shared" si="77"/>
        <v/>
      </c>
      <c r="R581" s="243" t="str">
        <f t="shared" ref="R581:R644" si="80">IF(L581&lt;&gt;"",Q581,"")</f>
        <v/>
      </c>
      <c r="S581" s="244" t="str">
        <f t="shared" si="78"/>
        <v/>
      </c>
      <c r="T581" s="245" t="str">
        <f t="shared" ref="T581:T644" si="81">IF(M581&lt;&gt;"",Q581,"")</f>
        <v/>
      </c>
      <c r="U581" s="246" t="str">
        <f t="shared" si="79"/>
        <v/>
      </c>
      <c r="V581" s="8"/>
      <c r="AR581" t="str">
        <f t="shared" si="75"/>
        <v/>
      </c>
      <c r="AS581" t="str">
        <f t="shared" si="74"/>
        <v/>
      </c>
    </row>
    <row r="582" spans="1:45" x14ac:dyDescent="0.3">
      <c r="A582" s="231"/>
      <c r="B582" s="235"/>
      <c r="C582" s="214"/>
      <c r="D582" s="214"/>
      <c r="E582" s="214"/>
      <c r="F582" s="214"/>
      <c r="G582" s="222"/>
      <c r="H582" s="221"/>
      <c r="I582" s="213"/>
      <c r="J582" s="213"/>
      <c r="K582" s="215"/>
      <c r="L582" s="216"/>
      <c r="M582" s="217"/>
      <c r="O582" s="241" t="str">
        <f>IF(Q582 = "", "", COUNT(Q$4:$Q582))</f>
        <v/>
      </c>
      <c r="P582" s="241" t="str">
        <f t="shared" si="76"/>
        <v/>
      </c>
      <c r="Q582" s="242" t="str">
        <f t="shared" si="77"/>
        <v/>
      </c>
      <c r="R582" s="243" t="str">
        <f t="shared" si="80"/>
        <v/>
      </c>
      <c r="S582" s="244" t="str">
        <f t="shared" si="78"/>
        <v/>
      </c>
      <c r="T582" s="245" t="str">
        <f t="shared" si="81"/>
        <v/>
      </c>
      <c r="U582" s="246" t="str">
        <f t="shared" si="79"/>
        <v/>
      </c>
      <c r="V582" s="8"/>
      <c r="AR582" t="str">
        <f t="shared" si="75"/>
        <v/>
      </c>
      <c r="AS582" t="str">
        <f t="shared" si="74"/>
        <v/>
      </c>
    </row>
    <row r="583" spans="1:45" x14ac:dyDescent="0.3">
      <c r="A583" s="231"/>
      <c r="B583" s="235"/>
      <c r="C583" s="214"/>
      <c r="D583" s="214"/>
      <c r="E583" s="214"/>
      <c r="F583" s="214"/>
      <c r="G583" s="222"/>
      <c r="H583" s="221"/>
      <c r="I583" s="213"/>
      <c r="J583" s="213"/>
      <c r="K583" s="215"/>
      <c r="L583" s="216"/>
      <c r="M583" s="217"/>
      <c r="O583" s="241" t="str">
        <f>IF(Q583 = "", "", COUNT(Q$4:$Q583))</f>
        <v/>
      </c>
      <c r="P583" s="241" t="str">
        <f t="shared" si="76"/>
        <v/>
      </c>
      <c r="Q583" s="242" t="str">
        <f t="shared" si="77"/>
        <v/>
      </c>
      <c r="R583" s="243" t="str">
        <f t="shared" si="80"/>
        <v/>
      </c>
      <c r="S583" s="244" t="str">
        <f t="shared" si="78"/>
        <v/>
      </c>
      <c r="T583" s="245" t="str">
        <f t="shared" si="81"/>
        <v/>
      </c>
      <c r="U583" s="246" t="str">
        <f t="shared" si="79"/>
        <v/>
      </c>
      <c r="V583" s="8"/>
      <c r="AR583" t="str">
        <f t="shared" si="75"/>
        <v/>
      </c>
      <c r="AS583" t="str">
        <f t="shared" si="74"/>
        <v/>
      </c>
    </row>
    <row r="584" spans="1:45" x14ac:dyDescent="0.3">
      <c r="A584" s="231"/>
      <c r="B584" s="235"/>
      <c r="C584" s="214"/>
      <c r="D584" s="214"/>
      <c r="E584" s="214"/>
      <c r="F584" s="214"/>
      <c r="G584" s="222"/>
      <c r="H584" s="221"/>
      <c r="I584" s="213"/>
      <c r="J584" s="213"/>
      <c r="K584" s="215"/>
      <c r="L584" s="216"/>
      <c r="M584" s="217"/>
      <c r="O584" s="241" t="str">
        <f>IF(Q584 = "", "", COUNT(Q$4:$Q584))</f>
        <v/>
      </c>
      <c r="P584" s="241" t="str">
        <f t="shared" si="76"/>
        <v/>
      </c>
      <c r="Q584" s="242" t="str">
        <f t="shared" si="77"/>
        <v/>
      </c>
      <c r="R584" s="243" t="str">
        <f t="shared" si="80"/>
        <v/>
      </c>
      <c r="S584" s="244" t="str">
        <f t="shared" si="78"/>
        <v/>
      </c>
      <c r="T584" s="245" t="str">
        <f t="shared" si="81"/>
        <v/>
      </c>
      <c r="U584" s="246" t="str">
        <f t="shared" si="79"/>
        <v/>
      </c>
      <c r="V584" s="8"/>
      <c r="AR584" t="str">
        <f t="shared" si="75"/>
        <v/>
      </c>
      <c r="AS584" t="str">
        <f t="shared" si="74"/>
        <v/>
      </c>
    </row>
    <row r="585" spans="1:45" x14ac:dyDescent="0.3">
      <c r="A585" s="231"/>
      <c r="B585" s="235"/>
      <c r="C585" s="214"/>
      <c r="D585" s="214"/>
      <c r="E585" s="214"/>
      <c r="F585" s="214"/>
      <c r="G585" s="222"/>
      <c r="H585" s="221"/>
      <c r="I585" s="213"/>
      <c r="J585" s="213"/>
      <c r="K585" s="215"/>
      <c r="L585" s="216"/>
      <c r="M585" s="217"/>
      <c r="O585" s="241" t="str">
        <f>IF(Q585 = "", "", COUNT(Q$4:$Q585))</f>
        <v/>
      </c>
      <c r="P585" s="241" t="str">
        <f t="shared" si="76"/>
        <v/>
      </c>
      <c r="Q585" s="242" t="str">
        <f t="shared" si="77"/>
        <v/>
      </c>
      <c r="R585" s="243" t="str">
        <f t="shared" si="80"/>
        <v/>
      </c>
      <c r="S585" s="244" t="str">
        <f t="shared" si="78"/>
        <v/>
      </c>
      <c r="T585" s="245" t="str">
        <f t="shared" si="81"/>
        <v/>
      </c>
      <c r="U585" s="246" t="str">
        <f t="shared" si="79"/>
        <v/>
      </c>
      <c r="V585" s="8"/>
      <c r="AR585" t="str">
        <f t="shared" si="75"/>
        <v/>
      </c>
      <c r="AS585" t="str">
        <f t="shared" si="74"/>
        <v/>
      </c>
    </row>
    <row r="586" spans="1:45" x14ac:dyDescent="0.3">
      <c r="A586" s="231"/>
      <c r="B586" s="235"/>
      <c r="C586" s="214"/>
      <c r="D586" s="214"/>
      <c r="E586" s="214"/>
      <c r="F586" s="214"/>
      <c r="G586" s="222"/>
      <c r="H586" s="221"/>
      <c r="I586" s="213"/>
      <c r="J586" s="213"/>
      <c r="K586" s="215"/>
      <c r="L586" s="216"/>
      <c r="M586" s="217"/>
      <c r="O586" s="241" t="str">
        <f>IF(Q586 = "", "", COUNT(Q$4:$Q586))</f>
        <v/>
      </c>
      <c r="P586" s="241" t="str">
        <f t="shared" si="76"/>
        <v/>
      </c>
      <c r="Q586" s="242" t="str">
        <f t="shared" si="77"/>
        <v/>
      </c>
      <c r="R586" s="243" t="str">
        <f t="shared" si="80"/>
        <v/>
      </c>
      <c r="S586" s="244" t="str">
        <f t="shared" si="78"/>
        <v/>
      </c>
      <c r="T586" s="245" t="str">
        <f t="shared" si="81"/>
        <v/>
      </c>
      <c r="U586" s="246" t="str">
        <f t="shared" si="79"/>
        <v/>
      </c>
      <c r="V586" s="8"/>
      <c r="AR586" t="str">
        <f t="shared" si="75"/>
        <v/>
      </c>
      <c r="AS586" t="str">
        <f t="shared" si="74"/>
        <v/>
      </c>
    </row>
    <row r="587" spans="1:45" x14ac:dyDescent="0.3">
      <c r="A587" s="231"/>
      <c r="B587" s="235"/>
      <c r="C587" s="214"/>
      <c r="D587" s="214"/>
      <c r="E587" s="214"/>
      <c r="F587" s="214"/>
      <c r="G587" s="222"/>
      <c r="H587" s="221"/>
      <c r="I587" s="213"/>
      <c r="J587" s="213"/>
      <c r="K587" s="215"/>
      <c r="L587" s="216"/>
      <c r="M587" s="217"/>
      <c r="O587" s="241" t="str">
        <f>IF(Q587 = "", "", COUNT(Q$4:$Q587))</f>
        <v/>
      </c>
      <c r="P587" s="241" t="str">
        <f t="shared" si="76"/>
        <v/>
      </c>
      <c r="Q587" s="242" t="str">
        <f t="shared" si="77"/>
        <v/>
      </c>
      <c r="R587" s="243" t="str">
        <f t="shared" si="80"/>
        <v/>
      </c>
      <c r="S587" s="244" t="str">
        <f t="shared" si="78"/>
        <v/>
      </c>
      <c r="T587" s="245" t="str">
        <f t="shared" si="81"/>
        <v/>
      </c>
      <c r="U587" s="246" t="str">
        <f t="shared" si="79"/>
        <v/>
      </c>
      <c r="V587" s="8"/>
      <c r="AR587" t="str">
        <f t="shared" si="75"/>
        <v/>
      </c>
      <c r="AS587" t="str">
        <f t="shared" si="74"/>
        <v/>
      </c>
    </row>
    <row r="588" spans="1:45" x14ac:dyDescent="0.3">
      <c r="A588" s="231"/>
      <c r="B588" s="235"/>
      <c r="C588" s="214"/>
      <c r="D588" s="214"/>
      <c r="E588" s="214"/>
      <c r="F588" s="214"/>
      <c r="G588" s="222"/>
      <c r="H588" s="221"/>
      <c r="I588" s="213"/>
      <c r="J588" s="213"/>
      <c r="K588" s="215"/>
      <c r="L588" s="216"/>
      <c r="M588" s="217"/>
      <c r="O588" s="241" t="str">
        <f>IF(Q588 = "", "", COUNT(Q$4:$Q588))</f>
        <v/>
      </c>
      <c r="P588" s="241" t="str">
        <f t="shared" si="76"/>
        <v/>
      </c>
      <c r="Q588" s="242" t="str">
        <f t="shared" si="77"/>
        <v/>
      </c>
      <c r="R588" s="243" t="str">
        <f t="shared" si="80"/>
        <v/>
      </c>
      <c r="S588" s="244" t="str">
        <f t="shared" si="78"/>
        <v/>
      </c>
      <c r="T588" s="245" t="str">
        <f t="shared" si="81"/>
        <v/>
      </c>
      <c r="U588" s="246" t="str">
        <f t="shared" si="79"/>
        <v/>
      </c>
      <c r="V588" s="8"/>
      <c r="AR588" t="str">
        <f t="shared" si="75"/>
        <v/>
      </c>
      <c r="AS588" t="str">
        <f t="shared" si="74"/>
        <v/>
      </c>
    </row>
    <row r="589" spans="1:45" x14ac:dyDescent="0.3">
      <c r="A589" s="231"/>
      <c r="B589" s="235"/>
      <c r="C589" s="214"/>
      <c r="D589" s="214"/>
      <c r="E589" s="214"/>
      <c r="F589" s="214"/>
      <c r="G589" s="222"/>
      <c r="H589" s="221"/>
      <c r="I589" s="213"/>
      <c r="J589" s="213"/>
      <c r="K589" s="215"/>
      <c r="L589" s="216"/>
      <c r="M589" s="217"/>
      <c r="O589" s="241" t="str">
        <f>IF(Q589 = "", "", COUNT(Q$4:$Q589))</f>
        <v/>
      </c>
      <c r="P589" s="241" t="str">
        <f t="shared" si="76"/>
        <v/>
      </c>
      <c r="Q589" s="242" t="str">
        <f t="shared" si="77"/>
        <v/>
      </c>
      <c r="R589" s="243" t="str">
        <f t="shared" si="80"/>
        <v/>
      </c>
      <c r="S589" s="244" t="str">
        <f t="shared" si="78"/>
        <v/>
      </c>
      <c r="T589" s="245" t="str">
        <f t="shared" si="81"/>
        <v/>
      </c>
      <c r="U589" s="246" t="str">
        <f t="shared" si="79"/>
        <v/>
      </c>
      <c r="V589" s="8"/>
      <c r="AR589" t="str">
        <f t="shared" si="75"/>
        <v/>
      </c>
      <c r="AS589" t="str">
        <f t="shared" si="74"/>
        <v/>
      </c>
    </row>
    <row r="590" spans="1:45" x14ac:dyDescent="0.3">
      <c r="A590" s="231"/>
      <c r="B590" s="235"/>
      <c r="C590" s="214"/>
      <c r="D590" s="214"/>
      <c r="E590" s="214"/>
      <c r="F590" s="214"/>
      <c r="G590" s="222"/>
      <c r="H590" s="221"/>
      <c r="I590" s="213"/>
      <c r="J590" s="213"/>
      <c r="K590" s="215"/>
      <c r="L590" s="216"/>
      <c r="M590" s="217"/>
      <c r="O590" s="241" t="str">
        <f>IF(Q590 = "", "", COUNT(Q$4:$Q590))</f>
        <v/>
      </c>
      <c r="P590" s="241" t="str">
        <f t="shared" si="76"/>
        <v/>
      </c>
      <c r="Q590" s="242" t="str">
        <f t="shared" si="77"/>
        <v/>
      </c>
      <c r="R590" s="243" t="str">
        <f t="shared" si="80"/>
        <v/>
      </c>
      <c r="S590" s="244" t="str">
        <f t="shared" si="78"/>
        <v/>
      </c>
      <c r="T590" s="245" t="str">
        <f t="shared" si="81"/>
        <v/>
      </c>
      <c r="U590" s="246" t="str">
        <f t="shared" si="79"/>
        <v/>
      </c>
      <c r="V590" s="8"/>
      <c r="AR590" t="str">
        <f t="shared" si="75"/>
        <v/>
      </c>
      <c r="AS590" t="str">
        <f t="shared" si="74"/>
        <v/>
      </c>
    </row>
    <row r="591" spans="1:45" x14ac:dyDescent="0.3">
      <c r="A591" s="231"/>
      <c r="B591" s="235"/>
      <c r="C591" s="214"/>
      <c r="D591" s="214"/>
      <c r="E591" s="214"/>
      <c r="F591" s="214"/>
      <c r="G591" s="222"/>
      <c r="H591" s="221"/>
      <c r="I591" s="213"/>
      <c r="J591" s="213"/>
      <c r="K591" s="215"/>
      <c r="L591" s="216"/>
      <c r="M591" s="217"/>
      <c r="O591" s="241" t="str">
        <f>IF(Q591 = "", "", COUNT(Q$4:$Q591))</f>
        <v/>
      </c>
      <c r="P591" s="241" t="str">
        <f t="shared" si="76"/>
        <v/>
      </c>
      <c r="Q591" s="242" t="str">
        <f t="shared" si="77"/>
        <v/>
      </c>
      <c r="R591" s="243" t="str">
        <f t="shared" si="80"/>
        <v/>
      </c>
      <c r="S591" s="244" t="str">
        <f t="shared" si="78"/>
        <v/>
      </c>
      <c r="T591" s="245" t="str">
        <f t="shared" si="81"/>
        <v/>
      </c>
      <c r="U591" s="246" t="str">
        <f t="shared" si="79"/>
        <v/>
      </c>
      <c r="V591" s="8"/>
      <c r="AR591" t="str">
        <f t="shared" si="75"/>
        <v/>
      </c>
      <c r="AS591" t="str">
        <f t="shared" si="74"/>
        <v/>
      </c>
    </row>
    <row r="592" spans="1:45" x14ac:dyDescent="0.3">
      <c r="A592" s="231"/>
      <c r="B592" s="235"/>
      <c r="C592" s="214"/>
      <c r="D592" s="214"/>
      <c r="E592" s="214"/>
      <c r="F592" s="214"/>
      <c r="G592" s="222"/>
      <c r="H592" s="221"/>
      <c r="I592" s="213"/>
      <c r="J592" s="213"/>
      <c r="K592" s="215"/>
      <c r="L592" s="216"/>
      <c r="M592" s="217"/>
      <c r="O592" s="241" t="str">
        <f>IF(Q592 = "", "", COUNT(Q$4:$Q592))</f>
        <v/>
      </c>
      <c r="P592" s="241" t="str">
        <f t="shared" si="76"/>
        <v/>
      </c>
      <c r="Q592" s="242" t="str">
        <f t="shared" si="77"/>
        <v/>
      </c>
      <c r="R592" s="243" t="str">
        <f t="shared" si="80"/>
        <v/>
      </c>
      <c r="S592" s="244" t="str">
        <f t="shared" si="78"/>
        <v/>
      </c>
      <c r="T592" s="245" t="str">
        <f t="shared" si="81"/>
        <v/>
      </c>
      <c r="U592" s="246" t="str">
        <f t="shared" si="79"/>
        <v/>
      </c>
      <c r="V592" s="8"/>
      <c r="AR592" t="str">
        <f t="shared" si="75"/>
        <v/>
      </c>
      <c r="AS592" t="str">
        <f t="shared" si="74"/>
        <v/>
      </c>
    </row>
    <row r="593" spans="1:45" x14ac:dyDescent="0.3">
      <c r="A593" s="231"/>
      <c r="B593" s="235"/>
      <c r="C593" s="214"/>
      <c r="D593" s="214"/>
      <c r="E593" s="214"/>
      <c r="F593" s="214"/>
      <c r="G593" s="222"/>
      <c r="H593" s="221"/>
      <c r="I593" s="213"/>
      <c r="J593" s="213"/>
      <c r="K593" s="215"/>
      <c r="L593" s="216"/>
      <c r="M593" s="217"/>
      <c r="O593" s="241" t="str">
        <f>IF(Q593 = "", "", COUNT(Q$4:$Q593))</f>
        <v/>
      </c>
      <c r="P593" s="241" t="str">
        <f t="shared" si="76"/>
        <v/>
      </c>
      <c r="Q593" s="242" t="str">
        <f t="shared" si="77"/>
        <v/>
      </c>
      <c r="R593" s="243" t="str">
        <f t="shared" si="80"/>
        <v/>
      </c>
      <c r="S593" s="244" t="str">
        <f t="shared" si="78"/>
        <v/>
      </c>
      <c r="T593" s="245" t="str">
        <f t="shared" si="81"/>
        <v/>
      </c>
      <c r="U593" s="246" t="str">
        <f t="shared" si="79"/>
        <v/>
      </c>
      <c r="V593" s="8"/>
      <c r="AR593" t="str">
        <f t="shared" si="75"/>
        <v/>
      </c>
      <c r="AS593" t="str">
        <f t="shared" si="74"/>
        <v/>
      </c>
    </row>
    <row r="594" spans="1:45" x14ac:dyDescent="0.3">
      <c r="A594" s="231"/>
      <c r="B594" s="235"/>
      <c r="C594" s="214"/>
      <c r="D594" s="214"/>
      <c r="E594" s="214"/>
      <c r="F594" s="214"/>
      <c r="G594" s="222"/>
      <c r="H594" s="221"/>
      <c r="I594" s="213"/>
      <c r="J594" s="213"/>
      <c r="K594" s="215"/>
      <c r="L594" s="216"/>
      <c r="M594" s="217"/>
      <c r="O594" s="241" t="str">
        <f>IF(Q594 = "", "", COUNT(Q$4:$Q594))</f>
        <v/>
      </c>
      <c r="P594" s="241" t="str">
        <f t="shared" si="76"/>
        <v/>
      </c>
      <c r="Q594" s="242" t="str">
        <f t="shared" si="77"/>
        <v/>
      </c>
      <c r="R594" s="243" t="str">
        <f t="shared" si="80"/>
        <v/>
      </c>
      <c r="S594" s="244" t="str">
        <f t="shared" si="78"/>
        <v/>
      </c>
      <c r="T594" s="245" t="str">
        <f t="shared" si="81"/>
        <v/>
      </c>
      <c r="U594" s="246" t="str">
        <f t="shared" si="79"/>
        <v/>
      </c>
      <c r="V594" s="8"/>
      <c r="AR594" t="str">
        <f t="shared" si="75"/>
        <v/>
      </c>
      <c r="AS594" t="str">
        <f t="shared" si="74"/>
        <v/>
      </c>
    </row>
    <row r="595" spans="1:45" x14ac:dyDescent="0.3">
      <c r="A595" s="231"/>
      <c r="B595" s="235"/>
      <c r="C595" s="214"/>
      <c r="D595" s="214"/>
      <c r="E595" s="214"/>
      <c r="F595" s="214"/>
      <c r="G595" s="222"/>
      <c r="H595" s="221"/>
      <c r="I595" s="213"/>
      <c r="J595" s="213"/>
      <c r="K595" s="215"/>
      <c r="L595" s="216"/>
      <c r="M595" s="217"/>
      <c r="O595" s="241" t="str">
        <f>IF(Q595 = "", "", COUNT(Q$4:$Q595))</f>
        <v/>
      </c>
      <c r="P595" s="241" t="str">
        <f t="shared" si="76"/>
        <v/>
      </c>
      <c r="Q595" s="242" t="str">
        <f t="shared" si="77"/>
        <v/>
      </c>
      <c r="R595" s="243" t="str">
        <f t="shared" si="80"/>
        <v/>
      </c>
      <c r="S595" s="244" t="str">
        <f t="shared" si="78"/>
        <v/>
      </c>
      <c r="T595" s="245" t="str">
        <f t="shared" si="81"/>
        <v/>
      </c>
      <c r="U595" s="246" t="str">
        <f t="shared" si="79"/>
        <v/>
      </c>
      <c r="V595" s="8"/>
      <c r="AR595" t="str">
        <f t="shared" si="75"/>
        <v/>
      </c>
      <c r="AS595" t="str">
        <f t="shared" si="74"/>
        <v/>
      </c>
    </row>
    <row r="596" spans="1:45" x14ac:dyDescent="0.3">
      <c r="A596" s="231"/>
      <c r="B596" s="235"/>
      <c r="C596" s="214"/>
      <c r="D596" s="214"/>
      <c r="E596" s="214"/>
      <c r="F596" s="214"/>
      <c r="G596" s="222"/>
      <c r="H596" s="221"/>
      <c r="I596" s="213"/>
      <c r="J596" s="213"/>
      <c r="K596" s="215"/>
      <c r="L596" s="216"/>
      <c r="M596" s="217"/>
      <c r="O596" s="241" t="str">
        <f>IF(Q596 = "", "", COUNT(Q$4:$Q596))</f>
        <v/>
      </c>
      <c r="P596" s="241" t="str">
        <f t="shared" si="76"/>
        <v/>
      </c>
      <c r="Q596" s="242" t="str">
        <f t="shared" si="77"/>
        <v/>
      </c>
      <c r="R596" s="243" t="str">
        <f t="shared" si="80"/>
        <v/>
      </c>
      <c r="S596" s="244" t="str">
        <f t="shared" si="78"/>
        <v/>
      </c>
      <c r="T596" s="245" t="str">
        <f t="shared" si="81"/>
        <v/>
      </c>
      <c r="U596" s="246" t="str">
        <f t="shared" si="79"/>
        <v/>
      </c>
      <c r="V596" s="8"/>
      <c r="AR596" t="str">
        <f t="shared" si="75"/>
        <v/>
      </c>
      <c r="AS596" t="str">
        <f t="shared" si="74"/>
        <v/>
      </c>
    </row>
    <row r="597" spans="1:45" x14ac:dyDescent="0.3">
      <c r="A597" s="231"/>
      <c r="B597" s="235"/>
      <c r="C597" s="214"/>
      <c r="D597" s="214"/>
      <c r="E597" s="214"/>
      <c r="F597" s="214"/>
      <c r="G597" s="222"/>
      <c r="H597" s="221"/>
      <c r="I597" s="213"/>
      <c r="J597" s="213"/>
      <c r="K597" s="215"/>
      <c r="L597" s="216"/>
      <c r="M597" s="217"/>
      <c r="O597" s="241" t="str">
        <f>IF(Q597 = "", "", COUNT(Q$4:$Q597))</f>
        <v/>
      </c>
      <c r="P597" s="241" t="str">
        <f t="shared" si="76"/>
        <v/>
      </c>
      <c r="Q597" s="242" t="str">
        <f t="shared" si="77"/>
        <v/>
      </c>
      <c r="R597" s="243" t="str">
        <f t="shared" si="80"/>
        <v/>
      </c>
      <c r="S597" s="244" t="str">
        <f t="shared" si="78"/>
        <v/>
      </c>
      <c r="T597" s="245" t="str">
        <f t="shared" si="81"/>
        <v/>
      </c>
      <c r="U597" s="246" t="str">
        <f t="shared" si="79"/>
        <v/>
      </c>
      <c r="V597" s="8"/>
      <c r="AR597" t="str">
        <f t="shared" si="75"/>
        <v/>
      </c>
      <c r="AS597" t="str">
        <f t="shared" ref="AS597:AS660" si="82">IF(OR(L597="Y",M597="Y"),"Y","")</f>
        <v/>
      </c>
    </row>
    <row r="598" spans="1:45" x14ac:dyDescent="0.3">
      <c r="A598" s="231"/>
      <c r="B598" s="235"/>
      <c r="C598" s="214"/>
      <c r="D598" s="214"/>
      <c r="E598" s="214"/>
      <c r="F598" s="214"/>
      <c r="G598" s="222"/>
      <c r="H598" s="221"/>
      <c r="I598" s="213"/>
      <c r="J598" s="213"/>
      <c r="K598" s="215"/>
      <c r="L598" s="216"/>
      <c r="M598" s="217"/>
      <c r="O598" s="241" t="str">
        <f>IF(Q598 = "", "", COUNT(Q$4:$Q598))</f>
        <v/>
      </c>
      <c r="P598" s="241" t="str">
        <f t="shared" si="76"/>
        <v/>
      </c>
      <c r="Q598" s="242" t="str">
        <f t="shared" si="77"/>
        <v/>
      </c>
      <c r="R598" s="243" t="str">
        <f t="shared" si="80"/>
        <v/>
      </c>
      <c r="S598" s="244" t="str">
        <f t="shared" si="78"/>
        <v/>
      </c>
      <c r="T598" s="245" t="str">
        <f t="shared" si="81"/>
        <v/>
      </c>
      <c r="U598" s="246" t="str">
        <f t="shared" si="79"/>
        <v/>
      </c>
      <c r="V598" s="8"/>
      <c r="AR598" t="str">
        <f t="shared" ref="AR598:AR661" si="83">IF(O598&gt;0, O598, "")</f>
        <v/>
      </c>
      <c r="AS598" t="str">
        <f t="shared" si="82"/>
        <v/>
      </c>
    </row>
    <row r="599" spans="1:45" x14ac:dyDescent="0.3">
      <c r="A599" s="231"/>
      <c r="B599" s="235"/>
      <c r="C599" s="214"/>
      <c r="D599" s="214"/>
      <c r="E599" s="214"/>
      <c r="F599" s="214"/>
      <c r="G599" s="222"/>
      <c r="H599" s="221"/>
      <c r="I599" s="213"/>
      <c r="J599" s="213"/>
      <c r="K599" s="215"/>
      <c r="L599" s="216"/>
      <c r="M599" s="217"/>
      <c r="O599" s="241" t="str">
        <f>IF(Q599 = "", "", COUNT(Q$4:$Q599))</f>
        <v/>
      </c>
      <c r="P599" s="241" t="str">
        <f t="shared" si="76"/>
        <v/>
      </c>
      <c r="Q599" s="242" t="str">
        <f t="shared" si="77"/>
        <v/>
      </c>
      <c r="R599" s="243" t="str">
        <f t="shared" si="80"/>
        <v/>
      </c>
      <c r="S599" s="244" t="str">
        <f t="shared" si="78"/>
        <v/>
      </c>
      <c r="T599" s="245" t="str">
        <f t="shared" si="81"/>
        <v/>
      </c>
      <c r="U599" s="246" t="str">
        <f t="shared" si="79"/>
        <v/>
      </c>
      <c r="V599" s="8"/>
      <c r="AR599" t="str">
        <f t="shared" si="83"/>
        <v/>
      </c>
      <c r="AS599" t="str">
        <f t="shared" si="82"/>
        <v/>
      </c>
    </row>
    <row r="600" spans="1:45" x14ac:dyDescent="0.3">
      <c r="A600" s="231"/>
      <c r="B600" s="235"/>
      <c r="C600" s="214"/>
      <c r="D600" s="214"/>
      <c r="E600" s="214"/>
      <c r="F600" s="214"/>
      <c r="G600" s="222"/>
      <c r="H600" s="221"/>
      <c r="I600" s="213"/>
      <c r="J600" s="213"/>
      <c r="K600" s="215"/>
      <c r="L600" s="216"/>
      <c r="M600" s="217"/>
      <c r="O600" s="241" t="str">
        <f>IF(Q600 = "", "", COUNT(Q$4:$Q600))</f>
        <v/>
      </c>
      <c r="P600" s="241" t="str">
        <f t="shared" si="76"/>
        <v/>
      </c>
      <c r="Q600" s="242" t="str">
        <f t="shared" si="77"/>
        <v/>
      </c>
      <c r="R600" s="243" t="str">
        <f t="shared" si="80"/>
        <v/>
      </c>
      <c r="S600" s="244" t="str">
        <f t="shared" si="78"/>
        <v/>
      </c>
      <c r="T600" s="245" t="str">
        <f t="shared" si="81"/>
        <v/>
      </c>
      <c r="U600" s="246" t="str">
        <f t="shared" si="79"/>
        <v/>
      </c>
      <c r="V600" s="8"/>
      <c r="AR600" t="str">
        <f t="shared" si="83"/>
        <v/>
      </c>
      <c r="AS600" t="str">
        <f t="shared" si="82"/>
        <v/>
      </c>
    </row>
    <row r="601" spans="1:45" x14ac:dyDescent="0.3">
      <c r="A601" s="231"/>
      <c r="B601" s="235"/>
      <c r="C601" s="214"/>
      <c r="D601" s="214"/>
      <c r="E601" s="214"/>
      <c r="F601" s="214"/>
      <c r="G601" s="222"/>
      <c r="H601" s="221"/>
      <c r="I601" s="213"/>
      <c r="J601" s="213"/>
      <c r="K601" s="215"/>
      <c r="L601" s="216"/>
      <c r="M601" s="217"/>
      <c r="O601" s="241" t="str">
        <f>IF(Q601 = "", "", COUNT(Q$4:$Q601))</f>
        <v/>
      </c>
      <c r="P601" s="241" t="str">
        <f t="shared" si="76"/>
        <v/>
      </c>
      <c r="Q601" s="242" t="str">
        <f t="shared" si="77"/>
        <v/>
      </c>
      <c r="R601" s="243" t="str">
        <f t="shared" si="80"/>
        <v/>
      </c>
      <c r="S601" s="244" t="str">
        <f t="shared" si="78"/>
        <v/>
      </c>
      <c r="T601" s="245" t="str">
        <f t="shared" si="81"/>
        <v/>
      </c>
      <c r="U601" s="246" t="str">
        <f t="shared" si="79"/>
        <v/>
      </c>
      <c r="V601" s="8"/>
      <c r="AR601" t="str">
        <f t="shared" si="83"/>
        <v/>
      </c>
      <c r="AS601" t="str">
        <f t="shared" si="82"/>
        <v/>
      </c>
    </row>
    <row r="602" spans="1:45" x14ac:dyDescent="0.3">
      <c r="A602" s="231"/>
      <c r="B602" s="235"/>
      <c r="C602" s="214"/>
      <c r="D602" s="214"/>
      <c r="E602" s="214"/>
      <c r="F602" s="214"/>
      <c r="G602" s="222"/>
      <c r="H602" s="221"/>
      <c r="I602" s="213"/>
      <c r="J602" s="213"/>
      <c r="K602" s="215"/>
      <c r="L602" s="216"/>
      <c r="M602" s="217"/>
      <c r="O602" s="241" t="str">
        <f>IF(Q602 = "", "", COUNT(Q$4:$Q602))</f>
        <v/>
      </c>
      <c r="P602" s="241" t="str">
        <f t="shared" si="76"/>
        <v/>
      </c>
      <c r="Q602" s="242" t="str">
        <f t="shared" si="77"/>
        <v/>
      </c>
      <c r="R602" s="243" t="str">
        <f t="shared" si="80"/>
        <v/>
      </c>
      <c r="S602" s="244" t="str">
        <f t="shared" si="78"/>
        <v/>
      </c>
      <c r="T602" s="245" t="str">
        <f t="shared" si="81"/>
        <v/>
      </c>
      <c r="U602" s="246" t="str">
        <f t="shared" si="79"/>
        <v/>
      </c>
      <c r="V602" s="8"/>
      <c r="AR602" t="str">
        <f t="shared" si="83"/>
        <v/>
      </c>
      <c r="AS602" t="str">
        <f t="shared" si="82"/>
        <v/>
      </c>
    </row>
    <row r="603" spans="1:45" x14ac:dyDescent="0.3">
      <c r="A603" s="231"/>
      <c r="B603" s="235"/>
      <c r="C603" s="214"/>
      <c r="D603" s="214"/>
      <c r="E603" s="214"/>
      <c r="F603" s="214"/>
      <c r="G603" s="222"/>
      <c r="H603" s="221"/>
      <c r="I603" s="213"/>
      <c r="J603" s="213"/>
      <c r="K603" s="215"/>
      <c r="L603" s="216"/>
      <c r="M603" s="217"/>
      <c r="O603" s="241" t="str">
        <f>IF(Q603 = "", "", COUNT(Q$4:$Q603))</f>
        <v/>
      </c>
      <c r="P603" s="241" t="str">
        <f t="shared" si="76"/>
        <v/>
      </c>
      <c r="Q603" s="242" t="str">
        <f t="shared" si="77"/>
        <v/>
      </c>
      <c r="R603" s="243" t="str">
        <f t="shared" si="80"/>
        <v/>
      </c>
      <c r="S603" s="244" t="str">
        <f t="shared" si="78"/>
        <v/>
      </c>
      <c r="T603" s="245" t="str">
        <f t="shared" si="81"/>
        <v/>
      </c>
      <c r="U603" s="246" t="str">
        <f t="shared" si="79"/>
        <v/>
      </c>
      <c r="V603" s="8"/>
      <c r="AR603" t="str">
        <f t="shared" si="83"/>
        <v/>
      </c>
      <c r="AS603" t="str">
        <f t="shared" si="82"/>
        <v/>
      </c>
    </row>
    <row r="604" spans="1:45" x14ac:dyDescent="0.3">
      <c r="A604" s="231"/>
      <c r="B604" s="235"/>
      <c r="C604" s="214"/>
      <c r="D604" s="214"/>
      <c r="E604" s="214"/>
      <c r="F604" s="214"/>
      <c r="G604" s="222"/>
      <c r="H604" s="221"/>
      <c r="I604" s="213"/>
      <c r="J604" s="213"/>
      <c r="K604" s="215"/>
      <c r="L604" s="216"/>
      <c r="M604" s="217"/>
      <c r="O604" s="241" t="str">
        <f>IF(Q604 = "", "", COUNT(Q$4:$Q604))</f>
        <v/>
      </c>
      <c r="P604" s="241" t="str">
        <f t="shared" si="76"/>
        <v/>
      </c>
      <c r="Q604" s="242" t="str">
        <f t="shared" si="77"/>
        <v/>
      </c>
      <c r="R604" s="243" t="str">
        <f t="shared" si="80"/>
        <v/>
      </c>
      <c r="S604" s="244" t="str">
        <f t="shared" si="78"/>
        <v/>
      </c>
      <c r="T604" s="245" t="str">
        <f t="shared" si="81"/>
        <v/>
      </c>
      <c r="U604" s="246" t="str">
        <f t="shared" si="79"/>
        <v/>
      </c>
      <c r="V604" s="8"/>
      <c r="AR604" t="str">
        <f t="shared" si="83"/>
        <v/>
      </c>
      <c r="AS604" t="str">
        <f t="shared" si="82"/>
        <v/>
      </c>
    </row>
    <row r="605" spans="1:45" x14ac:dyDescent="0.3">
      <c r="A605" s="231"/>
      <c r="B605" s="235"/>
      <c r="C605" s="214"/>
      <c r="D605" s="214"/>
      <c r="E605" s="214"/>
      <c r="F605" s="214"/>
      <c r="G605" s="222"/>
      <c r="H605" s="221"/>
      <c r="I605" s="213"/>
      <c r="J605" s="213"/>
      <c r="K605" s="215"/>
      <c r="L605" s="216"/>
      <c r="M605" s="217"/>
      <c r="O605" s="241" t="str">
        <f>IF(Q605 = "", "", COUNT(Q$4:$Q605))</f>
        <v/>
      </c>
      <c r="P605" s="241" t="str">
        <f t="shared" si="76"/>
        <v/>
      </c>
      <c r="Q605" s="242" t="str">
        <f t="shared" si="77"/>
        <v/>
      </c>
      <c r="R605" s="243" t="str">
        <f t="shared" si="80"/>
        <v/>
      </c>
      <c r="S605" s="244" t="str">
        <f t="shared" si="78"/>
        <v/>
      </c>
      <c r="T605" s="245" t="str">
        <f t="shared" si="81"/>
        <v/>
      </c>
      <c r="U605" s="246" t="str">
        <f t="shared" si="79"/>
        <v/>
      </c>
      <c r="V605" s="8"/>
      <c r="AR605" t="str">
        <f t="shared" si="83"/>
        <v/>
      </c>
      <c r="AS605" t="str">
        <f t="shared" si="82"/>
        <v/>
      </c>
    </row>
    <row r="606" spans="1:45" x14ac:dyDescent="0.3">
      <c r="A606" s="231"/>
      <c r="B606" s="235"/>
      <c r="C606" s="214"/>
      <c r="D606" s="214"/>
      <c r="E606" s="214"/>
      <c r="F606" s="214"/>
      <c r="G606" s="222"/>
      <c r="H606" s="221"/>
      <c r="I606" s="213"/>
      <c r="J606" s="213"/>
      <c r="K606" s="215"/>
      <c r="L606" s="216"/>
      <c r="M606" s="217"/>
      <c r="O606" s="241" t="str">
        <f>IF(Q606 = "", "", COUNT(Q$4:$Q606))</f>
        <v/>
      </c>
      <c r="P606" s="241" t="str">
        <f t="shared" si="76"/>
        <v/>
      </c>
      <c r="Q606" s="242" t="str">
        <f t="shared" si="77"/>
        <v/>
      </c>
      <c r="R606" s="243" t="str">
        <f t="shared" si="80"/>
        <v/>
      </c>
      <c r="S606" s="244" t="str">
        <f t="shared" si="78"/>
        <v/>
      </c>
      <c r="T606" s="245" t="str">
        <f t="shared" si="81"/>
        <v/>
      </c>
      <c r="U606" s="246" t="str">
        <f t="shared" si="79"/>
        <v/>
      </c>
      <c r="V606" s="8"/>
      <c r="AR606" t="str">
        <f t="shared" si="83"/>
        <v/>
      </c>
      <c r="AS606" t="str">
        <f t="shared" si="82"/>
        <v/>
      </c>
    </row>
    <row r="607" spans="1:45" x14ac:dyDescent="0.3">
      <c r="A607" s="231"/>
      <c r="B607" s="235"/>
      <c r="C607" s="214"/>
      <c r="D607" s="214"/>
      <c r="E607" s="214"/>
      <c r="F607" s="214"/>
      <c r="G607" s="222"/>
      <c r="H607" s="221"/>
      <c r="I607" s="213"/>
      <c r="J607" s="213"/>
      <c r="K607" s="215"/>
      <c r="L607" s="216"/>
      <c r="M607" s="217"/>
      <c r="O607" s="241" t="str">
        <f>IF(Q607 = "", "", COUNT(Q$4:$Q607))</f>
        <v/>
      </c>
      <c r="P607" s="241" t="str">
        <f t="shared" si="76"/>
        <v/>
      </c>
      <c r="Q607" s="242" t="str">
        <f t="shared" si="77"/>
        <v/>
      </c>
      <c r="R607" s="243" t="str">
        <f t="shared" si="80"/>
        <v/>
      </c>
      <c r="S607" s="244" t="str">
        <f t="shared" si="78"/>
        <v/>
      </c>
      <c r="T607" s="245" t="str">
        <f t="shared" si="81"/>
        <v/>
      </c>
      <c r="U607" s="246" t="str">
        <f t="shared" si="79"/>
        <v/>
      </c>
      <c r="V607" s="8"/>
      <c r="AR607" t="str">
        <f t="shared" si="83"/>
        <v/>
      </c>
      <c r="AS607" t="str">
        <f t="shared" si="82"/>
        <v/>
      </c>
    </row>
    <row r="608" spans="1:45" x14ac:dyDescent="0.3">
      <c r="A608" s="231"/>
      <c r="B608" s="235"/>
      <c r="C608" s="214"/>
      <c r="D608" s="214"/>
      <c r="E608" s="214"/>
      <c r="F608" s="214"/>
      <c r="G608" s="222"/>
      <c r="H608" s="221"/>
      <c r="I608" s="213"/>
      <c r="J608" s="213"/>
      <c r="K608" s="215"/>
      <c r="L608" s="216"/>
      <c r="M608" s="217"/>
      <c r="O608" s="241" t="str">
        <f>IF(Q608 = "", "", COUNT(Q$4:$Q608))</f>
        <v/>
      </c>
      <c r="P608" s="241" t="str">
        <f t="shared" si="76"/>
        <v/>
      </c>
      <c r="Q608" s="242" t="str">
        <f t="shared" si="77"/>
        <v/>
      </c>
      <c r="R608" s="243" t="str">
        <f t="shared" si="80"/>
        <v/>
      </c>
      <c r="S608" s="244" t="str">
        <f t="shared" si="78"/>
        <v/>
      </c>
      <c r="T608" s="245" t="str">
        <f t="shared" si="81"/>
        <v/>
      </c>
      <c r="U608" s="246" t="str">
        <f t="shared" si="79"/>
        <v/>
      </c>
      <c r="V608" s="8"/>
      <c r="AR608" t="str">
        <f t="shared" si="83"/>
        <v/>
      </c>
      <c r="AS608" t="str">
        <f t="shared" si="82"/>
        <v/>
      </c>
    </row>
    <row r="609" spans="1:45" x14ac:dyDescent="0.3">
      <c r="A609" s="231"/>
      <c r="B609" s="235"/>
      <c r="C609" s="214"/>
      <c r="D609" s="214"/>
      <c r="E609" s="214"/>
      <c r="F609" s="214"/>
      <c r="G609" s="222"/>
      <c r="H609" s="221"/>
      <c r="I609" s="213"/>
      <c r="J609" s="213"/>
      <c r="K609" s="215"/>
      <c r="L609" s="216"/>
      <c r="M609" s="217"/>
      <c r="O609" s="241" t="str">
        <f>IF(Q609 = "", "", COUNT(Q$4:$Q609))</f>
        <v/>
      </c>
      <c r="P609" s="241" t="str">
        <f t="shared" si="76"/>
        <v/>
      </c>
      <c r="Q609" s="242" t="str">
        <f t="shared" si="77"/>
        <v/>
      </c>
      <c r="R609" s="243" t="str">
        <f t="shared" si="80"/>
        <v/>
      </c>
      <c r="S609" s="244" t="str">
        <f t="shared" si="78"/>
        <v/>
      </c>
      <c r="T609" s="245" t="str">
        <f t="shared" si="81"/>
        <v/>
      </c>
      <c r="U609" s="246" t="str">
        <f t="shared" si="79"/>
        <v/>
      </c>
      <c r="V609" s="8"/>
      <c r="AR609" t="str">
        <f t="shared" si="83"/>
        <v/>
      </c>
      <c r="AS609" t="str">
        <f t="shared" si="82"/>
        <v/>
      </c>
    </row>
    <row r="610" spans="1:45" x14ac:dyDescent="0.3">
      <c r="A610" s="231"/>
      <c r="B610" s="235"/>
      <c r="C610" s="214"/>
      <c r="D610" s="214"/>
      <c r="E610" s="214"/>
      <c r="F610" s="214"/>
      <c r="G610" s="222"/>
      <c r="H610" s="221"/>
      <c r="I610" s="213"/>
      <c r="J610" s="213"/>
      <c r="K610" s="215"/>
      <c r="L610" s="216"/>
      <c r="M610" s="217"/>
      <c r="O610" s="241" t="str">
        <f>IF(Q610 = "", "", COUNT(Q$4:$Q610))</f>
        <v/>
      </c>
      <c r="P610" s="241" t="str">
        <f t="shared" si="76"/>
        <v/>
      </c>
      <c r="Q610" s="242" t="str">
        <f t="shared" si="77"/>
        <v/>
      </c>
      <c r="R610" s="243" t="str">
        <f t="shared" si="80"/>
        <v/>
      </c>
      <c r="S610" s="244" t="str">
        <f t="shared" si="78"/>
        <v/>
      </c>
      <c r="T610" s="245" t="str">
        <f t="shared" si="81"/>
        <v/>
      </c>
      <c r="U610" s="246" t="str">
        <f t="shared" si="79"/>
        <v/>
      </c>
      <c r="V610" s="8"/>
      <c r="AR610" t="str">
        <f t="shared" si="83"/>
        <v/>
      </c>
      <c r="AS610" t="str">
        <f t="shared" si="82"/>
        <v/>
      </c>
    </row>
    <row r="611" spans="1:45" x14ac:dyDescent="0.3">
      <c r="A611" s="231"/>
      <c r="B611" s="235"/>
      <c r="C611" s="214"/>
      <c r="D611" s="214"/>
      <c r="E611" s="214"/>
      <c r="F611" s="214"/>
      <c r="G611" s="222"/>
      <c r="H611" s="221"/>
      <c r="I611" s="213"/>
      <c r="J611" s="213"/>
      <c r="K611" s="215"/>
      <c r="L611" s="216"/>
      <c r="M611" s="217"/>
      <c r="O611" s="241" t="str">
        <f>IF(Q611 = "", "", COUNT(Q$4:$Q611))</f>
        <v/>
      </c>
      <c r="P611" s="241" t="str">
        <f t="shared" si="76"/>
        <v/>
      </c>
      <c r="Q611" s="242" t="str">
        <f t="shared" si="77"/>
        <v/>
      </c>
      <c r="R611" s="243" t="str">
        <f t="shared" si="80"/>
        <v/>
      </c>
      <c r="S611" s="244" t="str">
        <f t="shared" si="78"/>
        <v/>
      </c>
      <c r="T611" s="245" t="str">
        <f t="shared" si="81"/>
        <v/>
      </c>
      <c r="U611" s="246" t="str">
        <f t="shared" si="79"/>
        <v/>
      </c>
      <c r="V611" s="8"/>
      <c r="AR611" t="str">
        <f t="shared" si="83"/>
        <v/>
      </c>
      <c r="AS611" t="str">
        <f t="shared" si="82"/>
        <v/>
      </c>
    </row>
    <row r="612" spans="1:45" x14ac:dyDescent="0.3">
      <c r="A612" s="231"/>
      <c r="B612" s="235"/>
      <c r="C612" s="214"/>
      <c r="D612" s="214"/>
      <c r="E612" s="214"/>
      <c r="F612" s="214"/>
      <c r="G612" s="222"/>
      <c r="H612" s="221"/>
      <c r="I612" s="213"/>
      <c r="J612" s="213"/>
      <c r="K612" s="215"/>
      <c r="L612" s="216"/>
      <c r="M612" s="217"/>
      <c r="O612" s="241" t="str">
        <f>IF(Q612 = "", "", COUNT(Q$4:$Q612))</f>
        <v/>
      </c>
      <c r="P612" s="241" t="str">
        <f t="shared" si="76"/>
        <v/>
      </c>
      <c r="Q612" s="242" t="str">
        <f t="shared" si="77"/>
        <v/>
      </c>
      <c r="R612" s="243" t="str">
        <f t="shared" si="80"/>
        <v/>
      </c>
      <c r="S612" s="244" t="str">
        <f t="shared" si="78"/>
        <v/>
      </c>
      <c r="T612" s="245" t="str">
        <f t="shared" si="81"/>
        <v/>
      </c>
      <c r="U612" s="246" t="str">
        <f t="shared" si="79"/>
        <v/>
      </c>
      <c r="V612" s="8"/>
      <c r="AR612" t="str">
        <f t="shared" si="83"/>
        <v/>
      </c>
      <c r="AS612" t="str">
        <f t="shared" si="82"/>
        <v/>
      </c>
    </row>
    <row r="613" spans="1:45" x14ac:dyDescent="0.3">
      <c r="A613" s="231"/>
      <c r="B613" s="235"/>
      <c r="C613" s="214"/>
      <c r="D613" s="214"/>
      <c r="E613" s="214"/>
      <c r="F613" s="214"/>
      <c r="G613" s="222"/>
      <c r="H613" s="221"/>
      <c r="I613" s="213"/>
      <c r="J613" s="213"/>
      <c r="K613" s="215"/>
      <c r="L613" s="216"/>
      <c r="M613" s="217"/>
      <c r="O613" s="241" t="str">
        <f>IF(Q613 = "", "", COUNT(Q$4:$Q613))</f>
        <v/>
      </c>
      <c r="P613" s="241" t="str">
        <f t="shared" si="76"/>
        <v/>
      </c>
      <c r="Q613" s="242" t="str">
        <f t="shared" si="77"/>
        <v/>
      </c>
      <c r="R613" s="243" t="str">
        <f t="shared" si="80"/>
        <v/>
      </c>
      <c r="S613" s="244" t="str">
        <f t="shared" si="78"/>
        <v/>
      </c>
      <c r="T613" s="245" t="str">
        <f t="shared" si="81"/>
        <v/>
      </c>
      <c r="U613" s="246" t="str">
        <f t="shared" si="79"/>
        <v/>
      </c>
      <c r="V613" s="8"/>
      <c r="AR613" t="str">
        <f t="shared" si="83"/>
        <v/>
      </c>
      <c r="AS613" t="str">
        <f t="shared" si="82"/>
        <v/>
      </c>
    </row>
    <row r="614" spans="1:45" x14ac:dyDescent="0.3">
      <c r="A614" s="231"/>
      <c r="B614" s="235"/>
      <c r="C614" s="214"/>
      <c r="D614" s="214"/>
      <c r="E614" s="214"/>
      <c r="F614" s="214"/>
      <c r="G614" s="222"/>
      <c r="H614" s="221"/>
      <c r="I614" s="213"/>
      <c r="J614" s="213"/>
      <c r="K614" s="215"/>
      <c r="L614" s="216"/>
      <c r="M614" s="217"/>
      <c r="O614" s="241" t="str">
        <f>IF(Q614 = "", "", COUNT(Q$4:$Q614))</f>
        <v/>
      </c>
      <c r="P614" s="241" t="str">
        <f t="shared" si="76"/>
        <v/>
      </c>
      <c r="Q614" s="242" t="str">
        <f t="shared" si="77"/>
        <v/>
      </c>
      <c r="R614" s="243" t="str">
        <f t="shared" si="80"/>
        <v/>
      </c>
      <c r="S614" s="244" t="str">
        <f t="shared" si="78"/>
        <v/>
      </c>
      <c r="T614" s="245" t="str">
        <f t="shared" si="81"/>
        <v/>
      </c>
      <c r="U614" s="246" t="str">
        <f t="shared" si="79"/>
        <v/>
      </c>
      <c r="V614" s="8"/>
      <c r="AR614" t="str">
        <f t="shared" si="83"/>
        <v/>
      </c>
      <c r="AS614" t="str">
        <f t="shared" si="82"/>
        <v/>
      </c>
    </row>
    <row r="615" spans="1:45" x14ac:dyDescent="0.3">
      <c r="A615" s="231"/>
      <c r="B615" s="235"/>
      <c r="C615" s="214"/>
      <c r="D615" s="214"/>
      <c r="E615" s="214"/>
      <c r="F615" s="214"/>
      <c r="G615" s="222"/>
      <c r="H615" s="221"/>
      <c r="I615" s="213"/>
      <c r="J615" s="213"/>
      <c r="K615" s="215"/>
      <c r="L615" s="216"/>
      <c r="M615" s="217"/>
      <c r="O615" s="241" t="str">
        <f>IF(Q615 = "", "", COUNT(Q$4:$Q615))</f>
        <v/>
      </c>
      <c r="P615" s="241" t="str">
        <f t="shared" si="76"/>
        <v/>
      </c>
      <c r="Q615" s="242" t="str">
        <f t="shared" si="77"/>
        <v/>
      </c>
      <c r="R615" s="243" t="str">
        <f t="shared" si="80"/>
        <v/>
      </c>
      <c r="S615" s="244" t="str">
        <f t="shared" si="78"/>
        <v/>
      </c>
      <c r="T615" s="245" t="str">
        <f t="shared" si="81"/>
        <v/>
      </c>
      <c r="U615" s="246" t="str">
        <f t="shared" si="79"/>
        <v/>
      </c>
      <c r="V615" s="8"/>
      <c r="AR615" t="str">
        <f t="shared" si="83"/>
        <v/>
      </c>
      <c r="AS615" t="str">
        <f t="shared" si="82"/>
        <v/>
      </c>
    </row>
    <row r="616" spans="1:45" x14ac:dyDescent="0.3">
      <c r="A616" s="231"/>
      <c r="B616" s="235"/>
      <c r="C616" s="214"/>
      <c r="D616" s="214"/>
      <c r="E616" s="214"/>
      <c r="F616" s="214"/>
      <c r="G616" s="222"/>
      <c r="H616" s="221"/>
      <c r="I616" s="213"/>
      <c r="J616" s="213"/>
      <c r="K616" s="215"/>
      <c r="L616" s="216"/>
      <c r="M616" s="217"/>
      <c r="O616" s="241" t="str">
        <f>IF(Q616 = "", "", COUNT(Q$4:$Q616))</f>
        <v/>
      </c>
      <c r="P616" s="241" t="str">
        <f t="shared" si="76"/>
        <v/>
      </c>
      <c r="Q616" s="242" t="str">
        <f t="shared" si="77"/>
        <v/>
      </c>
      <c r="R616" s="243" t="str">
        <f t="shared" si="80"/>
        <v/>
      </c>
      <c r="S616" s="244" t="str">
        <f t="shared" si="78"/>
        <v/>
      </c>
      <c r="T616" s="245" t="str">
        <f t="shared" si="81"/>
        <v/>
      </c>
      <c r="U616" s="246" t="str">
        <f t="shared" si="79"/>
        <v/>
      </c>
      <c r="V616" s="8"/>
      <c r="AR616" t="str">
        <f t="shared" si="83"/>
        <v/>
      </c>
      <c r="AS616" t="str">
        <f t="shared" si="82"/>
        <v/>
      </c>
    </row>
    <row r="617" spans="1:45" x14ac:dyDescent="0.3">
      <c r="A617" s="231"/>
      <c r="B617" s="235"/>
      <c r="C617" s="214"/>
      <c r="D617" s="214"/>
      <c r="E617" s="214"/>
      <c r="F617" s="214"/>
      <c r="G617" s="222"/>
      <c r="H617" s="221"/>
      <c r="I617" s="213"/>
      <c r="J617" s="213"/>
      <c r="K617" s="215"/>
      <c r="L617" s="216"/>
      <c r="M617" s="217"/>
      <c r="O617" s="241" t="str">
        <f>IF(Q617 = "", "", COUNT(Q$4:$Q617))</f>
        <v/>
      </c>
      <c r="P617" s="241" t="str">
        <f t="shared" si="76"/>
        <v/>
      </c>
      <c r="Q617" s="242" t="str">
        <f t="shared" si="77"/>
        <v/>
      </c>
      <c r="R617" s="243" t="str">
        <f t="shared" si="80"/>
        <v/>
      </c>
      <c r="S617" s="244" t="str">
        <f t="shared" si="78"/>
        <v/>
      </c>
      <c r="T617" s="245" t="str">
        <f t="shared" si="81"/>
        <v/>
      </c>
      <c r="U617" s="246" t="str">
        <f t="shared" si="79"/>
        <v/>
      </c>
      <c r="V617" s="8"/>
      <c r="AR617" t="str">
        <f t="shared" si="83"/>
        <v/>
      </c>
      <c r="AS617" t="str">
        <f t="shared" si="82"/>
        <v/>
      </c>
    </row>
    <row r="618" spans="1:45" x14ac:dyDescent="0.3">
      <c r="A618" s="231"/>
      <c r="B618" s="235"/>
      <c r="C618" s="214"/>
      <c r="D618" s="214"/>
      <c r="E618" s="214"/>
      <c r="F618" s="214"/>
      <c r="G618" s="222"/>
      <c r="H618" s="221"/>
      <c r="I618" s="213"/>
      <c r="J618" s="213"/>
      <c r="K618" s="215"/>
      <c r="L618" s="216"/>
      <c r="M618" s="217"/>
      <c r="O618" s="241" t="str">
        <f>IF(Q618 = "", "", COUNT(Q$4:$Q618))</f>
        <v/>
      </c>
      <c r="P618" s="241" t="str">
        <f t="shared" si="76"/>
        <v/>
      </c>
      <c r="Q618" s="242" t="str">
        <f t="shared" si="77"/>
        <v/>
      </c>
      <c r="R618" s="243" t="str">
        <f t="shared" si="80"/>
        <v/>
      </c>
      <c r="S618" s="244" t="str">
        <f t="shared" si="78"/>
        <v/>
      </c>
      <c r="T618" s="245" t="str">
        <f t="shared" si="81"/>
        <v/>
      </c>
      <c r="U618" s="246" t="str">
        <f t="shared" si="79"/>
        <v/>
      </c>
      <c r="V618" s="8"/>
      <c r="AR618" t="str">
        <f t="shared" si="83"/>
        <v/>
      </c>
      <c r="AS618" t="str">
        <f t="shared" si="82"/>
        <v/>
      </c>
    </row>
    <row r="619" spans="1:45" x14ac:dyDescent="0.3">
      <c r="A619" s="231"/>
      <c r="B619" s="235"/>
      <c r="C619" s="214"/>
      <c r="D619" s="214"/>
      <c r="E619" s="214"/>
      <c r="F619" s="214"/>
      <c r="G619" s="222"/>
      <c r="H619" s="221"/>
      <c r="I619" s="213"/>
      <c r="J619" s="213"/>
      <c r="K619" s="215"/>
      <c r="L619" s="216"/>
      <c r="M619" s="217"/>
      <c r="O619" s="241" t="str">
        <f>IF(Q619 = "", "", COUNT(Q$4:$Q619))</f>
        <v/>
      </c>
      <c r="P619" s="241" t="str">
        <f t="shared" si="76"/>
        <v/>
      </c>
      <c r="Q619" s="242" t="str">
        <f t="shared" si="77"/>
        <v/>
      </c>
      <c r="R619" s="243" t="str">
        <f t="shared" si="80"/>
        <v/>
      </c>
      <c r="S619" s="244" t="str">
        <f t="shared" si="78"/>
        <v/>
      </c>
      <c r="T619" s="245" t="str">
        <f t="shared" si="81"/>
        <v/>
      </c>
      <c r="U619" s="246" t="str">
        <f t="shared" si="79"/>
        <v/>
      </c>
      <c r="V619" s="8"/>
      <c r="AR619" t="str">
        <f t="shared" si="83"/>
        <v/>
      </c>
      <c r="AS619" t="str">
        <f t="shared" si="82"/>
        <v/>
      </c>
    </row>
    <row r="620" spans="1:45" x14ac:dyDescent="0.3">
      <c r="A620" s="231"/>
      <c r="B620" s="235"/>
      <c r="C620" s="214"/>
      <c r="D620" s="214"/>
      <c r="E620" s="214"/>
      <c r="F620" s="214"/>
      <c r="G620" s="222"/>
      <c r="H620" s="221"/>
      <c r="I620" s="213"/>
      <c r="J620" s="213"/>
      <c r="K620" s="215"/>
      <c r="L620" s="216"/>
      <c r="M620" s="217"/>
      <c r="O620" s="241" t="str">
        <f>IF(Q620 = "", "", COUNT(Q$4:$Q620))</f>
        <v/>
      </c>
      <c r="P620" s="241" t="str">
        <f t="shared" si="76"/>
        <v/>
      </c>
      <c r="Q620" s="242" t="str">
        <f t="shared" si="77"/>
        <v/>
      </c>
      <c r="R620" s="243" t="str">
        <f t="shared" si="80"/>
        <v/>
      </c>
      <c r="S620" s="244" t="str">
        <f t="shared" si="78"/>
        <v/>
      </c>
      <c r="T620" s="245" t="str">
        <f t="shared" si="81"/>
        <v/>
      </c>
      <c r="U620" s="246" t="str">
        <f t="shared" si="79"/>
        <v/>
      </c>
      <c r="V620" s="8"/>
      <c r="AR620" t="str">
        <f t="shared" si="83"/>
        <v/>
      </c>
      <c r="AS620" t="str">
        <f t="shared" si="82"/>
        <v/>
      </c>
    </row>
    <row r="621" spans="1:45" x14ac:dyDescent="0.3">
      <c r="A621" s="231"/>
      <c r="B621" s="235"/>
      <c r="C621" s="214"/>
      <c r="D621" s="214"/>
      <c r="E621" s="214"/>
      <c r="F621" s="214"/>
      <c r="G621" s="222"/>
      <c r="H621" s="221"/>
      <c r="I621" s="213"/>
      <c r="J621" s="213"/>
      <c r="K621" s="215"/>
      <c r="L621" s="216"/>
      <c r="M621" s="217"/>
      <c r="O621" s="241" t="str">
        <f>IF(Q621 = "", "", COUNT(Q$4:$Q621))</f>
        <v/>
      </c>
      <c r="P621" s="241" t="str">
        <f t="shared" si="76"/>
        <v/>
      </c>
      <c r="Q621" s="242" t="str">
        <f t="shared" si="77"/>
        <v/>
      </c>
      <c r="R621" s="243" t="str">
        <f t="shared" si="80"/>
        <v/>
      </c>
      <c r="S621" s="244" t="str">
        <f t="shared" si="78"/>
        <v/>
      </c>
      <c r="T621" s="245" t="str">
        <f t="shared" si="81"/>
        <v/>
      </c>
      <c r="U621" s="246" t="str">
        <f t="shared" si="79"/>
        <v/>
      </c>
      <c r="V621" s="8"/>
      <c r="AR621" t="str">
        <f t="shared" si="83"/>
        <v/>
      </c>
      <c r="AS621" t="str">
        <f t="shared" si="82"/>
        <v/>
      </c>
    </row>
    <row r="622" spans="1:45" x14ac:dyDescent="0.3">
      <c r="A622" s="231"/>
      <c r="B622" s="235"/>
      <c r="C622" s="214"/>
      <c r="D622" s="214"/>
      <c r="E622" s="214"/>
      <c r="F622" s="214"/>
      <c r="G622" s="222"/>
      <c r="H622" s="221"/>
      <c r="I622" s="213"/>
      <c r="J622" s="213"/>
      <c r="K622" s="215"/>
      <c r="L622" s="216"/>
      <c r="M622" s="217"/>
      <c r="O622" s="241" t="str">
        <f>IF(Q622 = "", "", COUNT(Q$4:$Q622))</f>
        <v/>
      </c>
      <c r="P622" s="241" t="str">
        <f t="shared" si="76"/>
        <v/>
      </c>
      <c r="Q622" s="242" t="str">
        <f t="shared" si="77"/>
        <v/>
      </c>
      <c r="R622" s="243" t="str">
        <f t="shared" si="80"/>
        <v/>
      </c>
      <c r="S622" s="244" t="str">
        <f t="shared" si="78"/>
        <v/>
      </c>
      <c r="T622" s="245" t="str">
        <f t="shared" si="81"/>
        <v/>
      </c>
      <c r="U622" s="246" t="str">
        <f t="shared" si="79"/>
        <v/>
      </c>
      <c r="V622" s="8"/>
      <c r="AR622" t="str">
        <f t="shared" si="83"/>
        <v/>
      </c>
      <c r="AS622" t="str">
        <f t="shared" si="82"/>
        <v/>
      </c>
    </row>
    <row r="623" spans="1:45" x14ac:dyDescent="0.3">
      <c r="A623" s="231"/>
      <c r="B623" s="235"/>
      <c r="C623" s="214"/>
      <c r="D623" s="214"/>
      <c r="E623" s="214"/>
      <c r="F623" s="214"/>
      <c r="G623" s="222"/>
      <c r="H623" s="221"/>
      <c r="I623" s="213"/>
      <c r="J623" s="213"/>
      <c r="K623" s="215"/>
      <c r="L623" s="216"/>
      <c r="M623" s="217"/>
      <c r="O623" s="241" t="str">
        <f>IF(Q623 = "", "", COUNT(Q$4:$Q623))</f>
        <v/>
      </c>
      <c r="P623" s="241" t="str">
        <f t="shared" si="76"/>
        <v/>
      </c>
      <c r="Q623" s="242" t="str">
        <f t="shared" si="77"/>
        <v/>
      </c>
      <c r="R623" s="243" t="str">
        <f t="shared" si="80"/>
        <v/>
      </c>
      <c r="S623" s="244" t="str">
        <f t="shared" si="78"/>
        <v/>
      </c>
      <c r="T623" s="245" t="str">
        <f t="shared" si="81"/>
        <v/>
      </c>
      <c r="U623" s="246" t="str">
        <f t="shared" si="79"/>
        <v/>
      </c>
      <c r="V623" s="8"/>
      <c r="AR623" t="str">
        <f t="shared" si="83"/>
        <v/>
      </c>
      <c r="AS623" t="str">
        <f t="shared" si="82"/>
        <v/>
      </c>
    </row>
    <row r="624" spans="1:45" x14ac:dyDescent="0.3">
      <c r="A624" s="231"/>
      <c r="B624" s="235"/>
      <c r="C624" s="214"/>
      <c r="D624" s="214"/>
      <c r="E624" s="214"/>
      <c r="F624" s="214"/>
      <c r="G624" s="222"/>
      <c r="H624" s="221"/>
      <c r="I624" s="213"/>
      <c r="J624" s="213"/>
      <c r="K624" s="215"/>
      <c r="L624" s="216"/>
      <c r="M624" s="217"/>
      <c r="O624" s="241" t="str">
        <f>IF(Q624 = "", "", COUNT(Q$4:$Q624))</f>
        <v/>
      </c>
      <c r="P624" s="241" t="str">
        <f t="shared" si="76"/>
        <v/>
      </c>
      <c r="Q624" s="242" t="str">
        <f t="shared" si="77"/>
        <v/>
      </c>
      <c r="R624" s="243" t="str">
        <f t="shared" si="80"/>
        <v/>
      </c>
      <c r="S624" s="244" t="str">
        <f t="shared" si="78"/>
        <v/>
      </c>
      <c r="T624" s="245" t="str">
        <f t="shared" si="81"/>
        <v/>
      </c>
      <c r="U624" s="246" t="str">
        <f t="shared" si="79"/>
        <v/>
      </c>
      <c r="V624" s="8"/>
      <c r="AR624" t="str">
        <f t="shared" si="83"/>
        <v/>
      </c>
      <c r="AS624" t="str">
        <f t="shared" si="82"/>
        <v/>
      </c>
    </row>
    <row r="625" spans="1:45" x14ac:dyDescent="0.3">
      <c r="A625" s="231"/>
      <c r="B625" s="235"/>
      <c r="C625" s="214"/>
      <c r="D625" s="214"/>
      <c r="E625" s="214"/>
      <c r="F625" s="214"/>
      <c r="G625" s="222"/>
      <c r="H625" s="221"/>
      <c r="I625" s="213"/>
      <c r="J625" s="213"/>
      <c r="K625" s="215"/>
      <c r="L625" s="216"/>
      <c r="M625" s="217"/>
      <c r="O625" s="241" t="str">
        <f>IF(Q625 = "", "", COUNT(Q$4:$Q625))</f>
        <v/>
      </c>
      <c r="P625" s="241" t="str">
        <f t="shared" si="76"/>
        <v/>
      </c>
      <c r="Q625" s="242" t="str">
        <f t="shared" si="77"/>
        <v/>
      </c>
      <c r="R625" s="243" t="str">
        <f t="shared" si="80"/>
        <v/>
      </c>
      <c r="S625" s="244" t="str">
        <f t="shared" si="78"/>
        <v/>
      </c>
      <c r="T625" s="245" t="str">
        <f t="shared" si="81"/>
        <v/>
      </c>
      <c r="U625" s="246" t="str">
        <f t="shared" si="79"/>
        <v/>
      </c>
      <c r="V625" s="8"/>
      <c r="AR625" t="str">
        <f t="shared" si="83"/>
        <v/>
      </c>
      <c r="AS625" t="str">
        <f t="shared" si="82"/>
        <v/>
      </c>
    </row>
    <row r="626" spans="1:45" x14ac:dyDescent="0.3">
      <c r="A626" s="231"/>
      <c r="B626" s="235"/>
      <c r="C626" s="214"/>
      <c r="D626" s="214"/>
      <c r="E626" s="214"/>
      <c r="F626" s="214"/>
      <c r="G626" s="222"/>
      <c r="H626" s="221"/>
      <c r="I626" s="213"/>
      <c r="J626" s="213"/>
      <c r="K626" s="215"/>
      <c r="L626" s="216"/>
      <c r="M626" s="217"/>
      <c r="O626" s="241" t="str">
        <f>IF(Q626 = "", "", COUNT(Q$4:$Q626))</f>
        <v/>
      </c>
      <c r="P626" s="241" t="str">
        <f t="shared" si="76"/>
        <v/>
      </c>
      <c r="Q626" s="242" t="str">
        <f t="shared" si="77"/>
        <v/>
      </c>
      <c r="R626" s="243" t="str">
        <f t="shared" si="80"/>
        <v/>
      </c>
      <c r="S626" s="244" t="str">
        <f t="shared" si="78"/>
        <v/>
      </c>
      <c r="T626" s="245" t="str">
        <f t="shared" si="81"/>
        <v/>
      </c>
      <c r="U626" s="246" t="str">
        <f t="shared" si="79"/>
        <v/>
      </c>
      <c r="V626" s="8"/>
      <c r="AR626" t="str">
        <f t="shared" si="83"/>
        <v/>
      </c>
      <c r="AS626" t="str">
        <f t="shared" si="82"/>
        <v/>
      </c>
    </row>
    <row r="627" spans="1:45" x14ac:dyDescent="0.3">
      <c r="A627" s="231"/>
      <c r="B627" s="235"/>
      <c r="C627" s="214"/>
      <c r="D627" s="214"/>
      <c r="E627" s="214"/>
      <c r="F627" s="214"/>
      <c r="G627" s="222"/>
      <c r="H627" s="221"/>
      <c r="I627" s="213"/>
      <c r="J627" s="213"/>
      <c r="K627" s="215"/>
      <c r="L627" s="216"/>
      <c r="M627" s="217"/>
      <c r="O627" s="241" t="str">
        <f>IF(Q627 = "", "", COUNT(Q$4:$Q627))</f>
        <v/>
      </c>
      <c r="P627" s="241" t="str">
        <f t="shared" si="76"/>
        <v/>
      </c>
      <c r="Q627" s="242" t="str">
        <f t="shared" si="77"/>
        <v/>
      </c>
      <c r="R627" s="243" t="str">
        <f t="shared" si="80"/>
        <v/>
      </c>
      <c r="S627" s="244" t="str">
        <f t="shared" si="78"/>
        <v/>
      </c>
      <c r="T627" s="245" t="str">
        <f t="shared" si="81"/>
        <v/>
      </c>
      <c r="U627" s="246" t="str">
        <f t="shared" si="79"/>
        <v/>
      </c>
      <c r="V627" s="8"/>
      <c r="AR627" t="str">
        <f t="shared" si="83"/>
        <v/>
      </c>
      <c r="AS627" t="str">
        <f t="shared" si="82"/>
        <v/>
      </c>
    </row>
    <row r="628" spans="1:45" x14ac:dyDescent="0.3">
      <c r="A628" s="231"/>
      <c r="B628" s="235"/>
      <c r="C628" s="214"/>
      <c r="D628" s="214"/>
      <c r="E628" s="214"/>
      <c r="F628" s="214"/>
      <c r="G628" s="222"/>
      <c r="H628" s="221"/>
      <c r="I628" s="213"/>
      <c r="J628" s="213"/>
      <c r="K628" s="215"/>
      <c r="L628" s="216"/>
      <c r="M628" s="217"/>
      <c r="O628" s="241" t="str">
        <f>IF(Q628 = "", "", COUNT(Q$4:$Q628))</f>
        <v/>
      </c>
      <c r="P628" s="241" t="str">
        <f t="shared" si="76"/>
        <v/>
      </c>
      <c r="Q628" s="242" t="str">
        <f t="shared" si="77"/>
        <v/>
      </c>
      <c r="R628" s="243" t="str">
        <f t="shared" si="80"/>
        <v/>
      </c>
      <c r="S628" s="244" t="str">
        <f t="shared" si="78"/>
        <v/>
      </c>
      <c r="T628" s="245" t="str">
        <f t="shared" si="81"/>
        <v/>
      </c>
      <c r="U628" s="246" t="str">
        <f t="shared" si="79"/>
        <v/>
      </c>
      <c r="V628" s="8"/>
      <c r="AR628" t="str">
        <f t="shared" si="83"/>
        <v/>
      </c>
      <c r="AS628" t="str">
        <f t="shared" si="82"/>
        <v/>
      </c>
    </row>
    <row r="629" spans="1:45" x14ac:dyDescent="0.3">
      <c r="A629" s="231"/>
      <c r="B629" s="235"/>
      <c r="C629" s="214"/>
      <c r="D629" s="214"/>
      <c r="E629" s="214"/>
      <c r="F629" s="214"/>
      <c r="G629" s="222"/>
      <c r="H629" s="221"/>
      <c r="I629" s="213"/>
      <c r="J629" s="213"/>
      <c r="K629" s="215"/>
      <c r="L629" s="216"/>
      <c r="M629" s="217"/>
      <c r="O629" s="241" t="str">
        <f>IF(Q629 = "", "", COUNT(Q$4:$Q629))</f>
        <v/>
      </c>
      <c r="P629" s="241" t="str">
        <f t="shared" si="76"/>
        <v/>
      </c>
      <c r="Q629" s="242" t="str">
        <f t="shared" si="77"/>
        <v/>
      </c>
      <c r="R629" s="243" t="str">
        <f t="shared" si="80"/>
        <v/>
      </c>
      <c r="S629" s="244" t="str">
        <f t="shared" si="78"/>
        <v/>
      </c>
      <c r="T629" s="245" t="str">
        <f t="shared" si="81"/>
        <v/>
      </c>
      <c r="U629" s="246" t="str">
        <f t="shared" si="79"/>
        <v/>
      </c>
      <c r="V629" s="8"/>
      <c r="AR629" t="str">
        <f t="shared" si="83"/>
        <v/>
      </c>
      <c r="AS629" t="str">
        <f t="shared" si="82"/>
        <v/>
      </c>
    </row>
    <row r="630" spans="1:45" x14ac:dyDescent="0.3">
      <c r="A630" s="231"/>
      <c r="B630" s="235"/>
      <c r="C630" s="214"/>
      <c r="D630" s="214"/>
      <c r="E630" s="214"/>
      <c r="F630" s="214"/>
      <c r="G630" s="222"/>
      <c r="H630" s="221"/>
      <c r="I630" s="213"/>
      <c r="J630" s="213"/>
      <c r="K630" s="215"/>
      <c r="L630" s="216"/>
      <c r="M630" s="217"/>
      <c r="O630" s="241" t="str">
        <f>IF(Q630 = "", "", COUNT(Q$4:$Q630))</f>
        <v/>
      </c>
      <c r="P630" s="241" t="str">
        <f t="shared" si="76"/>
        <v/>
      </c>
      <c r="Q630" s="242" t="str">
        <f t="shared" si="77"/>
        <v/>
      </c>
      <c r="R630" s="243" t="str">
        <f t="shared" si="80"/>
        <v/>
      </c>
      <c r="S630" s="244" t="str">
        <f t="shared" si="78"/>
        <v/>
      </c>
      <c r="T630" s="245" t="str">
        <f t="shared" si="81"/>
        <v/>
      </c>
      <c r="U630" s="246" t="str">
        <f t="shared" si="79"/>
        <v/>
      </c>
      <c r="V630" s="8"/>
      <c r="AR630" t="str">
        <f t="shared" si="83"/>
        <v/>
      </c>
      <c r="AS630" t="str">
        <f t="shared" si="82"/>
        <v/>
      </c>
    </row>
    <row r="631" spans="1:45" x14ac:dyDescent="0.3">
      <c r="A631" s="231"/>
      <c r="B631" s="235"/>
      <c r="C631" s="214"/>
      <c r="D631" s="214"/>
      <c r="E631" s="214"/>
      <c r="F631" s="214"/>
      <c r="G631" s="222"/>
      <c r="H631" s="221"/>
      <c r="I631" s="213"/>
      <c r="J631" s="213"/>
      <c r="K631" s="215"/>
      <c r="L631" s="216"/>
      <c r="M631" s="217"/>
      <c r="O631" s="241" t="str">
        <f>IF(Q631 = "", "", COUNT(Q$4:$Q631))</f>
        <v/>
      </c>
      <c r="P631" s="241" t="str">
        <f t="shared" si="76"/>
        <v/>
      </c>
      <c r="Q631" s="242" t="str">
        <f t="shared" si="77"/>
        <v/>
      </c>
      <c r="R631" s="243" t="str">
        <f t="shared" si="80"/>
        <v/>
      </c>
      <c r="S631" s="244" t="str">
        <f t="shared" si="78"/>
        <v/>
      </c>
      <c r="T631" s="245" t="str">
        <f t="shared" si="81"/>
        <v/>
      </c>
      <c r="U631" s="246" t="str">
        <f t="shared" si="79"/>
        <v/>
      </c>
      <c r="V631" s="8"/>
      <c r="AR631" t="str">
        <f t="shared" si="83"/>
        <v/>
      </c>
      <c r="AS631" t="str">
        <f t="shared" si="82"/>
        <v/>
      </c>
    </row>
    <row r="632" spans="1:45" x14ac:dyDescent="0.3">
      <c r="A632" s="231"/>
      <c r="B632" s="235"/>
      <c r="C632" s="214"/>
      <c r="D632" s="214"/>
      <c r="E632" s="214"/>
      <c r="F632" s="214"/>
      <c r="G632" s="222"/>
      <c r="H632" s="221"/>
      <c r="I632" s="213"/>
      <c r="J632" s="213"/>
      <c r="K632" s="215"/>
      <c r="L632" s="216"/>
      <c r="M632" s="217"/>
      <c r="O632" s="241" t="str">
        <f>IF(Q632 = "", "", COUNT(Q$4:$Q632))</f>
        <v/>
      </c>
      <c r="P632" s="241" t="str">
        <f t="shared" si="76"/>
        <v/>
      </c>
      <c r="Q632" s="242" t="str">
        <f t="shared" si="77"/>
        <v/>
      </c>
      <c r="R632" s="243" t="str">
        <f t="shared" si="80"/>
        <v/>
      </c>
      <c r="S632" s="244" t="str">
        <f t="shared" si="78"/>
        <v/>
      </c>
      <c r="T632" s="245" t="str">
        <f t="shared" si="81"/>
        <v/>
      </c>
      <c r="U632" s="246" t="str">
        <f t="shared" si="79"/>
        <v/>
      </c>
      <c r="V632" s="8"/>
      <c r="AR632" t="str">
        <f t="shared" si="83"/>
        <v/>
      </c>
      <c r="AS632" t="str">
        <f t="shared" si="82"/>
        <v/>
      </c>
    </row>
    <row r="633" spans="1:45" x14ac:dyDescent="0.3">
      <c r="A633" s="231"/>
      <c r="B633" s="235"/>
      <c r="C633" s="214"/>
      <c r="D633" s="214"/>
      <c r="E633" s="214"/>
      <c r="F633" s="214"/>
      <c r="G633" s="222"/>
      <c r="H633" s="221"/>
      <c r="I633" s="213"/>
      <c r="J633" s="213"/>
      <c r="K633" s="215"/>
      <c r="L633" s="216"/>
      <c r="M633" s="217"/>
      <c r="O633" s="241" t="str">
        <f>IF(Q633 = "", "", COUNT(Q$4:$Q633))</f>
        <v/>
      </c>
      <c r="P633" s="241" t="str">
        <f t="shared" si="76"/>
        <v/>
      </c>
      <c r="Q633" s="242" t="str">
        <f t="shared" si="77"/>
        <v/>
      </c>
      <c r="R633" s="243" t="str">
        <f t="shared" si="80"/>
        <v/>
      </c>
      <c r="S633" s="244" t="str">
        <f t="shared" si="78"/>
        <v/>
      </c>
      <c r="T633" s="245" t="str">
        <f t="shared" si="81"/>
        <v/>
      </c>
      <c r="U633" s="246" t="str">
        <f t="shared" si="79"/>
        <v/>
      </c>
      <c r="V633" s="8"/>
      <c r="AR633" t="str">
        <f t="shared" si="83"/>
        <v/>
      </c>
      <c r="AS633" t="str">
        <f t="shared" si="82"/>
        <v/>
      </c>
    </row>
    <row r="634" spans="1:45" x14ac:dyDescent="0.3">
      <c r="A634" s="231"/>
      <c r="B634" s="235"/>
      <c r="C634" s="214"/>
      <c r="D634" s="214"/>
      <c r="E634" s="214"/>
      <c r="F634" s="214"/>
      <c r="G634" s="222"/>
      <c r="H634" s="221"/>
      <c r="I634" s="213"/>
      <c r="J634" s="213"/>
      <c r="K634" s="215"/>
      <c r="L634" s="216"/>
      <c r="M634" s="217"/>
      <c r="O634" s="241" t="str">
        <f>IF(Q634 = "", "", COUNT(Q$4:$Q634))</f>
        <v/>
      </c>
      <c r="P634" s="241" t="str">
        <f t="shared" si="76"/>
        <v/>
      </c>
      <c r="Q634" s="242" t="str">
        <f t="shared" si="77"/>
        <v/>
      </c>
      <c r="R634" s="243" t="str">
        <f t="shared" si="80"/>
        <v/>
      </c>
      <c r="S634" s="244" t="str">
        <f t="shared" si="78"/>
        <v/>
      </c>
      <c r="T634" s="245" t="str">
        <f t="shared" si="81"/>
        <v/>
      </c>
      <c r="U634" s="246" t="str">
        <f t="shared" si="79"/>
        <v/>
      </c>
      <c r="V634" s="8"/>
      <c r="AR634" t="str">
        <f t="shared" si="83"/>
        <v/>
      </c>
      <c r="AS634" t="str">
        <f t="shared" si="82"/>
        <v/>
      </c>
    </row>
    <row r="635" spans="1:45" x14ac:dyDescent="0.3">
      <c r="A635" s="231"/>
      <c r="B635" s="235"/>
      <c r="C635" s="214"/>
      <c r="D635" s="214"/>
      <c r="E635" s="214"/>
      <c r="F635" s="214"/>
      <c r="G635" s="222"/>
      <c r="H635" s="221"/>
      <c r="I635" s="213"/>
      <c r="J635" s="213"/>
      <c r="K635" s="215"/>
      <c r="L635" s="216"/>
      <c r="M635" s="217"/>
      <c r="O635" s="241" t="str">
        <f>IF(Q635 = "", "", COUNT(Q$4:$Q635))</f>
        <v/>
      </c>
      <c r="P635" s="241" t="str">
        <f t="shared" si="76"/>
        <v/>
      </c>
      <c r="Q635" s="242" t="str">
        <f t="shared" si="77"/>
        <v/>
      </c>
      <c r="R635" s="243" t="str">
        <f t="shared" si="80"/>
        <v/>
      </c>
      <c r="S635" s="244" t="str">
        <f t="shared" si="78"/>
        <v/>
      </c>
      <c r="T635" s="245" t="str">
        <f t="shared" si="81"/>
        <v/>
      </c>
      <c r="U635" s="246" t="str">
        <f t="shared" si="79"/>
        <v/>
      </c>
      <c r="V635" s="8"/>
      <c r="AR635" t="str">
        <f t="shared" si="83"/>
        <v/>
      </c>
      <c r="AS635" t="str">
        <f t="shared" si="82"/>
        <v/>
      </c>
    </row>
    <row r="636" spans="1:45" x14ac:dyDescent="0.3">
      <c r="A636" s="231"/>
      <c r="B636" s="235"/>
      <c r="C636" s="214"/>
      <c r="D636" s="214"/>
      <c r="E636" s="214"/>
      <c r="F636" s="214"/>
      <c r="G636" s="222"/>
      <c r="H636" s="221"/>
      <c r="I636" s="213"/>
      <c r="J636" s="213"/>
      <c r="K636" s="215"/>
      <c r="L636" s="216"/>
      <c r="M636" s="217"/>
      <c r="O636" s="241" t="str">
        <f>IF(Q636 = "", "", COUNT(Q$4:$Q636))</f>
        <v/>
      </c>
      <c r="P636" s="241" t="str">
        <f t="shared" si="76"/>
        <v/>
      </c>
      <c r="Q636" s="242" t="str">
        <f t="shared" si="77"/>
        <v/>
      </c>
      <c r="R636" s="243" t="str">
        <f t="shared" si="80"/>
        <v/>
      </c>
      <c r="S636" s="244" t="str">
        <f t="shared" si="78"/>
        <v/>
      </c>
      <c r="T636" s="245" t="str">
        <f t="shared" si="81"/>
        <v/>
      </c>
      <c r="U636" s="246" t="str">
        <f t="shared" si="79"/>
        <v/>
      </c>
      <c r="V636" s="8"/>
      <c r="AR636" t="str">
        <f t="shared" si="83"/>
        <v/>
      </c>
      <c r="AS636" t="str">
        <f t="shared" si="82"/>
        <v/>
      </c>
    </row>
    <row r="637" spans="1:45" x14ac:dyDescent="0.3">
      <c r="A637" s="231"/>
      <c r="B637" s="235"/>
      <c r="C637" s="214"/>
      <c r="D637" s="214"/>
      <c r="E637" s="214"/>
      <c r="F637" s="214"/>
      <c r="G637" s="222"/>
      <c r="H637" s="221"/>
      <c r="I637" s="213"/>
      <c r="J637" s="213"/>
      <c r="K637" s="215"/>
      <c r="L637" s="216"/>
      <c r="M637" s="217"/>
      <c r="O637" s="241" t="str">
        <f>IF(Q637 = "", "", COUNT(Q$4:$Q637))</f>
        <v/>
      </c>
      <c r="P637" s="241" t="str">
        <f t="shared" si="76"/>
        <v/>
      </c>
      <c r="Q637" s="242" t="str">
        <f t="shared" si="77"/>
        <v/>
      </c>
      <c r="R637" s="243" t="str">
        <f t="shared" si="80"/>
        <v/>
      </c>
      <c r="S637" s="244" t="str">
        <f t="shared" si="78"/>
        <v/>
      </c>
      <c r="T637" s="245" t="str">
        <f t="shared" si="81"/>
        <v/>
      </c>
      <c r="U637" s="246" t="str">
        <f t="shared" si="79"/>
        <v/>
      </c>
      <c r="V637" s="8"/>
      <c r="AR637" t="str">
        <f t="shared" si="83"/>
        <v/>
      </c>
      <c r="AS637" t="str">
        <f t="shared" si="82"/>
        <v/>
      </c>
    </row>
    <row r="638" spans="1:45" x14ac:dyDescent="0.3">
      <c r="A638" s="231"/>
      <c r="B638" s="235"/>
      <c r="C638" s="214"/>
      <c r="D638" s="214"/>
      <c r="E638" s="214"/>
      <c r="F638" s="214"/>
      <c r="G638" s="222"/>
      <c r="H638" s="221"/>
      <c r="I638" s="213"/>
      <c r="J638" s="213"/>
      <c r="K638" s="215"/>
      <c r="L638" s="216"/>
      <c r="M638" s="217"/>
      <c r="O638" s="241" t="str">
        <f>IF(Q638 = "", "", COUNT(Q$4:$Q638))</f>
        <v/>
      </c>
      <c r="P638" s="241" t="str">
        <f t="shared" si="76"/>
        <v/>
      </c>
      <c r="Q638" s="242" t="str">
        <f t="shared" si="77"/>
        <v/>
      </c>
      <c r="R638" s="243" t="str">
        <f t="shared" si="80"/>
        <v/>
      </c>
      <c r="S638" s="244" t="str">
        <f t="shared" si="78"/>
        <v/>
      </c>
      <c r="T638" s="245" t="str">
        <f t="shared" si="81"/>
        <v/>
      </c>
      <c r="U638" s="246" t="str">
        <f t="shared" si="79"/>
        <v/>
      </c>
      <c r="V638" s="8"/>
      <c r="AR638" t="str">
        <f t="shared" si="83"/>
        <v/>
      </c>
      <c r="AS638" t="str">
        <f t="shared" si="82"/>
        <v/>
      </c>
    </row>
    <row r="639" spans="1:45" x14ac:dyDescent="0.3">
      <c r="A639" s="231"/>
      <c r="B639" s="235"/>
      <c r="C639" s="214"/>
      <c r="D639" s="214"/>
      <c r="E639" s="214"/>
      <c r="F639" s="214"/>
      <c r="G639" s="222"/>
      <c r="H639" s="221"/>
      <c r="I639" s="213"/>
      <c r="J639" s="213"/>
      <c r="K639" s="215"/>
      <c r="L639" s="216"/>
      <c r="M639" s="217"/>
      <c r="O639" s="241" t="str">
        <f>IF(Q639 = "", "", COUNT(Q$4:$Q639))</f>
        <v/>
      </c>
      <c r="P639" s="241" t="str">
        <f t="shared" si="76"/>
        <v/>
      </c>
      <c r="Q639" s="242" t="str">
        <f t="shared" si="77"/>
        <v/>
      </c>
      <c r="R639" s="243" t="str">
        <f t="shared" si="80"/>
        <v/>
      </c>
      <c r="S639" s="244" t="str">
        <f t="shared" si="78"/>
        <v/>
      </c>
      <c r="T639" s="245" t="str">
        <f t="shared" si="81"/>
        <v/>
      </c>
      <c r="U639" s="246" t="str">
        <f t="shared" si="79"/>
        <v/>
      </c>
      <c r="V639" s="8"/>
      <c r="AR639" t="str">
        <f t="shared" si="83"/>
        <v/>
      </c>
      <c r="AS639" t="str">
        <f t="shared" si="82"/>
        <v/>
      </c>
    </row>
    <row r="640" spans="1:45" x14ac:dyDescent="0.3">
      <c r="A640" s="231"/>
      <c r="B640" s="235"/>
      <c r="C640" s="214"/>
      <c r="D640" s="214"/>
      <c r="E640" s="214"/>
      <c r="F640" s="214"/>
      <c r="G640" s="222"/>
      <c r="H640" s="221"/>
      <c r="I640" s="213"/>
      <c r="J640" s="213"/>
      <c r="K640" s="215"/>
      <c r="L640" s="216"/>
      <c r="M640" s="217"/>
      <c r="O640" s="241" t="str">
        <f>IF(Q640 = "", "", COUNT(Q$4:$Q640))</f>
        <v/>
      </c>
      <c r="P640" s="241" t="str">
        <f t="shared" si="76"/>
        <v/>
      </c>
      <c r="Q640" s="242" t="str">
        <f t="shared" si="77"/>
        <v/>
      </c>
      <c r="R640" s="243" t="str">
        <f t="shared" si="80"/>
        <v/>
      </c>
      <c r="S640" s="244" t="str">
        <f t="shared" si="78"/>
        <v/>
      </c>
      <c r="T640" s="245" t="str">
        <f t="shared" si="81"/>
        <v/>
      </c>
      <c r="U640" s="246" t="str">
        <f t="shared" si="79"/>
        <v/>
      </c>
      <c r="V640" s="8"/>
      <c r="AR640" t="str">
        <f t="shared" si="83"/>
        <v/>
      </c>
      <c r="AS640" t="str">
        <f t="shared" si="82"/>
        <v/>
      </c>
    </row>
    <row r="641" spans="1:45" x14ac:dyDescent="0.3">
      <c r="A641" s="231"/>
      <c r="B641" s="235"/>
      <c r="C641" s="214"/>
      <c r="D641" s="214"/>
      <c r="E641" s="214"/>
      <c r="F641" s="214"/>
      <c r="G641" s="222"/>
      <c r="H641" s="221"/>
      <c r="I641" s="213"/>
      <c r="J641" s="213"/>
      <c r="K641" s="215"/>
      <c r="L641" s="216"/>
      <c r="M641" s="217"/>
      <c r="O641" s="241" t="str">
        <f>IF(Q641 = "", "", COUNT(Q$4:$Q641))</f>
        <v/>
      </c>
      <c r="P641" s="241" t="str">
        <f t="shared" si="76"/>
        <v/>
      </c>
      <c r="Q641" s="242" t="str">
        <f t="shared" si="77"/>
        <v/>
      </c>
      <c r="R641" s="243" t="str">
        <f t="shared" si="80"/>
        <v/>
      </c>
      <c r="S641" s="244" t="str">
        <f t="shared" si="78"/>
        <v/>
      </c>
      <c r="T641" s="245" t="str">
        <f t="shared" si="81"/>
        <v/>
      </c>
      <c r="U641" s="246" t="str">
        <f t="shared" si="79"/>
        <v/>
      </c>
      <c r="V641" s="8"/>
      <c r="AR641" t="str">
        <f t="shared" si="83"/>
        <v/>
      </c>
      <c r="AS641" t="str">
        <f t="shared" si="82"/>
        <v/>
      </c>
    </row>
    <row r="642" spans="1:45" x14ac:dyDescent="0.3">
      <c r="A642" s="231"/>
      <c r="B642" s="235"/>
      <c r="C642" s="214"/>
      <c r="D642" s="214"/>
      <c r="E642" s="214"/>
      <c r="F642" s="214"/>
      <c r="G642" s="222"/>
      <c r="H642" s="221"/>
      <c r="I642" s="213"/>
      <c r="J642" s="213"/>
      <c r="K642" s="215"/>
      <c r="L642" s="216"/>
      <c r="M642" s="217"/>
      <c r="O642" s="241" t="str">
        <f>IF(Q642 = "", "", COUNT(Q$4:$Q642))</f>
        <v/>
      </c>
      <c r="P642" s="241" t="str">
        <f t="shared" si="76"/>
        <v/>
      </c>
      <c r="Q642" s="242" t="str">
        <f t="shared" si="77"/>
        <v/>
      </c>
      <c r="R642" s="243" t="str">
        <f t="shared" si="80"/>
        <v/>
      </c>
      <c r="S642" s="244" t="str">
        <f t="shared" si="78"/>
        <v/>
      </c>
      <c r="T642" s="245" t="str">
        <f t="shared" si="81"/>
        <v/>
      </c>
      <c r="U642" s="246" t="str">
        <f t="shared" si="79"/>
        <v/>
      </c>
      <c r="V642" s="8"/>
      <c r="AR642" t="str">
        <f t="shared" si="83"/>
        <v/>
      </c>
      <c r="AS642" t="str">
        <f t="shared" si="82"/>
        <v/>
      </c>
    </row>
    <row r="643" spans="1:45" x14ac:dyDescent="0.3">
      <c r="A643" s="231"/>
      <c r="B643" s="235"/>
      <c r="C643" s="214"/>
      <c r="D643" s="214"/>
      <c r="E643" s="214"/>
      <c r="F643" s="214"/>
      <c r="G643" s="222"/>
      <c r="H643" s="221"/>
      <c r="I643" s="213"/>
      <c r="J643" s="213"/>
      <c r="K643" s="215"/>
      <c r="L643" s="216"/>
      <c r="M643" s="217"/>
      <c r="O643" s="241" t="str">
        <f>IF(Q643 = "", "", COUNT(Q$4:$Q643))</f>
        <v/>
      </c>
      <c r="P643" s="241" t="str">
        <f t="shared" si="76"/>
        <v/>
      </c>
      <c r="Q643" s="242" t="str">
        <f t="shared" si="77"/>
        <v/>
      </c>
      <c r="R643" s="243" t="str">
        <f t="shared" si="80"/>
        <v/>
      </c>
      <c r="S643" s="244" t="str">
        <f t="shared" si="78"/>
        <v/>
      </c>
      <c r="T643" s="245" t="str">
        <f t="shared" si="81"/>
        <v/>
      </c>
      <c r="U643" s="246" t="str">
        <f t="shared" si="79"/>
        <v/>
      </c>
      <c r="V643" s="8"/>
      <c r="AR643" t="str">
        <f t="shared" si="83"/>
        <v/>
      </c>
      <c r="AS643" t="str">
        <f t="shared" si="82"/>
        <v/>
      </c>
    </row>
    <row r="644" spans="1:45" x14ac:dyDescent="0.3">
      <c r="A644" s="231"/>
      <c r="B644" s="235"/>
      <c r="C644" s="214"/>
      <c r="D644" s="214"/>
      <c r="E644" s="214"/>
      <c r="F644" s="214"/>
      <c r="G644" s="222"/>
      <c r="H644" s="221"/>
      <c r="I644" s="213"/>
      <c r="J644" s="213"/>
      <c r="K644" s="215"/>
      <c r="L644" s="216"/>
      <c r="M644" s="217"/>
      <c r="O644" s="241" t="str">
        <f>IF(Q644 = "", "", COUNT(Q$4:$Q644))</f>
        <v/>
      </c>
      <c r="P644" s="241" t="str">
        <f t="shared" ref="P644:P707" si="84">IF(C644 &gt; 0, YEAR(B644), "")</f>
        <v/>
      </c>
      <c r="Q644" s="242" t="str">
        <f t="shared" ref="Q644:Q707" si="85">IF(A644="", "", IF(G644="",1,IF(G644="O",1,IF(G644="C",8.4,IF(G644="B",8.4,IF(G644="A",76.8,IF(G644="K",76.8,"ERR")))))))</f>
        <v/>
      </c>
      <c r="R644" s="243" t="str">
        <f t="shared" si="80"/>
        <v/>
      </c>
      <c r="S644" s="244" t="str">
        <f t="shared" ref="S644:S707" si="86">IF(IF(L644&lt;&gt;"",G644,"")=0, "O", IF(L644&lt;&gt;"",G644,""))</f>
        <v/>
      </c>
      <c r="T644" s="245" t="str">
        <f t="shared" si="81"/>
        <v/>
      </c>
      <c r="U644" s="246" t="str">
        <f t="shared" ref="U644:U707" si="87">IF(IF(M644&lt;&gt;"",G644,"")=0, "O", IF(M644&lt;&gt;"",G644,""))</f>
        <v/>
      </c>
      <c r="V644" s="8"/>
      <c r="AR644" t="str">
        <f t="shared" si="83"/>
        <v/>
      </c>
      <c r="AS644" t="str">
        <f t="shared" si="82"/>
        <v/>
      </c>
    </row>
    <row r="645" spans="1:45" x14ac:dyDescent="0.3">
      <c r="A645" s="231"/>
      <c r="B645" s="235"/>
      <c r="C645" s="214"/>
      <c r="D645" s="214"/>
      <c r="E645" s="214"/>
      <c r="F645" s="214"/>
      <c r="G645" s="222"/>
      <c r="H645" s="221"/>
      <c r="I645" s="213"/>
      <c r="J645" s="213"/>
      <c r="K645" s="215"/>
      <c r="L645" s="216"/>
      <c r="M645" s="217"/>
      <c r="O645" s="241" t="str">
        <f>IF(Q645 = "", "", COUNT(Q$4:$Q645))</f>
        <v/>
      </c>
      <c r="P645" s="241" t="str">
        <f t="shared" si="84"/>
        <v/>
      </c>
      <c r="Q645" s="242" t="str">
        <f t="shared" si="85"/>
        <v/>
      </c>
      <c r="R645" s="243" t="str">
        <f t="shared" ref="R645:R708" si="88">IF(L645&lt;&gt;"",Q645,"")</f>
        <v/>
      </c>
      <c r="S645" s="244" t="str">
        <f t="shared" si="86"/>
        <v/>
      </c>
      <c r="T645" s="245" t="str">
        <f t="shared" ref="T645:T708" si="89">IF(M645&lt;&gt;"",Q645,"")</f>
        <v/>
      </c>
      <c r="U645" s="246" t="str">
        <f t="shared" si="87"/>
        <v/>
      </c>
      <c r="V645" s="8"/>
      <c r="AR645" t="str">
        <f t="shared" si="83"/>
        <v/>
      </c>
      <c r="AS645" t="str">
        <f t="shared" si="82"/>
        <v/>
      </c>
    </row>
    <row r="646" spans="1:45" x14ac:dyDescent="0.3">
      <c r="A646" s="231"/>
      <c r="B646" s="235"/>
      <c r="C646" s="214"/>
      <c r="D646" s="214"/>
      <c r="E646" s="214"/>
      <c r="F646" s="214"/>
      <c r="G646" s="222"/>
      <c r="H646" s="221"/>
      <c r="I646" s="213"/>
      <c r="J646" s="213"/>
      <c r="K646" s="215"/>
      <c r="L646" s="216"/>
      <c r="M646" s="217"/>
      <c r="O646" s="241" t="str">
        <f>IF(Q646 = "", "", COUNT(Q$4:$Q646))</f>
        <v/>
      </c>
      <c r="P646" s="241" t="str">
        <f t="shared" si="84"/>
        <v/>
      </c>
      <c r="Q646" s="242" t="str">
        <f t="shared" si="85"/>
        <v/>
      </c>
      <c r="R646" s="243" t="str">
        <f t="shared" si="88"/>
        <v/>
      </c>
      <c r="S646" s="244" t="str">
        <f t="shared" si="86"/>
        <v/>
      </c>
      <c r="T646" s="245" t="str">
        <f t="shared" si="89"/>
        <v/>
      </c>
      <c r="U646" s="246" t="str">
        <f t="shared" si="87"/>
        <v/>
      </c>
      <c r="V646" s="8"/>
      <c r="AR646" t="str">
        <f t="shared" si="83"/>
        <v/>
      </c>
      <c r="AS646" t="str">
        <f t="shared" si="82"/>
        <v/>
      </c>
    </row>
    <row r="647" spans="1:45" x14ac:dyDescent="0.3">
      <c r="A647" s="231"/>
      <c r="B647" s="235"/>
      <c r="C647" s="214"/>
      <c r="D647" s="214"/>
      <c r="E647" s="214"/>
      <c r="F647" s="214"/>
      <c r="G647" s="222"/>
      <c r="H647" s="221"/>
      <c r="I647" s="213"/>
      <c r="J647" s="213"/>
      <c r="K647" s="215"/>
      <c r="L647" s="216"/>
      <c r="M647" s="217"/>
      <c r="O647" s="241" t="str">
        <f>IF(Q647 = "", "", COUNT(Q$4:$Q647))</f>
        <v/>
      </c>
      <c r="P647" s="241" t="str">
        <f t="shared" si="84"/>
        <v/>
      </c>
      <c r="Q647" s="242" t="str">
        <f t="shared" si="85"/>
        <v/>
      </c>
      <c r="R647" s="243" t="str">
        <f t="shared" si="88"/>
        <v/>
      </c>
      <c r="S647" s="244" t="str">
        <f t="shared" si="86"/>
        <v/>
      </c>
      <c r="T647" s="245" t="str">
        <f t="shared" si="89"/>
        <v/>
      </c>
      <c r="U647" s="246" t="str">
        <f t="shared" si="87"/>
        <v/>
      </c>
      <c r="V647" s="8"/>
      <c r="AR647" t="str">
        <f t="shared" si="83"/>
        <v/>
      </c>
      <c r="AS647" t="str">
        <f t="shared" si="82"/>
        <v/>
      </c>
    </row>
    <row r="648" spans="1:45" x14ac:dyDescent="0.3">
      <c r="A648" s="231"/>
      <c r="B648" s="235"/>
      <c r="C648" s="214"/>
      <c r="D648" s="214"/>
      <c r="E648" s="214"/>
      <c r="F648" s="214"/>
      <c r="G648" s="222"/>
      <c r="H648" s="221"/>
      <c r="I648" s="213"/>
      <c r="J648" s="213"/>
      <c r="K648" s="215"/>
      <c r="L648" s="216"/>
      <c r="M648" s="217"/>
      <c r="O648" s="241" t="str">
        <f>IF(Q648 = "", "", COUNT(Q$4:$Q648))</f>
        <v/>
      </c>
      <c r="P648" s="241" t="str">
        <f t="shared" si="84"/>
        <v/>
      </c>
      <c r="Q648" s="242" t="str">
        <f t="shared" si="85"/>
        <v/>
      </c>
      <c r="R648" s="243" t="str">
        <f t="shared" si="88"/>
        <v/>
      </c>
      <c r="S648" s="244" t="str">
        <f t="shared" si="86"/>
        <v/>
      </c>
      <c r="T648" s="245" t="str">
        <f t="shared" si="89"/>
        <v/>
      </c>
      <c r="U648" s="246" t="str">
        <f t="shared" si="87"/>
        <v/>
      </c>
      <c r="V648" s="8"/>
      <c r="AR648" t="str">
        <f t="shared" si="83"/>
        <v/>
      </c>
      <c r="AS648" t="str">
        <f t="shared" si="82"/>
        <v/>
      </c>
    </row>
    <row r="649" spans="1:45" x14ac:dyDescent="0.3">
      <c r="A649" s="231"/>
      <c r="B649" s="235"/>
      <c r="C649" s="214"/>
      <c r="D649" s="214"/>
      <c r="E649" s="214"/>
      <c r="F649" s="214"/>
      <c r="G649" s="222"/>
      <c r="H649" s="221"/>
      <c r="I649" s="213"/>
      <c r="J649" s="213"/>
      <c r="K649" s="215"/>
      <c r="L649" s="216"/>
      <c r="M649" s="217"/>
      <c r="O649" s="241" t="str">
        <f>IF(Q649 = "", "", COUNT(Q$4:$Q649))</f>
        <v/>
      </c>
      <c r="P649" s="241" t="str">
        <f t="shared" si="84"/>
        <v/>
      </c>
      <c r="Q649" s="242" t="str">
        <f t="shared" si="85"/>
        <v/>
      </c>
      <c r="R649" s="243" t="str">
        <f t="shared" si="88"/>
        <v/>
      </c>
      <c r="S649" s="244" t="str">
        <f t="shared" si="86"/>
        <v/>
      </c>
      <c r="T649" s="245" t="str">
        <f t="shared" si="89"/>
        <v/>
      </c>
      <c r="U649" s="246" t="str">
        <f t="shared" si="87"/>
        <v/>
      </c>
      <c r="V649" s="8"/>
      <c r="AR649" t="str">
        <f t="shared" si="83"/>
        <v/>
      </c>
      <c r="AS649" t="str">
        <f t="shared" si="82"/>
        <v/>
      </c>
    </row>
    <row r="650" spans="1:45" x14ac:dyDescent="0.3">
      <c r="A650" s="231"/>
      <c r="B650" s="235"/>
      <c r="C650" s="214"/>
      <c r="D650" s="214"/>
      <c r="E650" s="214"/>
      <c r="F650" s="214"/>
      <c r="G650" s="222"/>
      <c r="H650" s="221"/>
      <c r="I650" s="213"/>
      <c r="J650" s="213"/>
      <c r="K650" s="215"/>
      <c r="L650" s="216"/>
      <c r="M650" s="217"/>
      <c r="O650" s="241" t="str">
        <f>IF(Q650 = "", "", COUNT(Q$4:$Q650))</f>
        <v/>
      </c>
      <c r="P650" s="241" t="str">
        <f t="shared" si="84"/>
        <v/>
      </c>
      <c r="Q650" s="242" t="str">
        <f t="shared" si="85"/>
        <v/>
      </c>
      <c r="R650" s="243" t="str">
        <f t="shared" si="88"/>
        <v/>
      </c>
      <c r="S650" s="244" t="str">
        <f t="shared" si="86"/>
        <v/>
      </c>
      <c r="T650" s="245" t="str">
        <f t="shared" si="89"/>
        <v/>
      </c>
      <c r="U650" s="246" t="str">
        <f t="shared" si="87"/>
        <v/>
      </c>
      <c r="V650" s="8"/>
      <c r="AR650" t="str">
        <f t="shared" si="83"/>
        <v/>
      </c>
      <c r="AS650" t="str">
        <f t="shared" si="82"/>
        <v/>
      </c>
    </row>
    <row r="651" spans="1:45" x14ac:dyDescent="0.3">
      <c r="A651" s="231"/>
      <c r="B651" s="235"/>
      <c r="C651" s="214"/>
      <c r="D651" s="214"/>
      <c r="E651" s="214"/>
      <c r="F651" s="214"/>
      <c r="G651" s="222"/>
      <c r="H651" s="221"/>
      <c r="I651" s="213"/>
      <c r="J651" s="213"/>
      <c r="K651" s="215"/>
      <c r="L651" s="216"/>
      <c r="M651" s="217"/>
      <c r="O651" s="241" t="str">
        <f>IF(Q651 = "", "", COUNT(Q$4:$Q651))</f>
        <v/>
      </c>
      <c r="P651" s="241" t="str">
        <f t="shared" si="84"/>
        <v/>
      </c>
      <c r="Q651" s="242" t="str">
        <f t="shared" si="85"/>
        <v/>
      </c>
      <c r="R651" s="243" t="str">
        <f t="shared" si="88"/>
        <v/>
      </c>
      <c r="S651" s="244" t="str">
        <f t="shared" si="86"/>
        <v/>
      </c>
      <c r="T651" s="245" t="str">
        <f t="shared" si="89"/>
        <v/>
      </c>
      <c r="U651" s="246" t="str">
        <f t="shared" si="87"/>
        <v/>
      </c>
      <c r="V651" s="8"/>
      <c r="AR651" t="str">
        <f t="shared" si="83"/>
        <v/>
      </c>
      <c r="AS651" t="str">
        <f t="shared" si="82"/>
        <v/>
      </c>
    </row>
    <row r="652" spans="1:45" x14ac:dyDescent="0.3">
      <c r="A652" s="231"/>
      <c r="B652" s="235"/>
      <c r="C652" s="214"/>
      <c r="D652" s="214"/>
      <c r="E652" s="214"/>
      <c r="F652" s="214"/>
      <c r="G652" s="222"/>
      <c r="H652" s="221"/>
      <c r="I652" s="213"/>
      <c r="J652" s="213"/>
      <c r="K652" s="215"/>
      <c r="L652" s="216"/>
      <c r="M652" s="217"/>
      <c r="O652" s="241" t="str">
        <f>IF(Q652 = "", "", COUNT(Q$4:$Q652))</f>
        <v/>
      </c>
      <c r="P652" s="241" t="str">
        <f t="shared" si="84"/>
        <v/>
      </c>
      <c r="Q652" s="242" t="str">
        <f t="shared" si="85"/>
        <v/>
      </c>
      <c r="R652" s="243" t="str">
        <f t="shared" si="88"/>
        <v/>
      </c>
      <c r="S652" s="244" t="str">
        <f t="shared" si="86"/>
        <v/>
      </c>
      <c r="T652" s="245" t="str">
        <f t="shared" si="89"/>
        <v/>
      </c>
      <c r="U652" s="246" t="str">
        <f t="shared" si="87"/>
        <v/>
      </c>
      <c r="V652" s="8"/>
      <c r="AR652" t="str">
        <f t="shared" si="83"/>
        <v/>
      </c>
      <c r="AS652" t="str">
        <f t="shared" si="82"/>
        <v/>
      </c>
    </row>
    <row r="653" spans="1:45" x14ac:dyDescent="0.3">
      <c r="A653" s="231"/>
      <c r="B653" s="235"/>
      <c r="C653" s="214"/>
      <c r="D653" s="214"/>
      <c r="E653" s="214"/>
      <c r="F653" s="214"/>
      <c r="G653" s="222"/>
      <c r="H653" s="221"/>
      <c r="I653" s="213"/>
      <c r="J653" s="213"/>
      <c r="K653" s="215"/>
      <c r="L653" s="216"/>
      <c r="M653" s="217"/>
      <c r="O653" s="241" t="str">
        <f>IF(Q653 = "", "", COUNT(Q$4:$Q653))</f>
        <v/>
      </c>
      <c r="P653" s="241" t="str">
        <f t="shared" si="84"/>
        <v/>
      </c>
      <c r="Q653" s="242" t="str">
        <f t="shared" si="85"/>
        <v/>
      </c>
      <c r="R653" s="243" t="str">
        <f t="shared" si="88"/>
        <v/>
      </c>
      <c r="S653" s="244" t="str">
        <f t="shared" si="86"/>
        <v/>
      </c>
      <c r="T653" s="245" t="str">
        <f t="shared" si="89"/>
        <v/>
      </c>
      <c r="U653" s="246" t="str">
        <f t="shared" si="87"/>
        <v/>
      </c>
      <c r="V653" s="8"/>
      <c r="AR653" t="str">
        <f t="shared" si="83"/>
        <v/>
      </c>
      <c r="AS653" t="str">
        <f t="shared" si="82"/>
        <v/>
      </c>
    </row>
    <row r="654" spans="1:45" x14ac:dyDescent="0.3">
      <c r="A654" s="231"/>
      <c r="B654" s="235"/>
      <c r="C654" s="214"/>
      <c r="D654" s="214"/>
      <c r="E654" s="214"/>
      <c r="F654" s="214"/>
      <c r="G654" s="222"/>
      <c r="H654" s="221"/>
      <c r="I654" s="213"/>
      <c r="J654" s="213"/>
      <c r="K654" s="215"/>
      <c r="L654" s="216"/>
      <c r="M654" s="217"/>
      <c r="O654" s="241" t="str">
        <f>IF(Q654 = "", "", COUNT(Q$4:$Q654))</f>
        <v/>
      </c>
      <c r="P654" s="241" t="str">
        <f t="shared" si="84"/>
        <v/>
      </c>
      <c r="Q654" s="242" t="str">
        <f t="shared" si="85"/>
        <v/>
      </c>
      <c r="R654" s="243" t="str">
        <f t="shared" si="88"/>
        <v/>
      </c>
      <c r="S654" s="244" t="str">
        <f t="shared" si="86"/>
        <v/>
      </c>
      <c r="T654" s="245" t="str">
        <f t="shared" si="89"/>
        <v/>
      </c>
      <c r="U654" s="246" t="str">
        <f t="shared" si="87"/>
        <v/>
      </c>
      <c r="V654" s="8"/>
      <c r="AR654" t="str">
        <f t="shared" si="83"/>
        <v/>
      </c>
      <c r="AS654" t="str">
        <f t="shared" si="82"/>
        <v/>
      </c>
    </row>
    <row r="655" spans="1:45" x14ac:dyDescent="0.3">
      <c r="A655" s="231"/>
      <c r="B655" s="235"/>
      <c r="C655" s="214"/>
      <c r="D655" s="214"/>
      <c r="E655" s="214"/>
      <c r="F655" s="214"/>
      <c r="G655" s="222"/>
      <c r="H655" s="221"/>
      <c r="I655" s="213"/>
      <c r="J655" s="213"/>
      <c r="K655" s="215"/>
      <c r="L655" s="216"/>
      <c r="M655" s="217"/>
      <c r="O655" s="241" t="str">
        <f>IF(Q655 = "", "", COUNT(Q$4:$Q655))</f>
        <v/>
      </c>
      <c r="P655" s="241" t="str">
        <f t="shared" si="84"/>
        <v/>
      </c>
      <c r="Q655" s="242" t="str">
        <f t="shared" si="85"/>
        <v/>
      </c>
      <c r="R655" s="243" t="str">
        <f t="shared" si="88"/>
        <v/>
      </c>
      <c r="S655" s="244" t="str">
        <f t="shared" si="86"/>
        <v/>
      </c>
      <c r="T655" s="245" t="str">
        <f t="shared" si="89"/>
        <v/>
      </c>
      <c r="U655" s="246" t="str">
        <f t="shared" si="87"/>
        <v/>
      </c>
      <c r="V655" s="8"/>
      <c r="AR655" t="str">
        <f t="shared" si="83"/>
        <v/>
      </c>
      <c r="AS655" t="str">
        <f t="shared" si="82"/>
        <v/>
      </c>
    </row>
    <row r="656" spans="1:45" x14ac:dyDescent="0.3">
      <c r="A656" s="231"/>
      <c r="B656" s="235"/>
      <c r="C656" s="214"/>
      <c r="D656" s="214"/>
      <c r="E656" s="214"/>
      <c r="F656" s="214"/>
      <c r="G656" s="222"/>
      <c r="H656" s="221"/>
      <c r="I656" s="213"/>
      <c r="J656" s="213"/>
      <c r="K656" s="215"/>
      <c r="L656" s="216"/>
      <c r="M656" s="217"/>
      <c r="O656" s="241" t="str">
        <f>IF(Q656 = "", "", COUNT(Q$4:$Q656))</f>
        <v/>
      </c>
      <c r="P656" s="241" t="str">
        <f t="shared" si="84"/>
        <v/>
      </c>
      <c r="Q656" s="242" t="str">
        <f t="shared" si="85"/>
        <v/>
      </c>
      <c r="R656" s="243" t="str">
        <f t="shared" si="88"/>
        <v/>
      </c>
      <c r="S656" s="244" t="str">
        <f t="shared" si="86"/>
        <v/>
      </c>
      <c r="T656" s="245" t="str">
        <f t="shared" si="89"/>
        <v/>
      </c>
      <c r="U656" s="246" t="str">
        <f t="shared" si="87"/>
        <v/>
      </c>
      <c r="V656" s="8"/>
      <c r="AR656" t="str">
        <f t="shared" si="83"/>
        <v/>
      </c>
      <c r="AS656" t="str">
        <f t="shared" si="82"/>
        <v/>
      </c>
    </row>
    <row r="657" spans="1:45" x14ac:dyDescent="0.3">
      <c r="A657" s="231"/>
      <c r="B657" s="235"/>
      <c r="C657" s="214"/>
      <c r="D657" s="214"/>
      <c r="E657" s="214"/>
      <c r="F657" s="214"/>
      <c r="G657" s="222"/>
      <c r="H657" s="221"/>
      <c r="I657" s="213"/>
      <c r="J657" s="213"/>
      <c r="K657" s="215"/>
      <c r="L657" s="216"/>
      <c r="M657" s="217"/>
      <c r="O657" s="241" t="str">
        <f>IF(Q657 = "", "", COUNT(Q$4:$Q657))</f>
        <v/>
      </c>
      <c r="P657" s="241" t="str">
        <f t="shared" si="84"/>
        <v/>
      </c>
      <c r="Q657" s="242" t="str">
        <f t="shared" si="85"/>
        <v/>
      </c>
      <c r="R657" s="243" t="str">
        <f t="shared" si="88"/>
        <v/>
      </c>
      <c r="S657" s="244" t="str">
        <f t="shared" si="86"/>
        <v/>
      </c>
      <c r="T657" s="245" t="str">
        <f t="shared" si="89"/>
        <v/>
      </c>
      <c r="U657" s="246" t="str">
        <f t="shared" si="87"/>
        <v/>
      </c>
      <c r="V657" s="8"/>
      <c r="AR657" t="str">
        <f t="shared" si="83"/>
        <v/>
      </c>
      <c r="AS657" t="str">
        <f t="shared" si="82"/>
        <v/>
      </c>
    </row>
    <row r="658" spans="1:45" x14ac:dyDescent="0.3">
      <c r="A658" s="231"/>
      <c r="B658" s="235"/>
      <c r="C658" s="214"/>
      <c r="D658" s="214"/>
      <c r="E658" s="214"/>
      <c r="F658" s="214"/>
      <c r="G658" s="222"/>
      <c r="H658" s="221"/>
      <c r="I658" s="213"/>
      <c r="J658" s="213"/>
      <c r="K658" s="215"/>
      <c r="L658" s="216"/>
      <c r="M658" s="217"/>
      <c r="O658" s="241" t="str">
        <f>IF(Q658 = "", "", COUNT(Q$4:$Q658))</f>
        <v/>
      </c>
      <c r="P658" s="241" t="str">
        <f t="shared" si="84"/>
        <v/>
      </c>
      <c r="Q658" s="242" t="str">
        <f t="shared" si="85"/>
        <v/>
      </c>
      <c r="R658" s="243" t="str">
        <f t="shared" si="88"/>
        <v/>
      </c>
      <c r="S658" s="244" t="str">
        <f t="shared" si="86"/>
        <v/>
      </c>
      <c r="T658" s="245" t="str">
        <f t="shared" si="89"/>
        <v/>
      </c>
      <c r="U658" s="246" t="str">
        <f t="shared" si="87"/>
        <v/>
      </c>
      <c r="V658" s="8"/>
      <c r="AR658" t="str">
        <f t="shared" si="83"/>
        <v/>
      </c>
      <c r="AS658" t="str">
        <f t="shared" si="82"/>
        <v/>
      </c>
    </row>
    <row r="659" spans="1:45" x14ac:dyDescent="0.3">
      <c r="A659" s="231"/>
      <c r="B659" s="235"/>
      <c r="C659" s="214"/>
      <c r="D659" s="214"/>
      <c r="E659" s="214"/>
      <c r="F659" s="214"/>
      <c r="G659" s="222"/>
      <c r="H659" s="221"/>
      <c r="I659" s="213"/>
      <c r="J659" s="213"/>
      <c r="K659" s="215"/>
      <c r="L659" s="216"/>
      <c r="M659" s="217"/>
      <c r="O659" s="241" t="str">
        <f>IF(Q659 = "", "", COUNT(Q$4:$Q659))</f>
        <v/>
      </c>
      <c r="P659" s="241" t="str">
        <f t="shared" si="84"/>
        <v/>
      </c>
      <c r="Q659" s="242" t="str">
        <f t="shared" si="85"/>
        <v/>
      </c>
      <c r="R659" s="243" t="str">
        <f t="shared" si="88"/>
        <v/>
      </c>
      <c r="S659" s="244" t="str">
        <f t="shared" si="86"/>
        <v/>
      </c>
      <c r="T659" s="245" t="str">
        <f t="shared" si="89"/>
        <v/>
      </c>
      <c r="U659" s="246" t="str">
        <f t="shared" si="87"/>
        <v/>
      </c>
      <c r="V659" s="8"/>
      <c r="AR659" t="str">
        <f t="shared" si="83"/>
        <v/>
      </c>
      <c r="AS659" t="str">
        <f t="shared" si="82"/>
        <v/>
      </c>
    </row>
    <row r="660" spans="1:45" x14ac:dyDescent="0.3">
      <c r="A660" s="231"/>
      <c r="B660" s="235"/>
      <c r="C660" s="214"/>
      <c r="D660" s="214"/>
      <c r="E660" s="214"/>
      <c r="F660" s="214"/>
      <c r="G660" s="222"/>
      <c r="H660" s="221"/>
      <c r="I660" s="213"/>
      <c r="J660" s="213"/>
      <c r="K660" s="215"/>
      <c r="L660" s="216"/>
      <c r="M660" s="217"/>
      <c r="O660" s="241" t="str">
        <f>IF(Q660 = "", "", COUNT(Q$4:$Q660))</f>
        <v/>
      </c>
      <c r="P660" s="241" t="str">
        <f t="shared" si="84"/>
        <v/>
      </c>
      <c r="Q660" s="242" t="str">
        <f t="shared" si="85"/>
        <v/>
      </c>
      <c r="R660" s="243" t="str">
        <f t="shared" si="88"/>
        <v/>
      </c>
      <c r="S660" s="244" t="str">
        <f t="shared" si="86"/>
        <v/>
      </c>
      <c r="T660" s="245" t="str">
        <f t="shared" si="89"/>
        <v/>
      </c>
      <c r="U660" s="246" t="str">
        <f t="shared" si="87"/>
        <v/>
      </c>
      <c r="V660" s="8"/>
      <c r="AR660" t="str">
        <f t="shared" si="83"/>
        <v/>
      </c>
      <c r="AS660" t="str">
        <f t="shared" si="82"/>
        <v/>
      </c>
    </row>
    <row r="661" spans="1:45" x14ac:dyDescent="0.3">
      <c r="A661" s="231"/>
      <c r="B661" s="235"/>
      <c r="C661" s="214"/>
      <c r="D661" s="214"/>
      <c r="E661" s="214"/>
      <c r="F661" s="214"/>
      <c r="G661" s="222"/>
      <c r="H661" s="221"/>
      <c r="I661" s="213"/>
      <c r="J661" s="213"/>
      <c r="K661" s="215"/>
      <c r="L661" s="216"/>
      <c r="M661" s="217"/>
      <c r="O661" s="241" t="str">
        <f>IF(Q661 = "", "", COUNT(Q$4:$Q661))</f>
        <v/>
      </c>
      <c r="P661" s="241" t="str">
        <f t="shared" si="84"/>
        <v/>
      </c>
      <c r="Q661" s="242" t="str">
        <f t="shared" si="85"/>
        <v/>
      </c>
      <c r="R661" s="243" t="str">
        <f t="shared" si="88"/>
        <v/>
      </c>
      <c r="S661" s="244" t="str">
        <f t="shared" si="86"/>
        <v/>
      </c>
      <c r="T661" s="245" t="str">
        <f t="shared" si="89"/>
        <v/>
      </c>
      <c r="U661" s="246" t="str">
        <f t="shared" si="87"/>
        <v/>
      </c>
      <c r="V661" s="8"/>
      <c r="AR661" t="str">
        <f t="shared" si="83"/>
        <v/>
      </c>
      <c r="AS661" t="str">
        <f t="shared" ref="AS661:AS724" si="90">IF(OR(L661="Y",M661="Y"),"Y","")</f>
        <v/>
      </c>
    </row>
    <row r="662" spans="1:45" x14ac:dyDescent="0.3">
      <c r="A662" s="231"/>
      <c r="B662" s="235"/>
      <c r="C662" s="214"/>
      <c r="D662" s="214"/>
      <c r="E662" s="214"/>
      <c r="F662" s="214"/>
      <c r="G662" s="222"/>
      <c r="H662" s="221"/>
      <c r="I662" s="213"/>
      <c r="J662" s="213"/>
      <c r="K662" s="215"/>
      <c r="L662" s="216"/>
      <c r="M662" s="217"/>
      <c r="O662" s="241" t="str">
        <f>IF(Q662 = "", "", COUNT(Q$4:$Q662))</f>
        <v/>
      </c>
      <c r="P662" s="241" t="str">
        <f t="shared" si="84"/>
        <v/>
      </c>
      <c r="Q662" s="242" t="str">
        <f t="shared" si="85"/>
        <v/>
      </c>
      <c r="R662" s="243" t="str">
        <f t="shared" si="88"/>
        <v/>
      </c>
      <c r="S662" s="244" t="str">
        <f t="shared" si="86"/>
        <v/>
      </c>
      <c r="T662" s="245" t="str">
        <f t="shared" si="89"/>
        <v/>
      </c>
      <c r="U662" s="246" t="str">
        <f t="shared" si="87"/>
        <v/>
      </c>
      <c r="V662" s="8"/>
      <c r="AR662" t="str">
        <f t="shared" ref="AR662:AR725" si="91">IF(O662&gt;0, O662, "")</f>
        <v/>
      </c>
      <c r="AS662" t="str">
        <f t="shared" si="90"/>
        <v/>
      </c>
    </row>
    <row r="663" spans="1:45" x14ac:dyDescent="0.3">
      <c r="A663" s="231"/>
      <c r="B663" s="235"/>
      <c r="C663" s="214"/>
      <c r="D663" s="214"/>
      <c r="E663" s="214"/>
      <c r="F663" s="214"/>
      <c r="G663" s="222"/>
      <c r="H663" s="221"/>
      <c r="I663" s="213"/>
      <c r="J663" s="213"/>
      <c r="K663" s="215"/>
      <c r="L663" s="216"/>
      <c r="M663" s="217"/>
      <c r="O663" s="241" t="str">
        <f>IF(Q663 = "", "", COUNT(Q$4:$Q663))</f>
        <v/>
      </c>
      <c r="P663" s="241" t="str">
        <f t="shared" si="84"/>
        <v/>
      </c>
      <c r="Q663" s="242" t="str">
        <f t="shared" si="85"/>
        <v/>
      </c>
      <c r="R663" s="243" t="str">
        <f t="shared" si="88"/>
        <v/>
      </c>
      <c r="S663" s="244" t="str">
        <f t="shared" si="86"/>
        <v/>
      </c>
      <c r="T663" s="245" t="str">
        <f t="shared" si="89"/>
        <v/>
      </c>
      <c r="U663" s="246" t="str">
        <f t="shared" si="87"/>
        <v/>
      </c>
      <c r="V663" s="8"/>
      <c r="AR663" t="str">
        <f t="shared" si="91"/>
        <v/>
      </c>
      <c r="AS663" t="str">
        <f t="shared" si="90"/>
        <v/>
      </c>
    </row>
    <row r="664" spans="1:45" x14ac:dyDescent="0.3">
      <c r="A664" s="231"/>
      <c r="B664" s="235"/>
      <c r="C664" s="214"/>
      <c r="D664" s="214"/>
      <c r="E664" s="214"/>
      <c r="F664" s="214"/>
      <c r="G664" s="222"/>
      <c r="H664" s="221"/>
      <c r="I664" s="213"/>
      <c r="J664" s="213"/>
      <c r="K664" s="215"/>
      <c r="L664" s="216"/>
      <c r="M664" s="217"/>
      <c r="O664" s="241" t="str">
        <f>IF(Q664 = "", "", COUNT(Q$4:$Q664))</f>
        <v/>
      </c>
      <c r="P664" s="241" t="str">
        <f t="shared" si="84"/>
        <v/>
      </c>
      <c r="Q664" s="242" t="str">
        <f t="shared" si="85"/>
        <v/>
      </c>
      <c r="R664" s="243" t="str">
        <f t="shared" si="88"/>
        <v/>
      </c>
      <c r="S664" s="244" t="str">
        <f t="shared" si="86"/>
        <v/>
      </c>
      <c r="T664" s="245" t="str">
        <f t="shared" si="89"/>
        <v/>
      </c>
      <c r="U664" s="246" t="str">
        <f t="shared" si="87"/>
        <v/>
      </c>
      <c r="V664" s="8"/>
      <c r="AR664" t="str">
        <f t="shared" si="91"/>
        <v/>
      </c>
      <c r="AS664" t="str">
        <f t="shared" si="90"/>
        <v/>
      </c>
    </row>
    <row r="665" spans="1:45" x14ac:dyDescent="0.3">
      <c r="A665" s="231"/>
      <c r="B665" s="235"/>
      <c r="C665" s="214"/>
      <c r="D665" s="214"/>
      <c r="E665" s="214"/>
      <c r="F665" s="214"/>
      <c r="G665" s="222"/>
      <c r="H665" s="221"/>
      <c r="I665" s="213"/>
      <c r="J665" s="213"/>
      <c r="K665" s="215"/>
      <c r="L665" s="216"/>
      <c r="M665" s="217"/>
      <c r="O665" s="241" t="str">
        <f>IF(Q665 = "", "", COUNT(Q$4:$Q665))</f>
        <v/>
      </c>
      <c r="P665" s="241" t="str">
        <f t="shared" si="84"/>
        <v/>
      </c>
      <c r="Q665" s="242" t="str">
        <f t="shared" si="85"/>
        <v/>
      </c>
      <c r="R665" s="243" t="str">
        <f t="shared" si="88"/>
        <v/>
      </c>
      <c r="S665" s="244" t="str">
        <f t="shared" si="86"/>
        <v/>
      </c>
      <c r="T665" s="245" t="str">
        <f t="shared" si="89"/>
        <v/>
      </c>
      <c r="U665" s="246" t="str">
        <f t="shared" si="87"/>
        <v/>
      </c>
      <c r="V665" s="8"/>
      <c r="AR665" t="str">
        <f t="shared" si="91"/>
        <v/>
      </c>
      <c r="AS665" t="str">
        <f t="shared" si="90"/>
        <v/>
      </c>
    </row>
    <row r="666" spans="1:45" x14ac:dyDescent="0.3">
      <c r="A666" s="231"/>
      <c r="B666" s="235"/>
      <c r="C666" s="214"/>
      <c r="D666" s="214"/>
      <c r="E666" s="214"/>
      <c r="F666" s="214"/>
      <c r="G666" s="222"/>
      <c r="H666" s="221"/>
      <c r="I666" s="213"/>
      <c r="J666" s="213"/>
      <c r="K666" s="215"/>
      <c r="L666" s="216"/>
      <c r="M666" s="217"/>
      <c r="O666" s="241" t="str">
        <f>IF(Q666 = "", "", COUNT(Q$4:$Q666))</f>
        <v/>
      </c>
      <c r="P666" s="241" t="str">
        <f t="shared" si="84"/>
        <v/>
      </c>
      <c r="Q666" s="242" t="str">
        <f t="shared" si="85"/>
        <v/>
      </c>
      <c r="R666" s="243" t="str">
        <f t="shared" si="88"/>
        <v/>
      </c>
      <c r="S666" s="244" t="str">
        <f t="shared" si="86"/>
        <v/>
      </c>
      <c r="T666" s="245" t="str">
        <f t="shared" si="89"/>
        <v/>
      </c>
      <c r="U666" s="246" t="str">
        <f t="shared" si="87"/>
        <v/>
      </c>
      <c r="V666" s="8"/>
      <c r="AR666" t="str">
        <f t="shared" si="91"/>
        <v/>
      </c>
      <c r="AS666" t="str">
        <f t="shared" si="90"/>
        <v/>
      </c>
    </row>
    <row r="667" spans="1:45" x14ac:dyDescent="0.3">
      <c r="A667" s="231"/>
      <c r="B667" s="235"/>
      <c r="C667" s="214"/>
      <c r="D667" s="214"/>
      <c r="E667" s="214"/>
      <c r="F667" s="214"/>
      <c r="G667" s="222"/>
      <c r="H667" s="221"/>
      <c r="I667" s="213"/>
      <c r="J667" s="213"/>
      <c r="K667" s="215"/>
      <c r="L667" s="216"/>
      <c r="M667" s="217"/>
      <c r="O667" s="241" t="str">
        <f>IF(Q667 = "", "", COUNT(Q$4:$Q667))</f>
        <v/>
      </c>
      <c r="P667" s="241" t="str">
        <f t="shared" si="84"/>
        <v/>
      </c>
      <c r="Q667" s="242" t="str">
        <f t="shared" si="85"/>
        <v/>
      </c>
      <c r="R667" s="243" t="str">
        <f t="shared" si="88"/>
        <v/>
      </c>
      <c r="S667" s="244" t="str">
        <f t="shared" si="86"/>
        <v/>
      </c>
      <c r="T667" s="245" t="str">
        <f t="shared" si="89"/>
        <v/>
      </c>
      <c r="U667" s="246" t="str">
        <f t="shared" si="87"/>
        <v/>
      </c>
      <c r="V667" s="8"/>
      <c r="AR667" t="str">
        <f t="shared" si="91"/>
        <v/>
      </c>
      <c r="AS667" t="str">
        <f t="shared" si="90"/>
        <v/>
      </c>
    </row>
    <row r="668" spans="1:45" x14ac:dyDescent="0.3">
      <c r="A668" s="231"/>
      <c r="B668" s="235"/>
      <c r="C668" s="214"/>
      <c r="D668" s="214"/>
      <c r="E668" s="214"/>
      <c r="F668" s="214"/>
      <c r="G668" s="222"/>
      <c r="H668" s="221"/>
      <c r="I668" s="213"/>
      <c r="J668" s="213"/>
      <c r="K668" s="215"/>
      <c r="L668" s="216"/>
      <c r="M668" s="217"/>
      <c r="O668" s="241" t="str">
        <f>IF(Q668 = "", "", COUNT(Q$4:$Q668))</f>
        <v/>
      </c>
      <c r="P668" s="241" t="str">
        <f t="shared" si="84"/>
        <v/>
      </c>
      <c r="Q668" s="242" t="str">
        <f t="shared" si="85"/>
        <v/>
      </c>
      <c r="R668" s="243" t="str">
        <f t="shared" si="88"/>
        <v/>
      </c>
      <c r="S668" s="244" t="str">
        <f t="shared" si="86"/>
        <v/>
      </c>
      <c r="T668" s="245" t="str">
        <f t="shared" si="89"/>
        <v/>
      </c>
      <c r="U668" s="246" t="str">
        <f t="shared" si="87"/>
        <v/>
      </c>
      <c r="V668" s="8"/>
      <c r="AR668" t="str">
        <f t="shared" si="91"/>
        <v/>
      </c>
      <c r="AS668" t="str">
        <f t="shared" si="90"/>
        <v/>
      </c>
    </row>
    <row r="669" spans="1:45" x14ac:dyDescent="0.3">
      <c r="A669" s="231"/>
      <c r="B669" s="235"/>
      <c r="C669" s="214"/>
      <c r="D669" s="214"/>
      <c r="E669" s="214"/>
      <c r="F669" s="214"/>
      <c r="G669" s="222"/>
      <c r="H669" s="221"/>
      <c r="I669" s="213"/>
      <c r="J669" s="213"/>
      <c r="K669" s="215"/>
      <c r="L669" s="216"/>
      <c r="M669" s="217"/>
      <c r="O669" s="241" t="str">
        <f>IF(Q669 = "", "", COUNT(Q$4:$Q669))</f>
        <v/>
      </c>
      <c r="P669" s="241" t="str">
        <f t="shared" si="84"/>
        <v/>
      </c>
      <c r="Q669" s="242" t="str">
        <f t="shared" si="85"/>
        <v/>
      </c>
      <c r="R669" s="243" t="str">
        <f t="shared" si="88"/>
        <v/>
      </c>
      <c r="S669" s="244" t="str">
        <f t="shared" si="86"/>
        <v/>
      </c>
      <c r="T669" s="245" t="str">
        <f t="shared" si="89"/>
        <v/>
      </c>
      <c r="U669" s="246" t="str">
        <f t="shared" si="87"/>
        <v/>
      </c>
      <c r="V669" s="8"/>
      <c r="AR669" t="str">
        <f t="shared" si="91"/>
        <v/>
      </c>
      <c r="AS669" t="str">
        <f t="shared" si="90"/>
        <v/>
      </c>
    </row>
    <row r="670" spans="1:45" x14ac:dyDescent="0.3">
      <c r="A670" s="231"/>
      <c r="B670" s="235"/>
      <c r="C670" s="214"/>
      <c r="D670" s="214"/>
      <c r="E670" s="214"/>
      <c r="F670" s="214"/>
      <c r="G670" s="222"/>
      <c r="H670" s="221"/>
      <c r="I670" s="213"/>
      <c r="J670" s="213"/>
      <c r="K670" s="215"/>
      <c r="L670" s="216"/>
      <c r="M670" s="217"/>
      <c r="O670" s="241" t="str">
        <f>IF(Q670 = "", "", COUNT(Q$4:$Q670))</f>
        <v/>
      </c>
      <c r="P670" s="241" t="str">
        <f t="shared" si="84"/>
        <v/>
      </c>
      <c r="Q670" s="242" t="str">
        <f t="shared" si="85"/>
        <v/>
      </c>
      <c r="R670" s="243" t="str">
        <f t="shared" si="88"/>
        <v/>
      </c>
      <c r="S670" s="244" t="str">
        <f t="shared" si="86"/>
        <v/>
      </c>
      <c r="T670" s="245" t="str">
        <f t="shared" si="89"/>
        <v/>
      </c>
      <c r="U670" s="246" t="str">
        <f t="shared" si="87"/>
        <v/>
      </c>
      <c r="V670" s="8"/>
      <c r="AR670" t="str">
        <f t="shared" si="91"/>
        <v/>
      </c>
      <c r="AS670" t="str">
        <f t="shared" si="90"/>
        <v/>
      </c>
    </row>
    <row r="671" spans="1:45" x14ac:dyDescent="0.3">
      <c r="A671" s="231"/>
      <c r="B671" s="235"/>
      <c r="C671" s="214"/>
      <c r="D671" s="214"/>
      <c r="E671" s="214"/>
      <c r="F671" s="214"/>
      <c r="G671" s="222"/>
      <c r="H671" s="221"/>
      <c r="I671" s="213"/>
      <c r="J671" s="213"/>
      <c r="K671" s="215"/>
      <c r="L671" s="216"/>
      <c r="M671" s="217"/>
      <c r="O671" s="241" t="str">
        <f>IF(Q671 = "", "", COUNT(Q$4:$Q671))</f>
        <v/>
      </c>
      <c r="P671" s="241" t="str">
        <f t="shared" si="84"/>
        <v/>
      </c>
      <c r="Q671" s="242" t="str">
        <f t="shared" si="85"/>
        <v/>
      </c>
      <c r="R671" s="243" t="str">
        <f t="shared" si="88"/>
        <v/>
      </c>
      <c r="S671" s="244" t="str">
        <f t="shared" si="86"/>
        <v/>
      </c>
      <c r="T671" s="245" t="str">
        <f t="shared" si="89"/>
        <v/>
      </c>
      <c r="U671" s="246" t="str">
        <f t="shared" si="87"/>
        <v/>
      </c>
      <c r="V671" s="8"/>
      <c r="AR671" t="str">
        <f t="shared" si="91"/>
        <v/>
      </c>
      <c r="AS671" t="str">
        <f t="shared" si="90"/>
        <v/>
      </c>
    </row>
    <row r="672" spans="1:45" x14ac:dyDescent="0.3">
      <c r="A672" s="231"/>
      <c r="B672" s="235"/>
      <c r="C672" s="214"/>
      <c r="D672" s="214"/>
      <c r="E672" s="214"/>
      <c r="F672" s="214"/>
      <c r="G672" s="222"/>
      <c r="H672" s="221"/>
      <c r="I672" s="213"/>
      <c r="J672" s="213"/>
      <c r="K672" s="215"/>
      <c r="L672" s="216"/>
      <c r="M672" s="217"/>
      <c r="O672" s="241" t="str">
        <f>IF(Q672 = "", "", COUNT(Q$4:$Q672))</f>
        <v/>
      </c>
      <c r="P672" s="241" t="str">
        <f t="shared" si="84"/>
        <v/>
      </c>
      <c r="Q672" s="242" t="str">
        <f t="shared" si="85"/>
        <v/>
      </c>
      <c r="R672" s="243" t="str">
        <f t="shared" si="88"/>
        <v/>
      </c>
      <c r="S672" s="244" t="str">
        <f t="shared" si="86"/>
        <v/>
      </c>
      <c r="T672" s="245" t="str">
        <f t="shared" si="89"/>
        <v/>
      </c>
      <c r="U672" s="246" t="str">
        <f t="shared" si="87"/>
        <v/>
      </c>
      <c r="V672" s="8"/>
      <c r="AR672" t="str">
        <f t="shared" si="91"/>
        <v/>
      </c>
      <c r="AS672" t="str">
        <f t="shared" si="90"/>
        <v/>
      </c>
    </row>
    <row r="673" spans="1:45" x14ac:dyDescent="0.3">
      <c r="A673" s="231"/>
      <c r="B673" s="235"/>
      <c r="C673" s="214"/>
      <c r="D673" s="214"/>
      <c r="E673" s="214"/>
      <c r="F673" s="214"/>
      <c r="G673" s="222"/>
      <c r="H673" s="221"/>
      <c r="I673" s="213"/>
      <c r="J673" s="213"/>
      <c r="K673" s="215"/>
      <c r="L673" s="216"/>
      <c r="M673" s="217"/>
      <c r="O673" s="241" t="str">
        <f>IF(Q673 = "", "", COUNT(Q$4:$Q673))</f>
        <v/>
      </c>
      <c r="P673" s="241" t="str">
        <f t="shared" si="84"/>
        <v/>
      </c>
      <c r="Q673" s="242" t="str">
        <f t="shared" si="85"/>
        <v/>
      </c>
      <c r="R673" s="243" t="str">
        <f t="shared" si="88"/>
        <v/>
      </c>
      <c r="S673" s="244" t="str">
        <f t="shared" si="86"/>
        <v/>
      </c>
      <c r="T673" s="245" t="str">
        <f t="shared" si="89"/>
        <v/>
      </c>
      <c r="U673" s="246" t="str">
        <f t="shared" si="87"/>
        <v/>
      </c>
      <c r="V673" s="8"/>
      <c r="AR673" t="str">
        <f t="shared" si="91"/>
        <v/>
      </c>
      <c r="AS673" t="str">
        <f t="shared" si="90"/>
        <v/>
      </c>
    </row>
    <row r="674" spans="1:45" x14ac:dyDescent="0.3">
      <c r="A674" s="231"/>
      <c r="B674" s="235"/>
      <c r="C674" s="214"/>
      <c r="D674" s="214"/>
      <c r="E674" s="214"/>
      <c r="F674" s="214"/>
      <c r="G674" s="222"/>
      <c r="H674" s="221"/>
      <c r="I674" s="213"/>
      <c r="J674" s="213"/>
      <c r="K674" s="215"/>
      <c r="L674" s="216"/>
      <c r="M674" s="217"/>
      <c r="O674" s="241" t="str">
        <f>IF(Q674 = "", "", COUNT(Q$4:$Q674))</f>
        <v/>
      </c>
      <c r="P674" s="241" t="str">
        <f t="shared" si="84"/>
        <v/>
      </c>
      <c r="Q674" s="242" t="str">
        <f t="shared" si="85"/>
        <v/>
      </c>
      <c r="R674" s="243" t="str">
        <f t="shared" si="88"/>
        <v/>
      </c>
      <c r="S674" s="244" t="str">
        <f t="shared" si="86"/>
        <v/>
      </c>
      <c r="T674" s="245" t="str">
        <f t="shared" si="89"/>
        <v/>
      </c>
      <c r="U674" s="246" t="str">
        <f t="shared" si="87"/>
        <v/>
      </c>
      <c r="V674" s="8"/>
      <c r="AR674" t="str">
        <f t="shared" si="91"/>
        <v/>
      </c>
      <c r="AS674" t="str">
        <f t="shared" si="90"/>
        <v/>
      </c>
    </row>
    <row r="675" spans="1:45" x14ac:dyDescent="0.3">
      <c r="A675" s="231"/>
      <c r="B675" s="235"/>
      <c r="C675" s="214"/>
      <c r="D675" s="214"/>
      <c r="E675" s="214"/>
      <c r="F675" s="214"/>
      <c r="G675" s="222"/>
      <c r="H675" s="221"/>
      <c r="I675" s="213"/>
      <c r="J675" s="213"/>
      <c r="K675" s="215"/>
      <c r="L675" s="216"/>
      <c r="M675" s="217"/>
      <c r="O675" s="241" t="str">
        <f>IF(Q675 = "", "", COUNT(Q$4:$Q675))</f>
        <v/>
      </c>
      <c r="P675" s="241" t="str">
        <f t="shared" si="84"/>
        <v/>
      </c>
      <c r="Q675" s="242" t="str">
        <f t="shared" si="85"/>
        <v/>
      </c>
      <c r="R675" s="243" t="str">
        <f t="shared" si="88"/>
        <v/>
      </c>
      <c r="S675" s="244" t="str">
        <f t="shared" si="86"/>
        <v/>
      </c>
      <c r="T675" s="245" t="str">
        <f t="shared" si="89"/>
        <v/>
      </c>
      <c r="U675" s="246" t="str">
        <f t="shared" si="87"/>
        <v/>
      </c>
      <c r="V675" s="8"/>
      <c r="AR675" t="str">
        <f t="shared" si="91"/>
        <v/>
      </c>
      <c r="AS675" t="str">
        <f t="shared" si="90"/>
        <v/>
      </c>
    </row>
    <row r="676" spans="1:45" x14ac:dyDescent="0.3">
      <c r="A676" s="231"/>
      <c r="B676" s="235"/>
      <c r="C676" s="214"/>
      <c r="D676" s="214"/>
      <c r="E676" s="214"/>
      <c r="F676" s="214"/>
      <c r="G676" s="222"/>
      <c r="H676" s="221"/>
      <c r="I676" s="213"/>
      <c r="J676" s="213"/>
      <c r="K676" s="215"/>
      <c r="L676" s="216"/>
      <c r="M676" s="217"/>
      <c r="O676" s="241" t="str">
        <f>IF(Q676 = "", "", COUNT(Q$4:$Q676))</f>
        <v/>
      </c>
      <c r="P676" s="241" t="str">
        <f t="shared" si="84"/>
        <v/>
      </c>
      <c r="Q676" s="242" t="str">
        <f t="shared" si="85"/>
        <v/>
      </c>
      <c r="R676" s="243" t="str">
        <f t="shared" si="88"/>
        <v/>
      </c>
      <c r="S676" s="244" t="str">
        <f t="shared" si="86"/>
        <v/>
      </c>
      <c r="T676" s="245" t="str">
        <f t="shared" si="89"/>
        <v/>
      </c>
      <c r="U676" s="246" t="str">
        <f t="shared" si="87"/>
        <v/>
      </c>
      <c r="V676" s="8"/>
      <c r="AR676" t="str">
        <f t="shared" si="91"/>
        <v/>
      </c>
      <c r="AS676" t="str">
        <f t="shared" si="90"/>
        <v/>
      </c>
    </row>
    <row r="677" spans="1:45" x14ac:dyDescent="0.3">
      <c r="A677" s="231"/>
      <c r="B677" s="235"/>
      <c r="C677" s="214"/>
      <c r="D677" s="214"/>
      <c r="E677" s="214"/>
      <c r="F677" s="214"/>
      <c r="G677" s="222"/>
      <c r="H677" s="221"/>
      <c r="I677" s="213"/>
      <c r="J677" s="213"/>
      <c r="K677" s="215"/>
      <c r="L677" s="216"/>
      <c r="M677" s="217"/>
      <c r="O677" s="241" t="str">
        <f>IF(Q677 = "", "", COUNT(Q$4:$Q677))</f>
        <v/>
      </c>
      <c r="P677" s="241" t="str">
        <f t="shared" si="84"/>
        <v/>
      </c>
      <c r="Q677" s="242" t="str">
        <f t="shared" si="85"/>
        <v/>
      </c>
      <c r="R677" s="243" t="str">
        <f t="shared" si="88"/>
        <v/>
      </c>
      <c r="S677" s="244" t="str">
        <f t="shared" si="86"/>
        <v/>
      </c>
      <c r="T677" s="245" t="str">
        <f t="shared" si="89"/>
        <v/>
      </c>
      <c r="U677" s="246" t="str">
        <f t="shared" si="87"/>
        <v/>
      </c>
      <c r="V677" s="8"/>
      <c r="AR677" t="str">
        <f t="shared" si="91"/>
        <v/>
      </c>
      <c r="AS677" t="str">
        <f t="shared" si="90"/>
        <v/>
      </c>
    </row>
    <row r="678" spans="1:45" x14ac:dyDescent="0.3">
      <c r="A678" s="231"/>
      <c r="B678" s="235"/>
      <c r="C678" s="214"/>
      <c r="D678" s="214"/>
      <c r="E678" s="214"/>
      <c r="F678" s="214"/>
      <c r="G678" s="222"/>
      <c r="H678" s="221"/>
      <c r="I678" s="213"/>
      <c r="J678" s="213"/>
      <c r="K678" s="215"/>
      <c r="L678" s="216"/>
      <c r="M678" s="217"/>
      <c r="O678" s="241" t="str">
        <f>IF(Q678 = "", "", COUNT(Q$4:$Q678))</f>
        <v/>
      </c>
      <c r="P678" s="241" t="str">
        <f t="shared" si="84"/>
        <v/>
      </c>
      <c r="Q678" s="242" t="str">
        <f t="shared" si="85"/>
        <v/>
      </c>
      <c r="R678" s="243" t="str">
        <f t="shared" si="88"/>
        <v/>
      </c>
      <c r="S678" s="244" t="str">
        <f t="shared" si="86"/>
        <v/>
      </c>
      <c r="T678" s="245" t="str">
        <f t="shared" si="89"/>
        <v/>
      </c>
      <c r="U678" s="246" t="str">
        <f t="shared" si="87"/>
        <v/>
      </c>
      <c r="V678" s="8"/>
      <c r="AR678" t="str">
        <f t="shared" si="91"/>
        <v/>
      </c>
      <c r="AS678" t="str">
        <f t="shared" si="90"/>
        <v/>
      </c>
    </row>
    <row r="679" spans="1:45" x14ac:dyDescent="0.3">
      <c r="A679" s="231"/>
      <c r="B679" s="235"/>
      <c r="C679" s="214"/>
      <c r="D679" s="214"/>
      <c r="E679" s="214"/>
      <c r="F679" s="214"/>
      <c r="G679" s="222"/>
      <c r="H679" s="221"/>
      <c r="I679" s="213"/>
      <c r="J679" s="213"/>
      <c r="K679" s="215"/>
      <c r="L679" s="216"/>
      <c r="M679" s="217"/>
      <c r="O679" s="241" t="str">
        <f>IF(Q679 = "", "", COUNT(Q$4:$Q679))</f>
        <v/>
      </c>
      <c r="P679" s="241" t="str">
        <f t="shared" si="84"/>
        <v/>
      </c>
      <c r="Q679" s="242" t="str">
        <f t="shared" si="85"/>
        <v/>
      </c>
      <c r="R679" s="243" t="str">
        <f t="shared" si="88"/>
        <v/>
      </c>
      <c r="S679" s="244" t="str">
        <f t="shared" si="86"/>
        <v/>
      </c>
      <c r="T679" s="245" t="str">
        <f t="shared" si="89"/>
        <v/>
      </c>
      <c r="U679" s="246" t="str">
        <f t="shared" si="87"/>
        <v/>
      </c>
      <c r="V679" s="8"/>
      <c r="AR679" t="str">
        <f t="shared" si="91"/>
        <v/>
      </c>
      <c r="AS679" t="str">
        <f t="shared" si="90"/>
        <v/>
      </c>
    </row>
    <row r="680" spans="1:45" x14ac:dyDescent="0.3">
      <c r="A680" s="231"/>
      <c r="B680" s="235"/>
      <c r="C680" s="214"/>
      <c r="D680" s="214"/>
      <c r="E680" s="214"/>
      <c r="F680" s="214"/>
      <c r="G680" s="222"/>
      <c r="H680" s="221"/>
      <c r="I680" s="213"/>
      <c r="J680" s="213"/>
      <c r="K680" s="215"/>
      <c r="L680" s="216"/>
      <c r="M680" s="217"/>
      <c r="O680" s="241" t="str">
        <f>IF(Q680 = "", "", COUNT(Q$4:$Q680))</f>
        <v/>
      </c>
      <c r="P680" s="241" t="str">
        <f t="shared" si="84"/>
        <v/>
      </c>
      <c r="Q680" s="242" t="str">
        <f t="shared" si="85"/>
        <v/>
      </c>
      <c r="R680" s="243" t="str">
        <f t="shared" si="88"/>
        <v/>
      </c>
      <c r="S680" s="244" t="str">
        <f t="shared" si="86"/>
        <v/>
      </c>
      <c r="T680" s="245" t="str">
        <f t="shared" si="89"/>
        <v/>
      </c>
      <c r="U680" s="246" t="str">
        <f t="shared" si="87"/>
        <v/>
      </c>
      <c r="V680" s="8"/>
      <c r="AR680" t="str">
        <f t="shared" si="91"/>
        <v/>
      </c>
      <c r="AS680" t="str">
        <f t="shared" si="90"/>
        <v/>
      </c>
    </row>
    <row r="681" spans="1:45" x14ac:dyDescent="0.3">
      <c r="A681" s="231"/>
      <c r="B681" s="235"/>
      <c r="C681" s="214"/>
      <c r="D681" s="214"/>
      <c r="E681" s="214"/>
      <c r="F681" s="214"/>
      <c r="G681" s="222"/>
      <c r="H681" s="221"/>
      <c r="I681" s="213"/>
      <c r="J681" s="213"/>
      <c r="K681" s="215"/>
      <c r="L681" s="216"/>
      <c r="M681" s="217"/>
      <c r="O681" s="241" t="str">
        <f>IF(Q681 = "", "", COUNT(Q$4:$Q681))</f>
        <v/>
      </c>
      <c r="P681" s="241" t="str">
        <f t="shared" si="84"/>
        <v/>
      </c>
      <c r="Q681" s="242" t="str">
        <f t="shared" si="85"/>
        <v/>
      </c>
      <c r="R681" s="243" t="str">
        <f t="shared" si="88"/>
        <v/>
      </c>
      <c r="S681" s="244" t="str">
        <f t="shared" si="86"/>
        <v/>
      </c>
      <c r="T681" s="245" t="str">
        <f t="shared" si="89"/>
        <v/>
      </c>
      <c r="U681" s="246" t="str">
        <f t="shared" si="87"/>
        <v/>
      </c>
      <c r="V681" s="8"/>
      <c r="AR681" t="str">
        <f t="shared" si="91"/>
        <v/>
      </c>
      <c r="AS681" t="str">
        <f t="shared" si="90"/>
        <v/>
      </c>
    </row>
    <row r="682" spans="1:45" x14ac:dyDescent="0.3">
      <c r="A682" s="231"/>
      <c r="B682" s="235"/>
      <c r="C682" s="214"/>
      <c r="D682" s="214"/>
      <c r="E682" s="214"/>
      <c r="F682" s="214"/>
      <c r="G682" s="222"/>
      <c r="H682" s="221"/>
      <c r="I682" s="213"/>
      <c r="J682" s="213"/>
      <c r="K682" s="215"/>
      <c r="L682" s="216"/>
      <c r="M682" s="217"/>
      <c r="O682" s="241" t="str">
        <f>IF(Q682 = "", "", COUNT(Q$4:$Q682))</f>
        <v/>
      </c>
      <c r="P682" s="241" t="str">
        <f t="shared" si="84"/>
        <v/>
      </c>
      <c r="Q682" s="242" t="str">
        <f t="shared" si="85"/>
        <v/>
      </c>
      <c r="R682" s="243" t="str">
        <f t="shared" si="88"/>
        <v/>
      </c>
      <c r="S682" s="244" t="str">
        <f t="shared" si="86"/>
        <v/>
      </c>
      <c r="T682" s="245" t="str">
        <f t="shared" si="89"/>
        <v/>
      </c>
      <c r="U682" s="246" t="str">
        <f t="shared" si="87"/>
        <v/>
      </c>
      <c r="V682" s="8"/>
      <c r="AR682" t="str">
        <f t="shared" si="91"/>
        <v/>
      </c>
      <c r="AS682" t="str">
        <f t="shared" si="90"/>
        <v/>
      </c>
    </row>
    <row r="683" spans="1:45" x14ac:dyDescent="0.3">
      <c r="A683" s="231"/>
      <c r="B683" s="235"/>
      <c r="C683" s="214"/>
      <c r="D683" s="214"/>
      <c r="E683" s="214"/>
      <c r="F683" s="214"/>
      <c r="G683" s="222"/>
      <c r="H683" s="221"/>
      <c r="I683" s="213"/>
      <c r="J683" s="213"/>
      <c r="K683" s="215"/>
      <c r="L683" s="216"/>
      <c r="M683" s="217"/>
      <c r="O683" s="241" t="str">
        <f>IF(Q683 = "", "", COUNT(Q$4:$Q683))</f>
        <v/>
      </c>
      <c r="P683" s="241" t="str">
        <f t="shared" si="84"/>
        <v/>
      </c>
      <c r="Q683" s="242" t="str">
        <f t="shared" si="85"/>
        <v/>
      </c>
      <c r="R683" s="243" t="str">
        <f t="shared" si="88"/>
        <v/>
      </c>
      <c r="S683" s="244" t="str">
        <f t="shared" si="86"/>
        <v/>
      </c>
      <c r="T683" s="245" t="str">
        <f t="shared" si="89"/>
        <v/>
      </c>
      <c r="U683" s="246" t="str">
        <f t="shared" si="87"/>
        <v/>
      </c>
      <c r="V683" s="8"/>
      <c r="AR683" t="str">
        <f t="shared" si="91"/>
        <v/>
      </c>
      <c r="AS683" t="str">
        <f t="shared" si="90"/>
        <v/>
      </c>
    </row>
    <row r="684" spans="1:45" x14ac:dyDescent="0.3">
      <c r="A684" s="231"/>
      <c r="B684" s="235"/>
      <c r="C684" s="214"/>
      <c r="D684" s="214"/>
      <c r="E684" s="214"/>
      <c r="F684" s="214"/>
      <c r="G684" s="222"/>
      <c r="H684" s="221"/>
      <c r="I684" s="213"/>
      <c r="J684" s="213"/>
      <c r="K684" s="215"/>
      <c r="L684" s="216"/>
      <c r="M684" s="217"/>
      <c r="O684" s="241" t="str">
        <f>IF(Q684 = "", "", COUNT(Q$4:$Q684))</f>
        <v/>
      </c>
      <c r="P684" s="241" t="str">
        <f t="shared" si="84"/>
        <v/>
      </c>
      <c r="Q684" s="242" t="str">
        <f t="shared" si="85"/>
        <v/>
      </c>
      <c r="R684" s="243" t="str">
        <f t="shared" si="88"/>
        <v/>
      </c>
      <c r="S684" s="244" t="str">
        <f t="shared" si="86"/>
        <v/>
      </c>
      <c r="T684" s="245" t="str">
        <f t="shared" si="89"/>
        <v/>
      </c>
      <c r="U684" s="246" t="str">
        <f t="shared" si="87"/>
        <v/>
      </c>
      <c r="V684" s="8"/>
      <c r="AR684" t="str">
        <f t="shared" si="91"/>
        <v/>
      </c>
      <c r="AS684" t="str">
        <f t="shared" si="90"/>
        <v/>
      </c>
    </row>
    <row r="685" spans="1:45" x14ac:dyDescent="0.3">
      <c r="A685" s="231"/>
      <c r="B685" s="235"/>
      <c r="C685" s="214"/>
      <c r="D685" s="214"/>
      <c r="E685" s="214"/>
      <c r="F685" s="214"/>
      <c r="G685" s="222"/>
      <c r="H685" s="221"/>
      <c r="I685" s="213"/>
      <c r="J685" s="213"/>
      <c r="K685" s="215"/>
      <c r="L685" s="216"/>
      <c r="M685" s="217"/>
      <c r="O685" s="241" t="str">
        <f>IF(Q685 = "", "", COUNT(Q$4:$Q685))</f>
        <v/>
      </c>
      <c r="P685" s="241" t="str">
        <f t="shared" si="84"/>
        <v/>
      </c>
      <c r="Q685" s="242" t="str">
        <f t="shared" si="85"/>
        <v/>
      </c>
      <c r="R685" s="243" t="str">
        <f t="shared" si="88"/>
        <v/>
      </c>
      <c r="S685" s="244" t="str">
        <f t="shared" si="86"/>
        <v/>
      </c>
      <c r="T685" s="245" t="str">
        <f t="shared" si="89"/>
        <v/>
      </c>
      <c r="U685" s="246" t="str">
        <f t="shared" si="87"/>
        <v/>
      </c>
      <c r="V685" s="8"/>
      <c r="AR685" t="str">
        <f t="shared" si="91"/>
        <v/>
      </c>
      <c r="AS685" t="str">
        <f t="shared" si="90"/>
        <v/>
      </c>
    </row>
    <row r="686" spans="1:45" x14ac:dyDescent="0.3">
      <c r="A686" s="231"/>
      <c r="B686" s="235"/>
      <c r="C686" s="214"/>
      <c r="D686" s="214"/>
      <c r="E686" s="214"/>
      <c r="F686" s="214"/>
      <c r="G686" s="222"/>
      <c r="H686" s="221"/>
      <c r="I686" s="213"/>
      <c r="J686" s="213"/>
      <c r="K686" s="215"/>
      <c r="L686" s="216"/>
      <c r="M686" s="217"/>
      <c r="O686" s="241" t="str">
        <f>IF(Q686 = "", "", COUNT(Q$4:$Q686))</f>
        <v/>
      </c>
      <c r="P686" s="241" t="str">
        <f t="shared" si="84"/>
        <v/>
      </c>
      <c r="Q686" s="242" t="str">
        <f t="shared" si="85"/>
        <v/>
      </c>
      <c r="R686" s="243" t="str">
        <f t="shared" si="88"/>
        <v/>
      </c>
      <c r="S686" s="244" t="str">
        <f t="shared" si="86"/>
        <v/>
      </c>
      <c r="T686" s="245" t="str">
        <f t="shared" si="89"/>
        <v/>
      </c>
      <c r="U686" s="246" t="str">
        <f t="shared" si="87"/>
        <v/>
      </c>
      <c r="V686" s="8"/>
      <c r="AR686" t="str">
        <f t="shared" si="91"/>
        <v/>
      </c>
      <c r="AS686" t="str">
        <f t="shared" si="90"/>
        <v/>
      </c>
    </row>
    <row r="687" spans="1:45" x14ac:dyDescent="0.3">
      <c r="A687" s="231"/>
      <c r="B687" s="235"/>
      <c r="C687" s="214"/>
      <c r="D687" s="214"/>
      <c r="E687" s="214"/>
      <c r="F687" s="214"/>
      <c r="G687" s="222"/>
      <c r="H687" s="221"/>
      <c r="I687" s="213"/>
      <c r="J687" s="213"/>
      <c r="K687" s="215"/>
      <c r="L687" s="216"/>
      <c r="M687" s="217"/>
      <c r="O687" s="241" t="str">
        <f>IF(Q687 = "", "", COUNT(Q$4:$Q687))</f>
        <v/>
      </c>
      <c r="P687" s="241" t="str">
        <f t="shared" si="84"/>
        <v/>
      </c>
      <c r="Q687" s="242" t="str">
        <f t="shared" si="85"/>
        <v/>
      </c>
      <c r="R687" s="243" t="str">
        <f t="shared" si="88"/>
        <v/>
      </c>
      <c r="S687" s="244" t="str">
        <f t="shared" si="86"/>
        <v/>
      </c>
      <c r="T687" s="245" t="str">
        <f t="shared" si="89"/>
        <v/>
      </c>
      <c r="U687" s="246" t="str">
        <f t="shared" si="87"/>
        <v/>
      </c>
      <c r="V687" s="8"/>
      <c r="AR687" t="str">
        <f t="shared" si="91"/>
        <v/>
      </c>
      <c r="AS687" t="str">
        <f t="shared" si="90"/>
        <v/>
      </c>
    </row>
    <row r="688" spans="1:45" x14ac:dyDescent="0.3">
      <c r="A688" s="231"/>
      <c r="B688" s="235"/>
      <c r="C688" s="214"/>
      <c r="D688" s="214"/>
      <c r="E688" s="214"/>
      <c r="F688" s="214"/>
      <c r="G688" s="222"/>
      <c r="H688" s="221"/>
      <c r="I688" s="213"/>
      <c r="J688" s="213"/>
      <c r="K688" s="215"/>
      <c r="L688" s="216"/>
      <c r="M688" s="217"/>
      <c r="O688" s="241" t="str">
        <f>IF(Q688 = "", "", COUNT(Q$4:$Q688))</f>
        <v/>
      </c>
      <c r="P688" s="241" t="str">
        <f t="shared" si="84"/>
        <v/>
      </c>
      <c r="Q688" s="242" t="str">
        <f t="shared" si="85"/>
        <v/>
      </c>
      <c r="R688" s="243" t="str">
        <f t="shared" si="88"/>
        <v/>
      </c>
      <c r="S688" s="244" t="str">
        <f t="shared" si="86"/>
        <v/>
      </c>
      <c r="T688" s="245" t="str">
        <f t="shared" si="89"/>
        <v/>
      </c>
      <c r="U688" s="246" t="str">
        <f t="shared" si="87"/>
        <v/>
      </c>
      <c r="V688" s="8"/>
      <c r="AR688" t="str">
        <f t="shared" si="91"/>
        <v/>
      </c>
      <c r="AS688" t="str">
        <f t="shared" si="90"/>
        <v/>
      </c>
    </row>
    <row r="689" spans="1:45" x14ac:dyDescent="0.3">
      <c r="A689" s="231"/>
      <c r="B689" s="235"/>
      <c r="C689" s="214"/>
      <c r="D689" s="214"/>
      <c r="E689" s="214"/>
      <c r="F689" s="214"/>
      <c r="G689" s="222"/>
      <c r="H689" s="221"/>
      <c r="I689" s="213"/>
      <c r="J689" s="213"/>
      <c r="K689" s="215"/>
      <c r="L689" s="216"/>
      <c r="M689" s="217"/>
      <c r="O689" s="241" t="str">
        <f>IF(Q689 = "", "", COUNT(Q$4:$Q689))</f>
        <v/>
      </c>
      <c r="P689" s="241" t="str">
        <f t="shared" si="84"/>
        <v/>
      </c>
      <c r="Q689" s="242" t="str">
        <f t="shared" si="85"/>
        <v/>
      </c>
      <c r="R689" s="243" t="str">
        <f t="shared" si="88"/>
        <v/>
      </c>
      <c r="S689" s="244" t="str">
        <f t="shared" si="86"/>
        <v/>
      </c>
      <c r="T689" s="245" t="str">
        <f t="shared" si="89"/>
        <v/>
      </c>
      <c r="U689" s="246" t="str">
        <f t="shared" si="87"/>
        <v/>
      </c>
      <c r="V689" s="8"/>
      <c r="AR689" t="str">
        <f t="shared" si="91"/>
        <v/>
      </c>
      <c r="AS689" t="str">
        <f t="shared" si="90"/>
        <v/>
      </c>
    </row>
    <row r="690" spans="1:45" x14ac:dyDescent="0.3">
      <c r="A690" s="231"/>
      <c r="B690" s="235"/>
      <c r="C690" s="214"/>
      <c r="D690" s="214"/>
      <c r="E690" s="214"/>
      <c r="F690" s="214"/>
      <c r="G690" s="222"/>
      <c r="H690" s="221"/>
      <c r="I690" s="213"/>
      <c r="J690" s="213"/>
      <c r="K690" s="215"/>
      <c r="L690" s="216"/>
      <c r="M690" s="217"/>
      <c r="O690" s="241" t="str">
        <f>IF(Q690 = "", "", COUNT(Q$4:$Q690))</f>
        <v/>
      </c>
      <c r="P690" s="241" t="str">
        <f t="shared" si="84"/>
        <v/>
      </c>
      <c r="Q690" s="242" t="str">
        <f t="shared" si="85"/>
        <v/>
      </c>
      <c r="R690" s="243" t="str">
        <f t="shared" si="88"/>
        <v/>
      </c>
      <c r="S690" s="244" t="str">
        <f t="shared" si="86"/>
        <v/>
      </c>
      <c r="T690" s="245" t="str">
        <f t="shared" si="89"/>
        <v/>
      </c>
      <c r="U690" s="246" t="str">
        <f t="shared" si="87"/>
        <v/>
      </c>
      <c r="V690" s="8"/>
      <c r="AR690" t="str">
        <f t="shared" si="91"/>
        <v/>
      </c>
      <c r="AS690" t="str">
        <f t="shared" si="90"/>
        <v/>
      </c>
    </row>
    <row r="691" spans="1:45" x14ac:dyDescent="0.3">
      <c r="A691" s="231"/>
      <c r="B691" s="235"/>
      <c r="C691" s="214"/>
      <c r="D691" s="214"/>
      <c r="E691" s="214"/>
      <c r="F691" s="214"/>
      <c r="G691" s="222"/>
      <c r="H691" s="221"/>
      <c r="I691" s="213"/>
      <c r="J691" s="213"/>
      <c r="K691" s="215"/>
      <c r="L691" s="216"/>
      <c r="M691" s="217"/>
      <c r="O691" s="241" t="str">
        <f>IF(Q691 = "", "", COUNT(Q$4:$Q691))</f>
        <v/>
      </c>
      <c r="P691" s="241" t="str">
        <f t="shared" si="84"/>
        <v/>
      </c>
      <c r="Q691" s="242" t="str">
        <f t="shared" si="85"/>
        <v/>
      </c>
      <c r="R691" s="243" t="str">
        <f t="shared" si="88"/>
        <v/>
      </c>
      <c r="S691" s="244" t="str">
        <f t="shared" si="86"/>
        <v/>
      </c>
      <c r="T691" s="245" t="str">
        <f t="shared" si="89"/>
        <v/>
      </c>
      <c r="U691" s="246" t="str">
        <f t="shared" si="87"/>
        <v/>
      </c>
      <c r="V691" s="8"/>
      <c r="AR691" t="str">
        <f t="shared" si="91"/>
        <v/>
      </c>
      <c r="AS691" t="str">
        <f t="shared" si="90"/>
        <v/>
      </c>
    </row>
    <row r="692" spans="1:45" x14ac:dyDescent="0.3">
      <c r="A692" s="231"/>
      <c r="B692" s="235"/>
      <c r="C692" s="214"/>
      <c r="D692" s="214"/>
      <c r="E692" s="214"/>
      <c r="F692" s="214"/>
      <c r="G692" s="222"/>
      <c r="H692" s="221"/>
      <c r="I692" s="213"/>
      <c r="J692" s="213"/>
      <c r="K692" s="215"/>
      <c r="L692" s="216"/>
      <c r="M692" s="217"/>
      <c r="O692" s="241" t="str">
        <f>IF(Q692 = "", "", COUNT(Q$4:$Q692))</f>
        <v/>
      </c>
      <c r="P692" s="241" t="str">
        <f t="shared" si="84"/>
        <v/>
      </c>
      <c r="Q692" s="242" t="str">
        <f t="shared" si="85"/>
        <v/>
      </c>
      <c r="R692" s="243" t="str">
        <f t="shared" si="88"/>
        <v/>
      </c>
      <c r="S692" s="244" t="str">
        <f t="shared" si="86"/>
        <v/>
      </c>
      <c r="T692" s="245" t="str">
        <f t="shared" si="89"/>
        <v/>
      </c>
      <c r="U692" s="246" t="str">
        <f t="shared" si="87"/>
        <v/>
      </c>
      <c r="V692" s="8"/>
      <c r="AR692" t="str">
        <f t="shared" si="91"/>
        <v/>
      </c>
      <c r="AS692" t="str">
        <f t="shared" si="90"/>
        <v/>
      </c>
    </row>
    <row r="693" spans="1:45" x14ac:dyDescent="0.3">
      <c r="A693" s="231"/>
      <c r="B693" s="235"/>
      <c r="C693" s="214"/>
      <c r="D693" s="214"/>
      <c r="E693" s="214"/>
      <c r="F693" s="214"/>
      <c r="G693" s="222"/>
      <c r="H693" s="221"/>
      <c r="I693" s="213"/>
      <c r="J693" s="213"/>
      <c r="K693" s="215"/>
      <c r="L693" s="216"/>
      <c r="M693" s="217"/>
      <c r="O693" s="241" t="str">
        <f>IF(Q693 = "", "", COUNT(Q$4:$Q693))</f>
        <v/>
      </c>
      <c r="P693" s="241" t="str">
        <f t="shared" si="84"/>
        <v/>
      </c>
      <c r="Q693" s="242" t="str">
        <f t="shared" si="85"/>
        <v/>
      </c>
      <c r="R693" s="243" t="str">
        <f t="shared" si="88"/>
        <v/>
      </c>
      <c r="S693" s="244" t="str">
        <f t="shared" si="86"/>
        <v/>
      </c>
      <c r="T693" s="245" t="str">
        <f t="shared" si="89"/>
        <v/>
      </c>
      <c r="U693" s="246" t="str">
        <f t="shared" si="87"/>
        <v/>
      </c>
      <c r="V693" s="8"/>
      <c r="AR693" t="str">
        <f t="shared" si="91"/>
        <v/>
      </c>
      <c r="AS693" t="str">
        <f t="shared" si="90"/>
        <v/>
      </c>
    </row>
    <row r="694" spans="1:45" x14ac:dyDescent="0.3">
      <c r="A694" s="231"/>
      <c r="B694" s="235"/>
      <c r="C694" s="214"/>
      <c r="D694" s="214"/>
      <c r="E694" s="214"/>
      <c r="F694" s="214"/>
      <c r="G694" s="222"/>
      <c r="H694" s="221"/>
      <c r="I694" s="213"/>
      <c r="J694" s="213"/>
      <c r="K694" s="215"/>
      <c r="L694" s="216"/>
      <c r="M694" s="217"/>
      <c r="O694" s="241" t="str">
        <f>IF(Q694 = "", "", COUNT(Q$4:$Q694))</f>
        <v/>
      </c>
      <c r="P694" s="241" t="str">
        <f t="shared" si="84"/>
        <v/>
      </c>
      <c r="Q694" s="242" t="str">
        <f t="shared" si="85"/>
        <v/>
      </c>
      <c r="R694" s="243" t="str">
        <f t="shared" si="88"/>
        <v/>
      </c>
      <c r="S694" s="244" t="str">
        <f t="shared" si="86"/>
        <v/>
      </c>
      <c r="T694" s="245" t="str">
        <f t="shared" si="89"/>
        <v/>
      </c>
      <c r="U694" s="246" t="str">
        <f t="shared" si="87"/>
        <v/>
      </c>
      <c r="V694" s="8"/>
      <c r="AR694" t="str">
        <f t="shared" si="91"/>
        <v/>
      </c>
      <c r="AS694" t="str">
        <f t="shared" si="90"/>
        <v/>
      </c>
    </row>
    <row r="695" spans="1:45" x14ac:dyDescent="0.3">
      <c r="A695" s="231"/>
      <c r="B695" s="235"/>
      <c r="C695" s="214"/>
      <c r="D695" s="214"/>
      <c r="E695" s="214"/>
      <c r="F695" s="214"/>
      <c r="G695" s="222"/>
      <c r="H695" s="221"/>
      <c r="I695" s="213"/>
      <c r="J695" s="213"/>
      <c r="K695" s="215"/>
      <c r="L695" s="216"/>
      <c r="M695" s="217"/>
      <c r="O695" s="241" t="str">
        <f>IF(Q695 = "", "", COUNT(Q$4:$Q695))</f>
        <v/>
      </c>
      <c r="P695" s="241" t="str">
        <f t="shared" si="84"/>
        <v/>
      </c>
      <c r="Q695" s="242" t="str">
        <f t="shared" si="85"/>
        <v/>
      </c>
      <c r="R695" s="243" t="str">
        <f t="shared" si="88"/>
        <v/>
      </c>
      <c r="S695" s="244" t="str">
        <f t="shared" si="86"/>
        <v/>
      </c>
      <c r="T695" s="245" t="str">
        <f t="shared" si="89"/>
        <v/>
      </c>
      <c r="U695" s="246" t="str">
        <f t="shared" si="87"/>
        <v/>
      </c>
      <c r="V695" s="8"/>
      <c r="AR695" t="str">
        <f t="shared" si="91"/>
        <v/>
      </c>
      <c r="AS695" t="str">
        <f t="shared" si="90"/>
        <v/>
      </c>
    </row>
    <row r="696" spans="1:45" x14ac:dyDescent="0.3">
      <c r="A696" s="231"/>
      <c r="B696" s="235"/>
      <c r="C696" s="214"/>
      <c r="D696" s="214"/>
      <c r="E696" s="214"/>
      <c r="F696" s="214"/>
      <c r="G696" s="222"/>
      <c r="H696" s="221"/>
      <c r="I696" s="213"/>
      <c r="J696" s="213"/>
      <c r="K696" s="215"/>
      <c r="L696" s="216"/>
      <c r="M696" s="217"/>
      <c r="O696" s="241" t="str">
        <f>IF(Q696 = "", "", COUNT(Q$4:$Q696))</f>
        <v/>
      </c>
      <c r="P696" s="241" t="str">
        <f t="shared" si="84"/>
        <v/>
      </c>
      <c r="Q696" s="242" t="str">
        <f t="shared" si="85"/>
        <v/>
      </c>
      <c r="R696" s="243" t="str">
        <f t="shared" si="88"/>
        <v/>
      </c>
      <c r="S696" s="244" t="str">
        <f t="shared" si="86"/>
        <v/>
      </c>
      <c r="T696" s="245" t="str">
        <f t="shared" si="89"/>
        <v/>
      </c>
      <c r="U696" s="246" t="str">
        <f t="shared" si="87"/>
        <v/>
      </c>
      <c r="V696" s="8"/>
      <c r="AR696" t="str">
        <f t="shared" si="91"/>
        <v/>
      </c>
      <c r="AS696" t="str">
        <f t="shared" si="90"/>
        <v/>
      </c>
    </row>
    <row r="697" spans="1:45" x14ac:dyDescent="0.3">
      <c r="A697" s="231"/>
      <c r="B697" s="235"/>
      <c r="C697" s="214"/>
      <c r="D697" s="214"/>
      <c r="E697" s="214"/>
      <c r="F697" s="214"/>
      <c r="G697" s="222"/>
      <c r="H697" s="221"/>
      <c r="I697" s="213"/>
      <c r="J697" s="213"/>
      <c r="K697" s="215"/>
      <c r="L697" s="216"/>
      <c r="M697" s="217"/>
      <c r="O697" s="241" t="str">
        <f>IF(Q697 = "", "", COUNT(Q$4:$Q697))</f>
        <v/>
      </c>
      <c r="P697" s="241" t="str">
        <f t="shared" si="84"/>
        <v/>
      </c>
      <c r="Q697" s="242" t="str">
        <f t="shared" si="85"/>
        <v/>
      </c>
      <c r="R697" s="243" t="str">
        <f t="shared" si="88"/>
        <v/>
      </c>
      <c r="S697" s="244" t="str">
        <f t="shared" si="86"/>
        <v/>
      </c>
      <c r="T697" s="245" t="str">
        <f t="shared" si="89"/>
        <v/>
      </c>
      <c r="U697" s="246" t="str">
        <f t="shared" si="87"/>
        <v/>
      </c>
      <c r="V697" s="8"/>
      <c r="AR697" t="str">
        <f t="shared" si="91"/>
        <v/>
      </c>
      <c r="AS697" t="str">
        <f t="shared" si="90"/>
        <v/>
      </c>
    </row>
    <row r="698" spans="1:45" x14ac:dyDescent="0.3">
      <c r="A698" s="231"/>
      <c r="B698" s="235"/>
      <c r="C698" s="214"/>
      <c r="D698" s="214"/>
      <c r="E698" s="214"/>
      <c r="F698" s="214"/>
      <c r="G698" s="222"/>
      <c r="H698" s="221"/>
      <c r="I698" s="213"/>
      <c r="J698" s="213"/>
      <c r="K698" s="215"/>
      <c r="L698" s="216"/>
      <c r="M698" s="217"/>
      <c r="O698" s="241" t="str">
        <f>IF(Q698 = "", "", COUNT(Q$4:$Q698))</f>
        <v/>
      </c>
      <c r="P698" s="241" t="str">
        <f t="shared" si="84"/>
        <v/>
      </c>
      <c r="Q698" s="242" t="str">
        <f t="shared" si="85"/>
        <v/>
      </c>
      <c r="R698" s="243" t="str">
        <f t="shared" si="88"/>
        <v/>
      </c>
      <c r="S698" s="244" t="str">
        <f t="shared" si="86"/>
        <v/>
      </c>
      <c r="T698" s="245" t="str">
        <f t="shared" si="89"/>
        <v/>
      </c>
      <c r="U698" s="246" t="str">
        <f t="shared" si="87"/>
        <v/>
      </c>
      <c r="V698" s="8"/>
      <c r="AR698" t="str">
        <f t="shared" si="91"/>
        <v/>
      </c>
      <c r="AS698" t="str">
        <f t="shared" si="90"/>
        <v/>
      </c>
    </row>
    <row r="699" spans="1:45" x14ac:dyDescent="0.3">
      <c r="A699" s="231"/>
      <c r="B699" s="235"/>
      <c r="C699" s="214"/>
      <c r="D699" s="214"/>
      <c r="E699" s="214"/>
      <c r="F699" s="214"/>
      <c r="G699" s="222"/>
      <c r="H699" s="221"/>
      <c r="I699" s="213"/>
      <c r="J699" s="213"/>
      <c r="K699" s="215"/>
      <c r="L699" s="216"/>
      <c r="M699" s="217"/>
      <c r="O699" s="241" t="str">
        <f>IF(Q699 = "", "", COUNT(Q$4:$Q699))</f>
        <v/>
      </c>
      <c r="P699" s="241" t="str">
        <f t="shared" si="84"/>
        <v/>
      </c>
      <c r="Q699" s="242" t="str">
        <f t="shared" si="85"/>
        <v/>
      </c>
      <c r="R699" s="243" t="str">
        <f t="shared" si="88"/>
        <v/>
      </c>
      <c r="S699" s="244" t="str">
        <f t="shared" si="86"/>
        <v/>
      </c>
      <c r="T699" s="245" t="str">
        <f t="shared" si="89"/>
        <v/>
      </c>
      <c r="U699" s="246" t="str">
        <f t="shared" si="87"/>
        <v/>
      </c>
      <c r="V699" s="8"/>
      <c r="AR699" t="str">
        <f t="shared" si="91"/>
        <v/>
      </c>
      <c r="AS699" t="str">
        <f t="shared" si="90"/>
        <v/>
      </c>
    </row>
    <row r="700" spans="1:45" x14ac:dyDescent="0.3">
      <c r="A700" s="231"/>
      <c r="B700" s="235"/>
      <c r="C700" s="214"/>
      <c r="D700" s="214"/>
      <c r="E700" s="214"/>
      <c r="F700" s="214"/>
      <c r="G700" s="222"/>
      <c r="H700" s="221"/>
      <c r="I700" s="213"/>
      <c r="J700" s="213"/>
      <c r="K700" s="215"/>
      <c r="L700" s="216"/>
      <c r="M700" s="217"/>
      <c r="O700" s="241" t="str">
        <f>IF(Q700 = "", "", COUNT(Q$4:$Q700))</f>
        <v/>
      </c>
      <c r="P700" s="241" t="str">
        <f t="shared" si="84"/>
        <v/>
      </c>
      <c r="Q700" s="242" t="str">
        <f t="shared" si="85"/>
        <v/>
      </c>
      <c r="R700" s="243" t="str">
        <f t="shared" si="88"/>
        <v/>
      </c>
      <c r="S700" s="244" t="str">
        <f t="shared" si="86"/>
        <v/>
      </c>
      <c r="T700" s="245" t="str">
        <f t="shared" si="89"/>
        <v/>
      </c>
      <c r="U700" s="246" t="str">
        <f t="shared" si="87"/>
        <v/>
      </c>
      <c r="V700" s="8"/>
      <c r="AR700" t="str">
        <f t="shared" si="91"/>
        <v/>
      </c>
      <c r="AS700" t="str">
        <f t="shared" si="90"/>
        <v/>
      </c>
    </row>
    <row r="701" spans="1:45" x14ac:dyDescent="0.3">
      <c r="A701" s="231"/>
      <c r="B701" s="235"/>
      <c r="C701" s="214"/>
      <c r="D701" s="214"/>
      <c r="E701" s="214"/>
      <c r="F701" s="214"/>
      <c r="G701" s="222"/>
      <c r="H701" s="221"/>
      <c r="I701" s="213"/>
      <c r="J701" s="213"/>
      <c r="K701" s="215"/>
      <c r="L701" s="216"/>
      <c r="M701" s="217"/>
      <c r="O701" s="241" t="str">
        <f>IF(Q701 = "", "", COUNT(Q$4:$Q701))</f>
        <v/>
      </c>
      <c r="P701" s="241" t="str">
        <f t="shared" si="84"/>
        <v/>
      </c>
      <c r="Q701" s="242" t="str">
        <f t="shared" si="85"/>
        <v/>
      </c>
      <c r="R701" s="243" t="str">
        <f t="shared" si="88"/>
        <v/>
      </c>
      <c r="S701" s="244" t="str">
        <f t="shared" si="86"/>
        <v/>
      </c>
      <c r="T701" s="245" t="str">
        <f t="shared" si="89"/>
        <v/>
      </c>
      <c r="U701" s="246" t="str">
        <f t="shared" si="87"/>
        <v/>
      </c>
      <c r="V701" s="8"/>
      <c r="AR701" t="str">
        <f t="shared" si="91"/>
        <v/>
      </c>
      <c r="AS701" t="str">
        <f t="shared" si="90"/>
        <v/>
      </c>
    </row>
    <row r="702" spans="1:45" x14ac:dyDescent="0.3">
      <c r="A702" s="231"/>
      <c r="B702" s="235"/>
      <c r="C702" s="214"/>
      <c r="D702" s="214"/>
      <c r="E702" s="214"/>
      <c r="F702" s="214"/>
      <c r="G702" s="222"/>
      <c r="H702" s="221"/>
      <c r="I702" s="213"/>
      <c r="J702" s="213"/>
      <c r="K702" s="215"/>
      <c r="L702" s="216"/>
      <c r="M702" s="217"/>
      <c r="O702" s="241" t="str">
        <f>IF(Q702 = "", "", COUNT(Q$4:$Q702))</f>
        <v/>
      </c>
      <c r="P702" s="241" t="str">
        <f t="shared" si="84"/>
        <v/>
      </c>
      <c r="Q702" s="242" t="str">
        <f t="shared" si="85"/>
        <v/>
      </c>
      <c r="R702" s="243" t="str">
        <f t="shared" si="88"/>
        <v/>
      </c>
      <c r="S702" s="244" t="str">
        <f t="shared" si="86"/>
        <v/>
      </c>
      <c r="T702" s="245" t="str">
        <f t="shared" si="89"/>
        <v/>
      </c>
      <c r="U702" s="246" t="str">
        <f t="shared" si="87"/>
        <v/>
      </c>
      <c r="V702" s="8"/>
      <c r="AR702" t="str">
        <f t="shared" si="91"/>
        <v/>
      </c>
      <c r="AS702" t="str">
        <f t="shared" si="90"/>
        <v/>
      </c>
    </row>
    <row r="703" spans="1:45" x14ac:dyDescent="0.3">
      <c r="A703" s="231"/>
      <c r="B703" s="235"/>
      <c r="C703" s="214"/>
      <c r="D703" s="214"/>
      <c r="E703" s="214"/>
      <c r="F703" s="214"/>
      <c r="G703" s="222"/>
      <c r="H703" s="221"/>
      <c r="I703" s="213"/>
      <c r="J703" s="213"/>
      <c r="K703" s="215"/>
      <c r="L703" s="216"/>
      <c r="M703" s="217"/>
      <c r="O703" s="241" t="str">
        <f>IF(Q703 = "", "", COUNT(Q$4:$Q703))</f>
        <v/>
      </c>
      <c r="P703" s="241" t="str">
        <f t="shared" si="84"/>
        <v/>
      </c>
      <c r="Q703" s="242" t="str">
        <f t="shared" si="85"/>
        <v/>
      </c>
      <c r="R703" s="243" t="str">
        <f t="shared" si="88"/>
        <v/>
      </c>
      <c r="S703" s="244" t="str">
        <f t="shared" si="86"/>
        <v/>
      </c>
      <c r="T703" s="245" t="str">
        <f t="shared" si="89"/>
        <v/>
      </c>
      <c r="U703" s="246" t="str">
        <f t="shared" si="87"/>
        <v/>
      </c>
      <c r="V703" s="8"/>
      <c r="AR703" t="str">
        <f t="shared" si="91"/>
        <v/>
      </c>
      <c r="AS703" t="str">
        <f t="shared" si="90"/>
        <v/>
      </c>
    </row>
    <row r="704" spans="1:45" x14ac:dyDescent="0.3">
      <c r="A704" s="231"/>
      <c r="B704" s="235"/>
      <c r="C704" s="214"/>
      <c r="D704" s="214"/>
      <c r="E704" s="214"/>
      <c r="F704" s="214"/>
      <c r="G704" s="222"/>
      <c r="H704" s="221"/>
      <c r="I704" s="213"/>
      <c r="J704" s="213"/>
      <c r="K704" s="215"/>
      <c r="L704" s="216"/>
      <c r="M704" s="217"/>
      <c r="O704" s="241" t="str">
        <f>IF(Q704 = "", "", COUNT(Q$4:$Q704))</f>
        <v/>
      </c>
      <c r="P704" s="241" t="str">
        <f t="shared" si="84"/>
        <v/>
      </c>
      <c r="Q704" s="242" t="str">
        <f t="shared" si="85"/>
        <v/>
      </c>
      <c r="R704" s="243" t="str">
        <f t="shared" si="88"/>
        <v/>
      </c>
      <c r="S704" s="244" t="str">
        <f t="shared" si="86"/>
        <v/>
      </c>
      <c r="T704" s="245" t="str">
        <f t="shared" si="89"/>
        <v/>
      </c>
      <c r="U704" s="246" t="str">
        <f t="shared" si="87"/>
        <v/>
      </c>
      <c r="V704" s="8"/>
      <c r="AR704" t="str">
        <f t="shared" si="91"/>
        <v/>
      </c>
      <c r="AS704" t="str">
        <f t="shared" si="90"/>
        <v/>
      </c>
    </row>
    <row r="705" spans="1:45" x14ac:dyDescent="0.3">
      <c r="A705" s="231"/>
      <c r="B705" s="235"/>
      <c r="C705" s="214"/>
      <c r="D705" s="214"/>
      <c r="E705" s="214"/>
      <c r="F705" s="214"/>
      <c r="G705" s="222"/>
      <c r="H705" s="221"/>
      <c r="I705" s="213"/>
      <c r="J705" s="213"/>
      <c r="K705" s="215"/>
      <c r="L705" s="216"/>
      <c r="M705" s="217"/>
      <c r="O705" s="241" t="str">
        <f>IF(Q705 = "", "", COUNT(Q$4:$Q705))</f>
        <v/>
      </c>
      <c r="P705" s="241" t="str">
        <f t="shared" si="84"/>
        <v/>
      </c>
      <c r="Q705" s="242" t="str">
        <f t="shared" si="85"/>
        <v/>
      </c>
      <c r="R705" s="243" t="str">
        <f t="shared" si="88"/>
        <v/>
      </c>
      <c r="S705" s="244" t="str">
        <f t="shared" si="86"/>
        <v/>
      </c>
      <c r="T705" s="245" t="str">
        <f t="shared" si="89"/>
        <v/>
      </c>
      <c r="U705" s="246" t="str">
        <f t="shared" si="87"/>
        <v/>
      </c>
      <c r="V705" s="8"/>
      <c r="AR705" t="str">
        <f t="shared" si="91"/>
        <v/>
      </c>
      <c r="AS705" t="str">
        <f t="shared" si="90"/>
        <v/>
      </c>
    </row>
    <row r="706" spans="1:45" x14ac:dyDescent="0.3">
      <c r="A706" s="231"/>
      <c r="B706" s="235"/>
      <c r="C706" s="214"/>
      <c r="D706" s="214"/>
      <c r="E706" s="214"/>
      <c r="F706" s="214"/>
      <c r="G706" s="222"/>
      <c r="H706" s="221"/>
      <c r="I706" s="213"/>
      <c r="J706" s="213"/>
      <c r="K706" s="215"/>
      <c r="L706" s="216"/>
      <c r="M706" s="217"/>
      <c r="O706" s="241" t="str">
        <f>IF(Q706 = "", "", COUNT(Q$4:$Q706))</f>
        <v/>
      </c>
      <c r="P706" s="241" t="str">
        <f t="shared" si="84"/>
        <v/>
      </c>
      <c r="Q706" s="242" t="str">
        <f t="shared" si="85"/>
        <v/>
      </c>
      <c r="R706" s="243" t="str">
        <f t="shared" si="88"/>
        <v/>
      </c>
      <c r="S706" s="244" t="str">
        <f t="shared" si="86"/>
        <v/>
      </c>
      <c r="T706" s="245" t="str">
        <f t="shared" si="89"/>
        <v/>
      </c>
      <c r="U706" s="246" t="str">
        <f t="shared" si="87"/>
        <v/>
      </c>
      <c r="V706" s="8"/>
      <c r="AR706" t="str">
        <f t="shared" si="91"/>
        <v/>
      </c>
      <c r="AS706" t="str">
        <f t="shared" si="90"/>
        <v/>
      </c>
    </row>
    <row r="707" spans="1:45" x14ac:dyDescent="0.3">
      <c r="A707" s="231"/>
      <c r="B707" s="235"/>
      <c r="C707" s="214"/>
      <c r="D707" s="214"/>
      <c r="E707" s="214"/>
      <c r="F707" s="214"/>
      <c r="G707" s="222"/>
      <c r="H707" s="221"/>
      <c r="I707" s="213"/>
      <c r="J707" s="213"/>
      <c r="K707" s="215"/>
      <c r="L707" s="216"/>
      <c r="M707" s="217"/>
      <c r="O707" s="241" t="str">
        <f>IF(Q707 = "", "", COUNT(Q$4:$Q707))</f>
        <v/>
      </c>
      <c r="P707" s="241" t="str">
        <f t="shared" si="84"/>
        <v/>
      </c>
      <c r="Q707" s="242" t="str">
        <f t="shared" si="85"/>
        <v/>
      </c>
      <c r="R707" s="243" t="str">
        <f t="shared" si="88"/>
        <v/>
      </c>
      <c r="S707" s="244" t="str">
        <f t="shared" si="86"/>
        <v/>
      </c>
      <c r="T707" s="245" t="str">
        <f t="shared" si="89"/>
        <v/>
      </c>
      <c r="U707" s="246" t="str">
        <f t="shared" si="87"/>
        <v/>
      </c>
      <c r="V707" s="8"/>
      <c r="AR707" t="str">
        <f t="shared" si="91"/>
        <v/>
      </c>
      <c r="AS707" t="str">
        <f t="shared" si="90"/>
        <v/>
      </c>
    </row>
    <row r="708" spans="1:45" x14ac:dyDescent="0.3">
      <c r="A708" s="231"/>
      <c r="B708" s="235"/>
      <c r="C708" s="214"/>
      <c r="D708" s="214"/>
      <c r="E708" s="214"/>
      <c r="F708" s="214"/>
      <c r="G708" s="222"/>
      <c r="H708" s="221"/>
      <c r="I708" s="213"/>
      <c r="J708" s="213"/>
      <c r="K708" s="215"/>
      <c r="L708" s="216"/>
      <c r="M708" s="217"/>
      <c r="O708" s="241" t="str">
        <f>IF(Q708 = "", "", COUNT(Q$4:$Q708))</f>
        <v/>
      </c>
      <c r="P708" s="241" t="str">
        <f t="shared" ref="P708:P771" si="92">IF(C708 &gt; 0, YEAR(B708), "")</f>
        <v/>
      </c>
      <c r="Q708" s="242" t="str">
        <f t="shared" ref="Q708:Q771" si="93">IF(A708="", "", IF(G708="",1,IF(G708="O",1,IF(G708="C",8.4,IF(G708="B",8.4,IF(G708="A",76.8,IF(G708="K",76.8,"ERR")))))))</f>
        <v/>
      </c>
      <c r="R708" s="243" t="str">
        <f t="shared" si="88"/>
        <v/>
      </c>
      <c r="S708" s="244" t="str">
        <f t="shared" ref="S708:S771" si="94">IF(IF(L708&lt;&gt;"",G708,"")=0, "O", IF(L708&lt;&gt;"",G708,""))</f>
        <v/>
      </c>
      <c r="T708" s="245" t="str">
        <f t="shared" si="89"/>
        <v/>
      </c>
      <c r="U708" s="246" t="str">
        <f t="shared" ref="U708:U771" si="95">IF(IF(M708&lt;&gt;"",G708,"")=0, "O", IF(M708&lt;&gt;"",G708,""))</f>
        <v/>
      </c>
      <c r="V708" s="8"/>
      <c r="AR708" t="str">
        <f t="shared" si="91"/>
        <v/>
      </c>
      <c r="AS708" t="str">
        <f t="shared" si="90"/>
        <v/>
      </c>
    </row>
    <row r="709" spans="1:45" x14ac:dyDescent="0.3">
      <c r="A709" s="231"/>
      <c r="B709" s="235"/>
      <c r="C709" s="214"/>
      <c r="D709" s="214"/>
      <c r="E709" s="214"/>
      <c r="F709" s="214"/>
      <c r="G709" s="222"/>
      <c r="H709" s="221"/>
      <c r="I709" s="213"/>
      <c r="J709" s="213"/>
      <c r="K709" s="215"/>
      <c r="L709" s="216"/>
      <c r="M709" s="217"/>
      <c r="O709" s="241" t="str">
        <f>IF(Q709 = "", "", COUNT(Q$4:$Q709))</f>
        <v/>
      </c>
      <c r="P709" s="241" t="str">
        <f t="shared" si="92"/>
        <v/>
      </c>
      <c r="Q709" s="242" t="str">
        <f t="shared" si="93"/>
        <v/>
      </c>
      <c r="R709" s="243" t="str">
        <f t="shared" ref="R709:R772" si="96">IF(L709&lt;&gt;"",Q709,"")</f>
        <v/>
      </c>
      <c r="S709" s="244" t="str">
        <f t="shared" si="94"/>
        <v/>
      </c>
      <c r="T709" s="245" t="str">
        <f t="shared" ref="T709:T772" si="97">IF(M709&lt;&gt;"",Q709,"")</f>
        <v/>
      </c>
      <c r="U709" s="246" t="str">
        <f t="shared" si="95"/>
        <v/>
      </c>
      <c r="V709" s="8"/>
      <c r="AR709" t="str">
        <f t="shared" si="91"/>
        <v/>
      </c>
      <c r="AS709" t="str">
        <f t="shared" si="90"/>
        <v/>
      </c>
    </row>
    <row r="710" spans="1:45" x14ac:dyDescent="0.3">
      <c r="A710" s="231"/>
      <c r="B710" s="235"/>
      <c r="C710" s="214"/>
      <c r="D710" s="214"/>
      <c r="E710" s="214"/>
      <c r="F710" s="214"/>
      <c r="G710" s="222"/>
      <c r="H710" s="221"/>
      <c r="I710" s="213"/>
      <c r="J710" s="213"/>
      <c r="K710" s="215"/>
      <c r="L710" s="216"/>
      <c r="M710" s="217"/>
      <c r="O710" s="241" t="str">
        <f>IF(Q710 = "", "", COUNT(Q$4:$Q710))</f>
        <v/>
      </c>
      <c r="P710" s="241" t="str">
        <f t="shared" si="92"/>
        <v/>
      </c>
      <c r="Q710" s="242" t="str">
        <f t="shared" si="93"/>
        <v/>
      </c>
      <c r="R710" s="243" t="str">
        <f t="shared" si="96"/>
        <v/>
      </c>
      <c r="S710" s="244" t="str">
        <f t="shared" si="94"/>
        <v/>
      </c>
      <c r="T710" s="245" t="str">
        <f t="shared" si="97"/>
        <v/>
      </c>
      <c r="U710" s="246" t="str">
        <f t="shared" si="95"/>
        <v/>
      </c>
      <c r="V710" s="8"/>
      <c r="AR710" t="str">
        <f t="shared" si="91"/>
        <v/>
      </c>
      <c r="AS710" t="str">
        <f t="shared" si="90"/>
        <v/>
      </c>
    </row>
    <row r="711" spans="1:45" x14ac:dyDescent="0.3">
      <c r="A711" s="231"/>
      <c r="B711" s="235"/>
      <c r="C711" s="214"/>
      <c r="D711" s="214"/>
      <c r="E711" s="214"/>
      <c r="F711" s="214"/>
      <c r="G711" s="222"/>
      <c r="H711" s="221"/>
      <c r="I711" s="213"/>
      <c r="J711" s="213"/>
      <c r="K711" s="215"/>
      <c r="L711" s="216"/>
      <c r="M711" s="217"/>
      <c r="O711" s="241" t="str">
        <f>IF(Q711 = "", "", COUNT(Q$4:$Q711))</f>
        <v/>
      </c>
      <c r="P711" s="241" t="str">
        <f t="shared" si="92"/>
        <v/>
      </c>
      <c r="Q711" s="242" t="str">
        <f t="shared" si="93"/>
        <v/>
      </c>
      <c r="R711" s="243" t="str">
        <f t="shared" si="96"/>
        <v/>
      </c>
      <c r="S711" s="244" t="str">
        <f t="shared" si="94"/>
        <v/>
      </c>
      <c r="T711" s="245" t="str">
        <f t="shared" si="97"/>
        <v/>
      </c>
      <c r="U711" s="246" t="str">
        <f t="shared" si="95"/>
        <v/>
      </c>
      <c r="V711" s="8"/>
      <c r="AR711" t="str">
        <f t="shared" si="91"/>
        <v/>
      </c>
      <c r="AS711" t="str">
        <f t="shared" si="90"/>
        <v/>
      </c>
    </row>
    <row r="712" spans="1:45" x14ac:dyDescent="0.3">
      <c r="A712" s="231"/>
      <c r="B712" s="235"/>
      <c r="C712" s="214"/>
      <c r="D712" s="214"/>
      <c r="E712" s="214"/>
      <c r="F712" s="214"/>
      <c r="G712" s="222"/>
      <c r="H712" s="221"/>
      <c r="I712" s="213"/>
      <c r="J712" s="213"/>
      <c r="K712" s="215"/>
      <c r="L712" s="216"/>
      <c r="M712" s="217"/>
      <c r="O712" s="241" t="str">
        <f>IF(Q712 = "", "", COUNT(Q$4:$Q712))</f>
        <v/>
      </c>
      <c r="P712" s="241" t="str">
        <f t="shared" si="92"/>
        <v/>
      </c>
      <c r="Q712" s="242" t="str">
        <f t="shared" si="93"/>
        <v/>
      </c>
      <c r="R712" s="243" t="str">
        <f t="shared" si="96"/>
        <v/>
      </c>
      <c r="S712" s="244" t="str">
        <f t="shared" si="94"/>
        <v/>
      </c>
      <c r="T712" s="245" t="str">
        <f t="shared" si="97"/>
        <v/>
      </c>
      <c r="U712" s="246" t="str">
        <f t="shared" si="95"/>
        <v/>
      </c>
      <c r="V712" s="8"/>
      <c r="AR712" t="str">
        <f t="shared" si="91"/>
        <v/>
      </c>
      <c r="AS712" t="str">
        <f t="shared" si="90"/>
        <v/>
      </c>
    </row>
    <row r="713" spans="1:45" x14ac:dyDescent="0.3">
      <c r="A713" s="231"/>
      <c r="B713" s="235"/>
      <c r="C713" s="214"/>
      <c r="D713" s="214"/>
      <c r="E713" s="214"/>
      <c r="F713" s="214"/>
      <c r="G713" s="222"/>
      <c r="H713" s="221"/>
      <c r="I713" s="213"/>
      <c r="J713" s="213"/>
      <c r="K713" s="215"/>
      <c r="L713" s="216"/>
      <c r="M713" s="217"/>
      <c r="O713" s="241" t="str">
        <f>IF(Q713 = "", "", COUNT(Q$4:$Q713))</f>
        <v/>
      </c>
      <c r="P713" s="241" t="str">
        <f t="shared" si="92"/>
        <v/>
      </c>
      <c r="Q713" s="242" t="str">
        <f t="shared" si="93"/>
        <v/>
      </c>
      <c r="R713" s="243" t="str">
        <f t="shared" si="96"/>
        <v/>
      </c>
      <c r="S713" s="244" t="str">
        <f t="shared" si="94"/>
        <v/>
      </c>
      <c r="T713" s="245" t="str">
        <f t="shared" si="97"/>
        <v/>
      </c>
      <c r="U713" s="246" t="str">
        <f t="shared" si="95"/>
        <v/>
      </c>
      <c r="V713" s="8"/>
      <c r="AR713" t="str">
        <f t="shared" si="91"/>
        <v/>
      </c>
      <c r="AS713" t="str">
        <f t="shared" si="90"/>
        <v/>
      </c>
    </row>
    <row r="714" spans="1:45" x14ac:dyDescent="0.3">
      <c r="A714" s="231"/>
      <c r="B714" s="235"/>
      <c r="C714" s="214"/>
      <c r="D714" s="214"/>
      <c r="E714" s="214"/>
      <c r="F714" s="214"/>
      <c r="G714" s="222"/>
      <c r="H714" s="221"/>
      <c r="I714" s="213"/>
      <c r="J714" s="213"/>
      <c r="K714" s="215"/>
      <c r="L714" s="216"/>
      <c r="M714" s="217"/>
      <c r="O714" s="241" t="str">
        <f>IF(Q714 = "", "", COUNT(Q$4:$Q714))</f>
        <v/>
      </c>
      <c r="P714" s="241" t="str">
        <f t="shared" si="92"/>
        <v/>
      </c>
      <c r="Q714" s="242" t="str">
        <f t="shared" si="93"/>
        <v/>
      </c>
      <c r="R714" s="243" t="str">
        <f t="shared" si="96"/>
        <v/>
      </c>
      <c r="S714" s="244" t="str">
        <f t="shared" si="94"/>
        <v/>
      </c>
      <c r="T714" s="245" t="str">
        <f t="shared" si="97"/>
        <v/>
      </c>
      <c r="U714" s="246" t="str">
        <f t="shared" si="95"/>
        <v/>
      </c>
      <c r="V714" s="8"/>
      <c r="AR714" t="str">
        <f t="shared" si="91"/>
        <v/>
      </c>
      <c r="AS714" t="str">
        <f t="shared" si="90"/>
        <v/>
      </c>
    </row>
    <row r="715" spans="1:45" x14ac:dyDescent="0.3">
      <c r="A715" s="231"/>
      <c r="B715" s="235"/>
      <c r="C715" s="214"/>
      <c r="D715" s="214"/>
      <c r="E715" s="214"/>
      <c r="F715" s="214"/>
      <c r="G715" s="222"/>
      <c r="H715" s="221"/>
      <c r="I715" s="213"/>
      <c r="J715" s="213"/>
      <c r="K715" s="215"/>
      <c r="L715" s="216"/>
      <c r="M715" s="217"/>
      <c r="O715" s="241" t="str">
        <f>IF(Q715 = "", "", COUNT(Q$4:$Q715))</f>
        <v/>
      </c>
      <c r="P715" s="241" t="str">
        <f t="shared" si="92"/>
        <v/>
      </c>
      <c r="Q715" s="242" t="str">
        <f t="shared" si="93"/>
        <v/>
      </c>
      <c r="R715" s="243" t="str">
        <f t="shared" si="96"/>
        <v/>
      </c>
      <c r="S715" s="244" t="str">
        <f t="shared" si="94"/>
        <v/>
      </c>
      <c r="T715" s="245" t="str">
        <f t="shared" si="97"/>
        <v/>
      </c>
      <c r="U715" s="246" t="str">
        <f t="shared" si="95"/>
        <v/>
      </c>
      <c r="V715" s="8"/>
      <c r="AR715" t="str">
        <f t="shared" si="91"/>
        <v/>
      </c>
      <c r="AS715" t="str">
        <f t="shared" si="90"/>
        <v/>
      </c>
    </row>
    <row r="716" spans="1:45" x14ac:dyDescent="0.3">
      <c r="A716" s="231"/>
      <c r="B716" s="235"/>
      <c r="C716" s="214"/>
      <c r="D716" s="214"/>
      <c r="E716" s="214"/>
      <c r="F716" s="214"/>
      <c r="G716" s="222"/>
      <c r="H716" s="221"/>
      <c r="I716" s="213"/>
      <c r="J716" s="213"/>
      <c r="K716" s="215"/>
      <c r="L716" s="216"/>
      <c r="M716" s="217"/>
      <c r="O716" s="241" t="str">
        <f>IF(Q716 = "", "", COUNT(Q$4:$Q716))</f>
        <v/>
      </c>
      <c r="P716" s="241" t="str">
        <f t="shared" si="92"/>
        <v/>
      </c>
      <c r="Q716" s="242" t="str">
        <f t="shared" si="93"/>
        <v/>
      </c>
      <c r="R716" s="243" t="str">
        <f t="shared" si="96"/>
        <v/>
      </c>
      <c r="S716" s="244" t="str">
        <f t="shared" si="94"/>
        <v/>
      </c>
      <c r="T716" s="245" t="str">
        <f t="shared" si="97"/>
        <v/>
      </c>
      <c r="U716" s="246" t="str">
        <f t="shared" si="95"/>
        <v/>
      </c>
      <c r="V716" s="8"/>
      <c r="AR716" t="str">
        <f t="shared" si="91"/>
        <v/>
      </c>
      <c r="AS716" t="str">
        <f t="shared" si="90"/>
        <v/>
      </c>
    </row>
    <row r="717" spans="1:45" x14ac:dyDescent="0.3">
      <c r="A717" s="231"/>
      <c r="B717" s="235"/>
      <c r="C717" s="214"/>
      <c r="D717" s="214"/>
      <c r="E717" s="214"/>
      <c r="F717" s="214"/>
      <c r="G717" s="222"/>
      <c r="H717" s="221"/>
      <c r="I717" s="213"/>
      <c r="J717" s="213"/>
      <c r="K717" s="215"/>
      <c r="L717" s="216"/>
      <c r="M717" s="217"/>
      <c r="O717" s="241" t="str">
        <f>IF(Q717 = "", "", COUNT(Q$4:$Q717))</f>
        <v/>
      </c>
      <c r="P717" s="241" t="str">
        <f t="shared" si="92"/>
        <v/>
      </c>
      <c r="Q717" s="242" t="str">
        <f t="shared" si="93"/>
        <v/>
      </c>
      <c r="R717" s="243" t="str">
        <f t="shared" si="96"/>
        <v/>
      </c>
      <c r="S717" s="244" t="str">
        <f t="shared" si="94"/>
        <v/>
      </c>
      <c r="T717" s="245" t="str">
        <f t="shared" si="97"/>
        <v/>
      </c>
      <c r="U717" s="246" t="str">
        <f t="shared" si="95"/>
        <v/>
      </c>
      <c r="V717" s="8"/>
      <c r="AR717" t="str">
        <f t="shared" si="91"/>
        <v/>
      </c>
      <c r="AS717" t="str">
        <f t="shared" si="90"/>
        <v/>
      </c>
    </row>
    <row r="718" spans="1:45" x14ac:dyDescent="0.3">
      <c r="A718" s="231"/>
      <c r="B718" s="235"/>
      <c r="C718" s="214"/>
      <c r="D718" s="214"/>
      <c r="E718" s="214"/>
      <c r="F718" s="214"/>
      <c r="G718" s="222"/>
      <c r="H718" s="221"/>
      <c r="I718" s="213"/>
      <c r="J718" s="213"/>
      <c r="K718" s="215"/>
      <c r="L718" s="216"/>
      <c r="M718" s="217"/>
      <c r="O718" s="241" t="str">
        <f>IF(Q718 = "", "", COUNT(Q$4:$Q718))</f>
        <v/>
      </c>
      <c r="P718" s="241" t="str">
        <f t="shared" si="92"/>
        <v/>
      </c>
      <c r="Q718" s="242" t="str">
        <f t="shared" si="93"/>
        <v/>
      </c>
      <c r="R718" s="243" t="str">
        <f t="shared" si="96"/>
        <v/>
      </c>
      <c r="S718" s="244" t="str">
        <f t="shared" si="94"/>
        <v/>
      </c>
      <c r="T718" s="245" t="str">
        <f t="shared" si="97"/>
        <v/>
      </c>
      <c r="U718" s="246" t="str">
        <f t="shared" si="95"/>
        <v/>
      </c>
      <c r="V718" s="8"/>
      <c r="AR718" t="str">
        <f t="shared" si="91"/>
        <v/>
      </c>
      <c r="AS718" t="str">
        <f t="shared" si="90"/>
        <v/>
      </c>
    </row>
    <row r="719" spans="1:45" x14ac:dyDescent="0.3">
      <c r="A719" s="231"/>
      <c r="B719" s="235"/>
      <c r="C719" s="214"/>
      <c r="D719" s="214"/>
      <c r="E719" s="214"/>
      <c r="F719" s="214"/>
      <c r="G719" s="222"/>
      <c r="H719" s="221"/>
      <c r="I719" s="213"/>
      <c r="J719" s="213"/>
      <c r="K719" s="215"/>
      <c r="L719" s="216"/>
      <c r="M719" s="217"/>
      <c r="O719" s="241" t="str">
        <f>IF(Q719 = "", "", COUNT(Q$4:$Q719))</f>
        <v/>
      </c>
      <c r="P719" s="241" t="str">
        <f t="shared" si="92"/>
        <v/>
      </c>
      <c r="Q719" s="242" t="str">
        <f t="shared" si="93"/>
        <v/>
      </c>
      <c r="R719" s="243" t="str">
        <f t="shared" si="96"/>
        <v/>
      </c>
      <c r="S719" s="244" t="str">
        <f t="shared" si="94"/>
        <v/>
      </c>
      <c r="T719" s="245" t="str">
        <f t="shared" si="97"/>
        <v/>
      </c>
      <c r="U719" s="246" t="str">
        <f t="shared" si="95"/>
        <v/>
      </c>
      <c r="V719" s="8"/>
      <c r="AR719" t="str">
        <f t="shared" si="91"/>
        <v/>
      </c>
      <c r="AS719" t="str">
        <f t="shared" si="90"/>
        <v/>
      </c>
    </row>
    <row r="720" spans="1:45" x14ac:dyDescent="0.3">
      <c r="A720" s="231"/>
      <c r="B720" s="235"/>
      <c r="C720" s="214"/>
      <c r="D720" s="214"/>
      <c r="E720" s="214"/>
      <c r="F720" s="214"/>
      <c r="G720" s="222"/>
      <c r="H720" s="221"/>
      <c r="I720" s="213"/>
      <c r="J720" s="213"/>
      <c r="K720" s="215"/>
      <c r="L720" s="216"/>
      <c r="M720" s="217"/>
      <c r="O720" s="241" t="str">
        <f>IF(Q720 = "", "", COUNT(Q$4:$Q720))</f>
        <v/>
      </c>
      <c r="P720" s="241" t="str">
        <f t="shared" si="92"/>
        <v/>
      </c>
      <c r="Q720" s="242" t="str">
        <f t="shared" si="93"/>
        <v/>
      </c>
      <c r="R720" s="243" t="str">
        <f t="shared" si="96"/>
        <v/>
      </c>
      <c r="S720" s="244" t="str">
        <f t="shared" si="94"/>
        <v/>
      </c>
      <c r="T720" s="245" t="str">
        <f t="shared" si="97"/>
        <v/>
      </c>
      <c r="U720" s="246" t="str">
        <f t="shared" si="95"/>
        <v/>
      </c>
      <c r="V720" s="8"/>
      <c r="AR720" t="str">
        <f t="shared" si="91"/>
        <v/>
      </c>
      <c r="AS720" t="str">
        <f t="shared" si="90"/>
        <v/>
      </c>
    </row>
    <row r="721" spans="1:45" x14ac:dyDescent="0.3">
      <c r="A721" s="231"/>
      <c r="B721" s="235"/>
      <c r="C721" s="214"/>
      <c r="D721" s="214"/>
      <c r="E721" s="214"/>
      <c r="F721" s="214"/>
      <c r="G721" s="222"/>
      <c r="H721" s="221"/>
      <c r="I721" s="213"/>
      <c r="J721" s="213"/>
      <c r="K721" s="215"/>
      <c r="L721" s="216"/>
      <c r="M721" s="217"/>
      <c r="O721" s="241" t="str">
        <f>IF(Q721 = "", "", COUNT(Q$4:$Q721))</f>
        <v/>
      </c>
      <c r="P721" s="241" t="str">
        <f t="shared" si="92"/>
        <v/>
      </c>
      <c r="Q721" s="242" t="str">
        <f t="shared" si="93"/>
        <v/>
      </c>
      <c r="R721" s="243" t="str">
        <f t="shared" si="96"/>
        <v/>
      </c>
      <c r="S721" s="244" t="str">
        <f t="shared" si="94"/>
        <v/>
      </c>
      <c r="T721" s="245" t="str">
        <f t="shared" si="97"/>
        <v/>
      </c>
      <c r="U721" s="246" t="str">
        <f t="shared" si="95"/>
        <v/>
      </c>
      <c r="V721" s="8"/>
      <c r="AR721" t="str">
        <f t="shared" si="91"/>
        <v/>
      </c>
      <c r="AS721" t="str">
        <f t="shared" si="90"/>
        <v/>
      </c>
    </row>
    <row r="722" spans="1:45" x14ac:dyDescent="0.3">
      <c r="A722" s="231"/>
      <c r="B722" s="235"/>
      <c r="C722" s="214"/>
      <c r="D722" s="214"/>
      <c r="E722" s="214"/>
      <c r="F722" s="214"/>
      <c r="G722" s="222"/>
      <c r="H722" s="221"/>
      <c r="I722" s="213"/>
      <c r="J722" s="213"/>
      <c r="K722" s="215"/>
      <c r="L722" s="216"/>
      <c r="M722" s="217"/>
      <c r="O722" s="241" t="str">
        <f>IF(Q722 = "", "", COUNT(Q$4:$Q722))</f>
        <v/>
      </c>
      <c r="P722" s="241" t="str">
        <f t="shared" si="92"/>
        <v/>
      </c>
      <c r="Q722" s="242" t="str">
        <f t="shared" si="93"/>
        <v/>
      </c>
      <c r="R722" s="243" t="str">
        <f t="shared" si="96"/>
        <v/>
      </c>
      <c r="S722" s="244" t="str">
        <f t="shared" si="94"/>
        <v/>
      </c>
      <c r="T722" s="245" t="str">
        <f t="shared" si="97"/>
        <v/>
      </c>
      <c r="U722" s="246" t="str">
        <f t="shared" si="95"/>
        <v/>
      </c>
      <c r="V722" s="8"/>
      <c r="AR722" t="str">
        <f t="shared" si="91"/>
        <v/>
      </c>
      <c r="AS722" t="str">
        <f t="shared" si="90"/>
        <v/>
      </c>
    </row>
    <row r="723" spans="1:45" x14ac:dyDescent="0.3">
      <c r="A723" s="231"/>
      <c r="B723" s="235"/>
      <c r="C723" s="214"/>
      <c r="D723" s="214"/>
      <c r="E723" s="214"/>
      <c r="F723" s="214"/>
      <c r="G723" s="222"/>
      <c r="H723" s="221"/>
      <c r="I723" s="213"/>
      <c r="J723" s="213"/>
      <c r="K723" s="215"/>
      <c r="L723" s="216"/>
      <c r="M723" s="217"/>
      <c r="O723" s="241" t="str">
        <f>IF(Q723 = "", "", COUNT(Q$4:$Q723))</f>
        <v/>
      </c>
      <c r="P723" s="241" t="str">
        <f t="shared" si="92"/>
        <v/>
      </c>
      <c r="Q723" s="242" t="str">
        <f t="shared" si="93"/>
        <v/>
      </c>
      <c r="R723" s="243" t="str">
        <f t="shared" si="96"/>
        <v/>
      </c>
      <c r="S723" s="244" t="str">
        <f t="shared" si="94"/>
        <v/>
      </c>
      <c r="T723" s="245" t="str">
        <f t="shared" si="97"/>
        <v/>
      </c>
      <c r="U723" s="246" t="str">
        <f t="shared" si="95"/>
        <v/>
      </c>
      <c r="V723" s="8"/>
      <c r="AR723" t="str">
        <f t="shared" si="91"/>
        <v/>
      </c>
      <c r="AS723" t="str">
        <f t="shared" si="90"/>
        <v/>
      </c>
    </row>
    <row r="724" spans="1:45" x14ac:dyDescent="0.3">
      <c r="A724" s="231"/>
      <c r="B724" s="235"/>
      <c r="C724" s="214"/>
      <c r="D724" s="214"/>
      <c r="E724" s="214"/>
      <c r="F724" s="214"/>
      <c r="G724" s="222"/>
      <c r="H724" s="221"/>
      <c r="I724" s="213"/>
      <c r="J724" s="213"/>
      <c r="K724" s="215"/>
      <c r="L724" s="216"/>
      <c r="M724" s="217"/>
      <c r="O724" s="241" t="str">
        <f>IF(Q724 = "", "", COUNT(Q$4:$Q724))</f>
        <v/>
      </c>
      <c r="P724" s="241" t="str">
        <f t="shared" si="92"/>
        <v/>
      </c>
      <c r="Q724" s="242" t="str">
        <f t="shared" si="93"/>
        <v/>
      </c>
      <c r="R724" s="243" t="str">
        <f t="shared" si="96"/>
        <v/>
      </c>
      <c r="S724" s="244" t="str">
        <f t="shared" si="94"/>
        <v/>
      </c>
      <c r="T724" s="245" t="str">
        <f t="shared" si="97"/>
        <v/>
      </c>
      <c r="U724" s="246" t="str">
        <f t="shared" si="95"/>
        <v/>
      </c>
      <c r="V724" s="8"/>
      <c r="AR724" t="str">
        <f t="shared" si="91"/>
        <v/>
      </c>
      <c r="AS724" t="str">
        <f t="shared" si="90"/>
        <v/>
      </c>
    </row>
    <row r="725" spans="1:45" x14ac:dyDescent="0.3">
      <c r="A725" s="231"/>
      <c r="B725" s="235"/>
      <c r="C725" s="214"/>
      <c r="D725" s="214"/>
      <c r="E725" s="214"/>
      <c r="F725" s="214"/>
      <c r="G725" s="222"/>
      <c r="H725" s="221"/>
      <c r="I725" s="213"/>
      <c r="J725" s="213"/>
      <c r="K725" s="215"/>
      <c r="L725" s="216"/>
      <c r="M725" s="217"/>
      <c r="O725" s="241" t="str">
        <f>IF(Q725 = "", "", COUNT(Q$4:$Q725))</f>
        <v/>
      </c>
      <c r="P725" s="241" t="str">
        <f t="shared" si="92"/>
        <v/>
      </c>
      <c r="Q725" s="242" t="str">
        <f t="shared" si="93"/>
        <v/>
      </c>
      <c r="R725" s="243" t="str">
        <f t="shared" si="96"/>
        <v/>
      </c>
      <c r="S725" s="244" t="str">
        <f t="shared" si="94"/>
        <v/>
      </c>
      <c r="T725" s="245" t="str">
        <f t="shared" si="97"/>
        <v/>
      </c>
      <c r="U725" s="246" t="str">
        <f t="shared" si="95"/>
        <v/>
      </c>
      <c r="V725" s="8"/>
      <c r="AR725" t="str">
        <f t="shared" si="91"/>
        <v/>
      </c>
      <c r="AS725" t="str">
        <f t="shared" ref="AS725:AS788" si="98">IF(OR(L725="Y",M725="Y"),"Y","")</f>
        <v/>
      </c>
    </row>
    <row r="726" spans="1:45" x14ac:dyDescent="0.3">
      <c r="A726" s="231"/>
      <c r="B726" s="235"/>
      <c r="C726" s="214"/>
      <c r="D726" s="214"/>
      <c r="E726" s="214"/>
      <c r="F726" s="214"/>
      <c r="G726" s="222"/>
      <c r="H726" s="221"/>
      <c r="I726" s="213"/>
      <c r="J726" s="213"/>
      <c r="K726" s="215"/>
      <c r="L726" s="216"/>
      <c r="M726" s="217"/>
      <c r="O726" s="241" t="str">
        <f>IF(Q726 = "", "", COUNT(Q$4:$Q726))</f>
        <v/>
      </c>
      <c r="P726" s="241" t="str">
        <f t="shared" si="92"/>
        <v/>
      </c>
      <c r="Q726" s="242" t="str">
        <f t="shared" si="93"/>
        <v/>
      </c>
      <c r="R726" s="243" t="str">
        <f t="shared" si="96"/>
        <v/>
      </c>
      <c r="S726" s="244" t="str">
        <f t="shared" si="94"/>
        <v/>
      </c>
      <c r="T726" s="245" t="str">
        <f t="shared" si="97"/>
        <v/>
      </c>
      <c r="U726" s="246" t="str">
        <f t="shared" si="95"/>
        <v/>
      </c>
      <c r="V726" s="8"/>
      <c r="AR726" t="str">
        <f t="shared" ref="AR726:AR789" si="99">IF(O726&gt;0, O726, "")</f>
        <v/>
      </c>
      <c r="AS726" t="str">
        <f t="shared" si="98"/>
        <v/>
      </c>
    </row>
    <row r="727" spans="1:45" x14ac:dyDescent="0.3">
      <c r="A727" s="231"/>
      <c r="B727" s="235"/>
      <c r="C727" s="214"/>
      <c r="D727" s="214"/>
      <c r="E727" s="214"/>
      <c r="F727" s="214"/>
      <c r="G727" s="222"/>
      <c r="H727" s="221"/>
      <c r="I727" s="213"/>
      <c r="J727" s="213"/>
      <c r="K727" s="215"/>
      <c r="L727" s="216"/>
      <c r="M727" s="217"/>
      <c r="O727" s="241" t="str">
        <f>IF(Q727 = "", "", COUNT(Q$4:$Q727))</f>
        <v/>
      </c>
      <c r="P727" s="241" t="str">
        <f t="shared" si="92"/>
        <v/>
      </c>
      <c r="Q727" s="242" t="str">
        <f t="shared" si="93"/>
        <v/>
      </c>
      <c r="R727" s="243" t="str">
        <f t="shared" si="96"/>
        <v/>
      </c>
      <c r="S727" s="244" t="str">
        <f t="shared" si="94"/>
        <v/>
      </c>
      <c r="T727" s="245" t="str">
        <f t="shared" si="97"/>
        <v/>
      </c>
      <c r="U727" s="246" t="str">
        <f t="shared" si="95"/>
        <v/>
      </c>
      <c r="V727" s="8"/>
      <c r="AR727" t="str">
        <f t="shared" si="99"/>
        <v/>
      </c>
      <c r="AS727" t="str">
        <f t="shared" si="98"/>
        <v/>
      </c>
    </row>
    <row r="728" spans="1:45" x14ac:dyDescent="0.3">
      <c r="A728" s="231"/>
      <c r="B728" s="235"/>
      <c r="C728" s="214"/>
      <c r="D728" s="214"/>
      <c r="E728" s="214"/>
      <c r="F728" s="214"/>
      <c r="G728" s="222"/>
      <c r="H728" s="221"/>
      <c r="I728" s="213"/>
      <c r="J728" s="213"/>
      <c r="K728" s="215"/>
      <c r="L728" s="216"/>
      <c r="M728" s="217"/>
      <c r="O728" s="241" t="str">
        <f>IF(Q728 = "", "", COUNT(Q$4:$Q728))</f>
        <v/>
      </c>
      <c r="P728" s="241" t="str">
        <f t="shared" si="92"/>
        <v/>
      </c>
      <c r="Q728" s="242" t="str">
        <f t="shared" si="93"/>
        <v/>
      </c>
      <c r="R728" s="243" t="str">
        <f t="shared" si="96"/>
        <v/>
      </c>
      <c r="S728" s="244" t="str">
        <f t="shared" si="94"/>
        <v/>
      </c>
      <c r="T728" s="245" t="str">
        <f t="shared" si="97"/>
        <v/>
      </c>
      <c r="U728" s="246" t="str">
        <f t="shared" si="95"/>
        <v/>
      </c>
      <c r="V728" s="8"/>
      <c r="AR728" t="str">
        <f t="shared" si="99"/>
        <v/>
      </c>
      <c r="AS728" t="str">
        <f t="shared" si="98"/>
        <v/>
      </c>
    </row>
    <row r="729" spans="1:45" x14ac:dyDescent="0.3">
      <c r="A729" s="231"/>
      <c r="B729" s="235"/>
      <c r="C729" s="214"/>
      <c r="D729" s="214"/>
      <c r="E729" s="214"/>
      <c r="F729" s="214"/>
      <c r="G729" s="222"/>
      <c r="H729" s="221"/>
      <c r="I729" s="213"/>
      <c r="J729" s="213"/>
      <c r="K729" s="215"/>
      <c r="L729" s="216"/>
      <c r="M729" s="217"/>
      <c r="O729" s="241" t="str">
        <f>IF(Q729 = "", "", COUNT(Q$4:$Q729))</f>
        <v/>
      </c>
      <c r="P729" s="241" t="str">
        <f t="shared" si="92"/>
        <v/>
      </c>
      <c r="Q729" s="242" t="str">
        <f t="shared" si="93"/>
        <v/>
      </c>
      <c r="R729" s="243" t="str">
        <f t="shared" si="96"/>
        <v/>
      </c>
      <c r="S729" s="244" t="str">
        <f t="shared" si="94"/>
        <v/>
      </c>
      <c r="T729" s="245" t="str">
        <f t="shared" si="97"/>
        <v/>
      </c>
      <c r="U729" s="246" t="str">
        <f t="shared" si="95"/>
        <v/>
      </c>
      <c r="V729" s="8"/>
      <c r="AR729" t="str">
        <f t="shared" si="99"/>
        <v/>
      </c>
      <c r="AS729" t="str">
        <f t="shared" si="98"/>
        <v/>
      </c>
    </row>
    <row r="730" spans="1:45" x14ac:dyDescent="0.3">
      <c r="A730" s="231"/>
      <c r="B730" s="235"/>
      <c r="C730" s="214"/>
      <c r="D730" s="214"/>
      <c r="E730" s="214"/>
      <c r="F730" s="214"/>
      <c r="G730" s="222"/>
      <c r="H730" s="221"/>
      <c r="I730" s="213"/>
      <c r="J730" s="213"/>
      <c r="K730" s="215"/>
      <c r="L730" s="216"/>
      <c r="M730" s="217"/>
      <c r="O730" s="241" t="str">
        <f>IF(Q730 = "", "", COUNT(Q$4:$Q730))</f>
        <v/>
      </c>
      <c r="P730" s="241" t="str">
        <f t="shared" si="92"/>
        <v/>
      </c>
      <c r="Q730" s="242" t="str">
        <f t="shared" si="93"/>
        <v/>
      </c>
      <c r="R730" s="243" t="str">
        <f t="shared" si="96"/>
        <v/>
      </c>
      <c r="S730" s="244" t="str">
        <f t="shared" si="94"/>
        <v/>
      </c>
      <c r="T730" s="245" t="str">
        <f t="shared" si="97"/>
        <v/>
      </c>
      <c r="U730" s="246" t="str">
        <f t="shared" si="95"/>
        <v/>
      </c>
      <c r="V730" s="8"/>
      <c r="AR730" t="str">
        <f t="shared" si="99"/>
        <v/>
      </c>
      <c r="AS730" t="str">
        <f t="shared" si="98"/>
        <v/>
      </c>
    </row>
    <row r="731" spans="1:45" x14ac:dyDescent="0.3">
      <c r="A731" s="231"/>
      <c r="B731" s="235"/>
      <c r="C731" s="214"/>
      <c r="D731" s="214"/>
      <c r="E731" s="214"/>
      <c r="F731" s="214"/>
      <c r="G731" s="222"/>
      <c r="H731" s="221"/>
      <c r="I731" s="213"/>
      <c r="J731" s="213"/>
      <c r="K731" s="215"/>
      <c r="L731" s="216"/>
      <c r="M731" s="217"/>
      <c r="O731" s="241" t="str">
        <f>IF(Q731 = "", "", COUNT(Q$4:$Q731))</f>
        <v/>
      </c>
      <c r="P731" s="241" t="str">
        <f t="shared" si="92"/>
        <v/>
      </c>
      <c r="Q731" s="242" t="str">
        <f t="shared" si="93"/>
        <v/>
      </c>
      <c r="R731" s="243" t="str">
        <f t="shared" si="96"/>
        <v/>
      </c>
      <c r="S731" s="244" t="str">
        <f t="shared" si="94"/>
        <v/>
      </c>
      <c r="T731" s="245" t="str">
        <f t="shared" si="97"/>
        <v/>
      </c>
      <c r="U731" s="246" t="str">
        <f t="shared" si="95"/>
        <v/>
      </c>
      <c r="V731" s="8"/>
      <c r="AR731" t="str">
        <f t="shared" si="99"/>
        <v/>
      </c>
      <c r="AS731" t="str">
        <f t="shared" si="98"/>
        <v/>
      </c>
    </row>
    <row r="732" spans="1:45" x14ac:dyDescent="0.3">
      <c r="A732" s="231"/>
      <c r="B732" s="235"/>
      <c r="C732" s="214"/>
      <c r="D732" s="214"/>
      <c r="E732" s="214"/>
      <c r="F732" s="214"/>
      <c r="G732" s="222"/>
      <c r="H732" s="221"/>
      <c r="I732" s="213"/>
      <c r="J732" s="213"/>
      <c r="K732" s="215"/>
      <c r="L732" s="216"/>
      <c r="M732" s="217"/>
      <c r="O732" s="241" t="str">
        <f>IF(Q732 = "", "", COUNT(Q$4:$Q732))</f>
        <v/>
      </c>
      <c r="P732" s="241" t="str">
        <f t="shared" si="92"/>
        <v/>
      </c>
      <c r="Q732" s="242" t="str">
        <f t="shared" si="93"/>
        <v/>
      </c>
      <c r="R732" s="243" t="str">
        <f t="shared" si="96"/>
        <v/>
      </c>
      <c r="S732" s="244" t="str">
        <f t="shared" si="94"/>
        <v/>
      </c>
      <c r="T732" s="245" t="str">
        <f t="shared" si="97"/>
        <v/>
      </c>
      <c r="U732" s="246" t="str">
        <f t="shared" si="95"/>
        <v/>
      </c>
      <c r="V732" s="8"/>
      <c r="AR732" t="str">
        <f t="shared" si="99"/>
        <v/>
      </c>
      <c r="AS732" t="str">
        <f t="shared" si="98"/>
        <v/>
      </c>
    </row>
    <row r="733" spans="1:45" x14ac:dyDescent="0.3">
      <c r="A733" s="231"/>
      <c r="B733" s="235"/>
      <c r="C733" s="214"/>
      <c r="D733" s="214"/>
      <c r="E733" s="214"/>
      <c r="F733" s="214"/>
      <c r="G733" s="222"/>
      <c r="H733" s="221"/>
      <c r="I733" s="213"/>
      <c r="J733" s="213"/>
      <c r="K733" s="215"/>
      <c r="L733" s="216"/>
      <c r="M733" s="217"/>
      <c r="O733" s="241" t="str">
        <f>IF(Q733 = "", "", COUNT(Q$4:$Q733))</f>
        <v/>
      </c>
      <c r="P733" s="241" t="str">
        <f t="shared" si="92"/>
        <v/>
      </c>
      <c r="Q733" s="242" t="str">
        <f t="shared" si="93"/>
        <v/>
      </c>
      <c r="R733" s="243" t="str">
        <f t="shared" si="96"/>
        <v/>
      </c>
      <c r="S733" s="244" t="str">
        <f t="shared" si="94"/>
        <v/>
      </c>
      <c r="T733" s="245" t="str">
        <f t="shared" si="97"/>
        <v/>
      </c>
      <c r="U733" s="246" t="str">
        <f t="shared" si="95"/>
        <v/>
      </c>
      <c r="V733" s="8"/>
      <c r="AR733" t="str">
        <f t="shared" si="99"/>
        <v/>
      </c>
      <c r="AS733" t="str">
        <f t="shared" si="98"/>
        <v/>
      </c>
    </row>
    <row r="734" spans="1:45" x14ac:dyDescent="0.3">
      <c r="A734" s="231"/>
      <c r="B734" s="235"/>
      <c r="C734" s="214"/>
      <c r="D734" s="214"/>
      <c r="E734" s="214"/>
      <c r="F734" s="214"/>
      <c r="G734" s="222"/>
      <c r="H734" s="221"/>
      <c r="I734" s="213"/>
      <c r="J734" s="213"/>
      <c r="K734" s="215"/>
      <c r="L734" s="216"/>
      <c r="M734" s="217"/>
      <c r="O734" s="241" t="str">
        <f>IF(Q734 = "", "", COUNT(Q$4:$Q734))</f>
        <v/>
      </c>
      <c r="P734" s="241" t="str">
        <f t="shared" si="92"/>
        <v/>
      </c>
      <c r="Q734" s="242" t="str">
        <f t="shared" si="93"/>
        <v/>
      </c>
      <c r="R734" s="243" t="str">
        <f t="shared" si="96"/>
        <v/>
      </c>
      <c r="S734" s="244" t="str">
        <f t="shared" si="94"/>
        <v/>
      </c>
      <c r="T734" s="245" t="str">
        <f t="shared" si="97"/>
        <v/>
      </c>
      <c r="U734" s="246" t="str">
        <f t="shared" si="95"/>
        <v/>
      </c>
      <c r="V734" s="8"/>
      <c r="AR734" t="str">
        <f t="shared" si="99"/>
        <v/>
      </c>
      <c r="AS734" t="str">
        <f t="shared" si="98"/>
        <v/>
      </c>
    </row>
    <row r="735" spans="1:45" x14ac:dyDescent="0.3">
      <c r="A735" s="231"/>
      <c r="B735" s="235"/>
      <c r="C735" s="214"/>
      <c r="D735" s="214"/>
      <c r="E735" s="214"/>
      <c r="F735" s="214"/>
      <c r="G735" s="222"/>
      <c r="H735" s="221"/>
      <c r="I735" s="213"/>
      <c r="J735" s="213"/>
      <c r="K735" s="215"/>
      <c r="L735" s="216"/>
      <c r="M735" s="217"/>
      <c r="O735" s="241" t="str">
        <f>IF(Q735 = "", "", COUNT(Q$4:$Q735))</f>
        <v/>
      </c>
      <c r="P735" s="241" t="str">
        <f t="shared" si="92"/>
        <v/>
      </c>
      <c r="Q735" s="242" t="str">
        <f t="shared" si="93"/>
        <v/>
      </c>
      <c r="R735" s="243" t="str">
        <f t="shared" si="96"/>
        <v/>
      </c>
      <c r="S735" s="244" t="str">
        <f t="shared" si="94"/>
        <v/>
      </c>
      <c r="T735" s="245" t="str">
        <f t="shared" si="97"/>
        <v/>
      </c>
      <c r="U735" s="246" t="str">
        <f t="shared" si="95"/>
        <v/>
      </c>
      <c r="V735" s="8"/>
      <c r="AR735" t="str">
        <f t="shared" si="99"/>
        <v/>
      </c>
      <c r="AS735" t="str">
        <f t="shared" si="98"/>
        <v/>
      </c>
    </row>
    <row r="736" spans="1:45" x14ac:dyDescent="0.3">
      <c r="A736" s="231"/>
      <c r="B736" s="235"/>
      <c r="C736" s="214"/>
      <c r="D736" s="214"/>
      <c r="E736" s="214"/>
      <c r="F736" s="214"/>
      <c r="G736" s="222"/>
      <c r="H736" s="221"/>
      <c r="I736" s="213"/>
      <c r="J736" s="213"/>
      <c r="K736" s="215"/>
      <c r="L736" s="216"/>
      <c r="M736" s="217"/>
      <c r="O736" s="241" t="str">
        <f>IF(Q736 = "", "", COUNT(Q$4:$Q736))</f>
        <v/>
      </c>
      <c r="P736" s="241" t="str">
        <f t="shared" si="92"/>
        <v/>
      </c>
      <c r="Q736" s="242" t="str">
        <f t="shared" si="93"/>
        <v/>
      </c>
      <c r="R736" s="243" t="str">
        <f t="shared" si="96"/>
        <v/>
      </c>
      <c r="S736" s="244" t="str">
        <f t="shared" si="94"/>
        <v/>
      </c>
      <c r="T736" s="245" t="str">
        <f t="shared" si="97"/>
        <v/>
      </c>
      <c r="U736" s="246" t="str">
        <f t="shared" si="95"/>
        <v/>
      </c>
      <c r="V736" s="8"/>
      <c r="AR736" t="str">
        <f t="shared" si="99"/>
        <v/>
      </c>
      <c r="AS736" t="str">
        <f t="shared" si="98"/>
        <v/>
      </c>
    </row>
    <row r="737" spans="1:45" x14ac:dyDescent="0.3">
      <c r="A737" s="231"/>
      <c r="B737" s="235"/>
      <c r="C737" s="214"/>
      <c r="D737" s="214"/>
      <c r="E737" s="214"/>
      <c r="F737" s="214"/>
      <c r="G737" s="222"/>
      <c r="H737" s="221"/>
      <c r="I737" s="213"/>
      <c r="J737" s="213"/>
      <c r="K737" s="215"/>
      <c r="L737" s="216"/>
      <c r="M737" s="217"/>
      <c r="O737" s="241" t="str">
        <f>IF(Q737 = "", "", COUNT(Q$4:$Q737))</f>
        <v/>
      </c>
      <c r="P737" s="241" t="str">
        <f t="shared" si="92"/>
        <v/>
      </c>
      <c r="Q737" s="242" t="str">
        <f t="shared" si="93"/>
        <v/>
      </c>
      <c r="R737" s="243" t="str">
        <f t="shared" si="96"/>
        <v/>
      </c>
      <c r="S737" s="244" t="str">
        <f t="shared" si="94"/>
        <v/>
      </c>
      <c r="T737" s="245" t="str">
        <f t="shared" si="97"/>
        <v/>
      </c>
      <c r="U737" s="246" t="str">
        <f t="shared" si="95"/>
        <v/>
      </c>
      <c r="V737" s="8"/>
      <c r="AR737" t="str">
        <f t="shared" si="99"/>
        <v/>
      </c>
      <c r="AS737" t="str">
        <f t="shared" si="98"/>
        <v/>
      </c>
    </row>
    <row r="738" spans="1:45" x14ac:dyDescent="0.3">
      <c r="A738" s="231"/>
      <c r="B738" s="235"/>
      <c r="C738" s="214"/>
      <c r="D738" s="214"/>
      <c r="E738" s="214"/>
      <c r="F738" s="214"/>
      <c r="G738" s="222"/>
      <c r="H738" s="221"/>
      <c r="I738" s="213"/>
      <c r="J738" s="213"/>
      <c r="K738" s="215"/>
      <c r="L738" s="216"/>
      <c r="M738" s="217"/>
      <c r="O738" s="241" t="str">
        <f>IF(Q738 = "", "", COUNT(Q$4:$Q738))</f>
        <v/>
      </c>
      <c r="P738" s="241" t="str">
        <f t="shared" si="92"/>
        <v/>
      </c>
      <c r="Q738" s="242" t="str">
        <f t="shared" si="93"/>
        <v/>
      </c>
      <c r="R738" s="243" t="str">
        <f t="shared" si="96"/>
        <v/>
      </c>
      <c r="S738" s="244" t="str">
        <f t="shared" si="94"/>
        <v/>
      </c>
      <c r="T738" s="245" t="str">
        <f t="shared" si="97"/>
        <v/>
      </c>
      <c r="U738" s="246" t="str">
        <f t="shared" si="95"/>
        <v/>
      </c>
      <c r="V738" s="8"/>
      <c r="AR738" t="str">
        <f t="shared" si="99"/>
        <v/>
      </c>
      <c r="AS738" t="str">
        <f t="shared" si="98"/>
        <v/>
      </c>
    </row>
    <row r="739" spans="1:45" x14ac:dyDescent="0.3">
      <c r="A739" s="231"/>
      <c r="B739" s="235"/>
      <c r="C739" s="214"/>
      <c r="D739" s="214"/>
      <c r="E739" s="214"/>
      <c r="F739" s="214"/>
      <c r="G739" s="222"/>
      <c r="H739" s="221"/>
      <c r="I739" s="213"/>
      <c r="J739" s="213"/>
      <c r="K739" s="215"/>
      <c r="L739" s="216"/>
      <c r="M739" s="217"/>
      <c r="O739" s="241" t="str">
        <f>IF(Q739 = "", "", COUNT(Q$4:$Q739))</f>
        <v/>
      </c>
      <c r="P739" s="241" t="str">
        <f t="shared" si="92"/>
        <v/>
      </c>
      <c r="Q739" s="242" t="str">
        <f t="shared" si="93"/>
        <v/>
      </c>
      <c r="R739" s="243" t="str">
        <f t="shared" si="96"/>
        <v/>
      </c>
      <c r="S739" s="244" t="str">
        <f t="shared" si="94"/>
        <v/>
      </c>
      <c r="T739" s="245" t="str">
        <f t="shared" si="97"/>
        <v/>
      </c>
      <c r="U739" s="246" t="str">
        <f t="shared" si="95"/>
        <v/>
      </c>
      <c r="V739" s="8"/>
      <c r="AR739" t="str">
        <f t="shared" si="99"/>
        <v/>
      </c>
      <c r="AS739" t="str">
        <f t="shared" si="98"/>
        <v/>
      </c>
    </row>
    <row r="740" spans="1:45" x14ac:dyDescent="0.3">
      <c r="A740" s="231"/>
      <c r="B740" s="235"/>
      <c r="C740" s="214"/>
      <c r="D740" s="214"/>
      <c r="E740" s="214"/>
      <c r="F740" s="214"/>
      <c r="G740" s="222"/>
      <c r="H740" s="221"/>
      <c r="I740" s="213"/>
      <c r="J740" s="213"/>
      <c r="K740" s="215"/>
      <c r="L740" s="216"/>
      <c r="M740" s="217"/>
      <c r="O740" s="241" t="str">
        <f>IF(Q740 = "", "", COUNT(Q$4:$Q740))</f>
        <v/>
      </c>
      <c r="P740" s="241" t="str">
        <f t="shared" si="92"/>
        <v/>
      </c>
      <c r="Q740" s="242" t="str">
        <f t="shared" si="93"/>
        <v/>
      </c>
      <c r="R740" s="243" t="str">
        <f t="shared" si="96"/>
        <v/>
      </c>
      <c r="S740" s="244" t="str">
        <f t="shared" si="94"/>
        <v/>
      </c>
      <c r="T740" s="245" t="str">
        <f t="shared" si="97"/>
        <v/>
      </c>
      <c r="U740" s="246" t="str">
        <f t="shared" si="95"/>
        <v/>
      </c>
      <c r="V740" s="8"/>
      <c r="AR740" t="str">
        <f t="shared" si="99"/>
        <v/>
      </c>
      <c r="AS740" t="str">
        <f t="shared" si="98"/>
        <v/>
      </c>
    </row>
    <row r="741" spans="1:45" x14ac:dyDescent="0.3">
      <c r="A741" s="231"/>
      <c r="B741" s="235"/>
      <c r="C741" s="214"/>
      <c r="D741" s="214"/>
      <c r="E741" s="214"/>
      <c r="F741" s="214"/>
      <c r="G741" s="222"/>
      <c r="H741" s="221"/>
      <c r="I741" s="213"/>
      <c r="J741" s="213"/>
      <c r="K741" s="215"/>
      <c r="L741" s="216"/>
      <c r="M741" s="217"/>
      <c r="O741" s="241" t="str">
        <f>IF(Q741 = "", "", COUNT(Q$4:$Q741))</f>
        <v/>
      </c>
      <c r="P741" s="241" t="str">
        <f t="shared" si="92"/>
        <v/>
      </c>
      <c r="Q741" s="242" t="str">
        <f t="shared" si="93"/>
        <v/>
      </c>
      <c r="R741" s="243" t="str">
        <f t="shared" si="96"/>
        <v/>
      </c>
      <c r="S741" s="244" t="str">
        <f t="shared" si="94"/>
        <v/>
      </c>
      <c r="T741" s="245" t="str">
        <f t="shared" si="97"/>
        <v/>
      </c>
      <c r="U741" s="246" t="str">
        <f t="shared" si="95"/>
        <v/>
      </c>
      <c r="V741" s="8"/>
      <c r="AR741" t="str">
        <f t="shared" si="99"/>
        <v/>
      </c>
      <c r="AS741" t="str">
        <f t="shared" si="98"/>
        <v/>
      </c>
    </row>
    <row r="742" spans="1:45" x14ac:dyDescent="0.3">
      <c r="A742" s="231"/>
      <c r="B742" s="235"/>
      <c r="C742" s="214"/>
      <c r="D742" s="214"/>
      <c r="E742" s="214"/>
      <c r="F742" s="214"/>
      <c r="G742" s="222"/>
      <c r="H742" s="221"/>
      <c r="I742" s="213"/>
      <c r="J742" s="213"/>
      <c r="K742" s="215"/>
      <c r="L742" s="216"/>
      <c r="M742" s="217"/>
      <c r="O742" s="241" t="str">
        <f>IF(Q742 = "", "", COUNT(Q$4:$Q742))</f>
        <v/>
      </c>
      <c r="P742" s="241" t="str">
        <f t="shared" si="92"/>
        <v/>
      </c>
      <c r="Q742" s="242" t="str">
        <f t="shared" si="93"/>
        <v/>
      </c>
      <c r="R742" s="243" t="str">
        <f t="shared" si="96"/>
        <v/>
      </c>
      <c r="S742" s="244" t="str">
        <f t="shared" si="94"/>
        <v/>
      </c>
      <c r="T742" s="245" t="str">
        <f t="shared" si="97"/>
        <v/>
      </c>
      <c r="U742" s="246" t="str">
        <f t="shared" si="95"/>
        <v/>
      </c>
      <c r="V742" s="8"/>
      <c r="AR742" t="str">
        <f t="shared" si="99"/>
        <v/>
      </c>
      <c r="AS742" t="str">
        <f t="shared" si="98"/>
        <v/>
      </c>
    </row>
    <row r="743" spans="1:45" x14ac:dyDescent="0.3">
      <c r="A743" s="231"/>
      <c r="B743" s="235"/>
      <c r="C743" s="214"/>
      <c r="D743" s="214"/>
      <c r="E743" s="214"/>
      <c r="F743" s="214"/>
      <c r="G743" s="222"/>
      <c r="H743" s="221"/>
      <c r="I743" s="213"/>
      <c r="J743" s="213"/>
      <c r="K743" s="215"/>
      <c r="L743" s="216"/>
      <c r="M743" s="217"/>
      <c r="O743" s="241" t="str">
        <f>IF(Q743 = "", "", COUNT(Q$4:$Q743))</f>
        <v/>
      </c>
      <c r="P743" s="241" t="str">
        <f t="shared" si="92"/>
        <v/>
      </c>
      <c r="Q743" s="242" t="str">
        <f t="shared" si="93"/>
        <v/>
      </c>
      <c r="R743" s="243" t="str">
        <f t="shared" si="96"/>
        <v/>
      </c>
      <c r="S743" s="244" t="str">
        <f t="shared" si="94"/>
        <v/>
      </c>
      <c r="T743" s="245" t="str">
        <f t="shared" si="97"/>
        <v/>
      </c>
      <c r="U743" s="246" t="str">
        <f t="shared" si="95"/>
        <v/>
      </c>
      <c r="V743" s="8"/>
      <c r="AR743" t="str">
        <f t="shared" si="99"/>
        <v/>
      </c>
      <c r="AS743" t="str">
        <f t="shared" si="98"/>
        <v/>
      </c>
    </row>
    <row r="744" spans="1:45" x14ac:dyDescent="0.3">
      <c r="A744" s="231"/>
      <c r="B744" s="235"/>
      <c r="C744" s="214"/>
      <c r="D744" s="214"/>
      <c r="E744" s="214"/>
      <c r="F744" s="214"/>
      <c r="G744" s="222"/>
      <c r="H744" s="221"/>
      <c r="I744" s="213"/>
      <c r="J744" s="213"/>
      <c r="K744" s="215"/>
      <c r="L744" s="216"/>
      <c r="M744" s="217"/>
      <c r="O744" s="241" t="str">
        <f>IF(Q744 = "", "", COUNT(Q$4:$Q744))</f>
        <v/>
      </c>
      <c r="P744" s="241" t="str">
        <f t="shared" si="92"/>
        <v/>
      </c>
      <c r="Q744" s="242" t="str">
        <f t="shared" si="93"/>
        <v/>
      </c>
      <c r="R744" s="243" t="str">
        <f t="shared" si="96"/>
        <v/>
      </c>
      <c r="S744" s="244" t="str">
        <f t="shared" si="94"/>
        <v/>
      </c>
      <c r="T744" s="245" t="str">
        <f t="shared" si="97"/>
        <v/>
      </c>
      <c r="U744" s="246" t="str">
        <f t="shared" si="95"/>
        <v/>
      </c>
      <c r="V744" s="8"/>
      <c r="AR744" t="str">
        <f t="shared" si="99"/>
        <v/>
      </c>
      <c r="AS744" t="str">
        <f t="shared" si="98"/>
        <v/>
      </c>
    </row>
    <row r="745" spans="1:45" x14ac:dyDescent="0.3">
      <c r="A745" s="231"/>
      <c r="B745" s="235"/>
      <c r="C745" s="214"/>
      <c r="D745" s="214"/>
      <c r="E745" s="214"/>
      <c r="F745" s="214"/>
      <c r="G745" s="222"/>
      <c r="H745" s="221"/>
      <c r="I745" s="213"/>
      <c r="J745" s="213"/>
      <c r="K745" s="215"/>
      <c r="L745" s="216"/>
      <c r="M745" s="217"/>
      <c r="O745" s="241" t="str">
        <f>IF(Q745 = "", "", COUNT(Q$4:$Q745))</f>
        <v/>
      </c>
      <c r="P745" s="241" t="str">
        <f t="shared" si="92"/>
        <v/>
      </c>
      <c r="Q745" s="242" t="str">
        <f t="shared" si="93"/>
        <v/>
      </c>
      <c r="R745" s="243" t="str">
        <f t="shared" si="96"/>
        <v/>
      </c>
      <c r="S745" s="244" t="str">
        <f t="shared" si="94"/>
        <v/>
      </c>
      <c r="T745" s="245" t="str">
        <f t="shared" si="97"/>
        <v/>
      </c>
      <c r="U745" s="246" t="str">
        <f t="shared" si="95"/>
        <v/>
      </c>
      <c r="V745" s="8"/>
      <c r="AR745" t="str">
        <f t="shared" si="99"/>
        <v/>
      </c>
      <c r="AS745" t="str">
        <f t="shared" si="98"/>
        <v/>
      </c>
    </row>
    <row r="746" spans="1:45" x14ac:dyDescent="0.3">
      <c r="A746" s="231"/>
      <c r="B746" s="235"/>
      <c r="C746" s="214"/>
      <c r="D746" s="214"/>
      <c r="E746" s="214"/>
      <c r="F746" s="214"/>
      <c r="G746" s="222"/>
      <c r="H746" s="221"/>
      <c r="I746" s="213"/>
      <c r="J746" s="213"/>
      <c r="K746" s="215"/>
      <c r="L746" s="216"/>
      <c r="M746" s="217"/>
      <c r="O746" s="241" t="str">
        <f>IF(Q746 = "", "", COUNT(Q$4:$Q746))</f>
        <v/>
      </c>
      <c r="P746" s="241" t="str">
        <f t="shared" si="92"/>
        <v/>
      </c>
      <c r="Q746" s="242" t="str">
        <f t="shared" si="93"/>
        <v/>
      </c>
      <c r="R746" s="243" t="str">
        <f t="shared" si="96"/>
        <v/>
      </c>
      <c r="S746" s="244" t="str">
        <f t="shared" si="94"/>
        <v/>
      </c>
      <c r="T746" s="245" t="str">
        <f t="shared" si="97"/>
        <v/>
      </c>
      <c r="U746" s="246" t="str">
        <f t="shared" si="95"/>
        <v/>
      </c>
      <c r="V746" s="8"/>
      <c r="AR746" t="str">
        <f t="shared" si="99"/>
        <v/>
      </c>
      <c r="AS746" t="str">
        <f t="shared" si="98"/>
        <v/>
      </c>
    </row>
    <row r="747" spans="1:45" x14ac:dyDescent="0.3">
      <c r="A747" s="231"/>
      <c r="B747" s="235"/>
      <c r="C747" s="214"/>
      <c r="D747" s="214"/>
      <c r="E747" s="214"/>
      <c r="F747" s="214"/>
      <c r="G747" s="222"/>
      <c r="H747" s="221"/>
      <c r="I747" s="213"/>
      <c r="J747" s="213"/>
      <c r="K747" s="215"/>
      <c r="L747" s="216"/>
      <c r="M747" s="217"/>
      <c r="O747" s="241" t="str">
        <f>IF(Q747 = "", "", COUNT(Q$4:$Q747))</f>
        <v/>
      </c>
      <c r="P747" s="241" t="str">
        <f t="shared" si="92"/>
        <v/>
      </c>
      <c r="Q747" s="242" t="str">
        <f t="shared" si="93"/>
        <v/>
      </c>
      <c r="R747" s="243" t="str">
        <f t="shared" si="96"/>
        <v/>
      </c>
      <c r="S747" s="244" t="str">
        <f t="shared" si="94"/>
        <v/>
      </c>
      <c r="T747" s="245" t="str">
        <f t="shared" si="97"/>
        <v/>
      </c>
      <c r="U747" s="246" t="str">
        <f t="shared" si="95"/>
        <v/>
      </c>
      <c r="V747" s="8"/>
      <c r="AR747" t="str">
        <f t="shared" si="99"/>
        <v/>
      </c>
      <c r="AS747" t="str">
        <f t="shared" si="98"/>
        <v/>
      </c>
    </row>
    <row r="748" spans="1:45" x14ac:dyDescent="0.3">
      <c r="A748" s="231"/>
      <c r="B748" s="235"/>
      <c r="C748" s="214"/>
      <c r="D748" s="214"/>
      <c r="E748" s="214"/>
      <c r="F748" s="214"/>
      <c r="G748" s="222"/>
      <c r="H748" s="221"/>
      <c r="I748" s="213"/>
      <c r="J748" s="213"/>
      <c r="K748" s="215"/>
      <c r="L748" s="216"/>
      <c r="M748" s="217"/>
      <c r="O748" s="241" t="str">
        <f>IF(Q748 = "", "", COUNT(Q$4:$Q748))</f>
        <v/>
      </c>
      <c r="P748" s="241" t="str">
        <f t="shared" si="92"/>
        <v/>
      </c>
      <c r="Q748" s="242" t="str">
        <f t="shared" si="93"/>
        <v/>
      </c>
      <c r="R748" s="243" t="str">
        <f t="shared" si="96"/>
        <v/>
      </c>
      <c r="S748" s="244" t="str">
        <f t="shared" si="94"/>
        <v/>
      </c>
      <c r="T748" s="245" t="str">
        <f t="shared" si="97"/>
        <v/>
      </c>
      <c r="U748" s="246" t="str">
        <f t="shared" si="95"/>
        <v/>
      </c>
      <c r="V748" s="8"/>
      <c r="AR748" t="str">
        <f t="shared" si="99"/>
        <v/>
      </c>
      <c r="AS748" t="str">
        <f t="shared" si="98"/>
        <v/>
      </c>
    </row>
    <row r="749" spans="1:45" x14ac:dyDescent="0.3">
      <c r="A749" s="231"/>
      <c r="B749" s="235"/>
      <c r="C749" s="214"/>
      <c r="D749" s="214"/>
      <c r="E749" s="214"/>
      <c r="F749" s="214"/>
      <c r="G749" s="222"/>
      <c r="H749" s="221"/>
      <c r="I749" s="213"/>
      <c r="J749" s="213"/>
      <c r="K749" s="215"/>
      <c r="L749" s="216"/>
      <c r="M749" s="217"/>
      <c r="O749" s="241" t="str">
        <f>IF(Q749 = "", "", COUNT(Q$4:$Q749))</f>
        <v/>
      </c>
      <c r="P749" s="241" t="str">
        <f t="shared" si="92"/>
        <v/>
      </c>
      <c r="Q749" s="242" t="str">
        <f t="shared" si="93"/>
        <v/>
      </c>
      <c r="R749" s="243" t="str">
        <f t="shared" si="96"/>
        <v/>
      </c>
      <c r="S749" s="244" t="str">
        <f t="shared" si="94"/>
        <v/>
      </c>
      <c r="T749" s="245" t="str">
        <f t="shared" si="97"/>
        <v/>
      </c>
      <c r="U749" s="246" t="str">
        <f t="shared" si="95"/>
        <v/>
      </c>
      <c r="V749" s="8"/>
      <c r="AR749" t="str">
        <f t="shared" si="99"/>
        <v/>
      </c>
      <c r="AS749" t="str">
        <f t="shared" si="98"/>
        <v/>
      </c>
    </row>
    <row r="750" spans="1:45" x14ac:dyDescent="0.3">
      <c r="A750" s="231"/>
      <c r="B750" s="235"/>
      <c r="C750" s="214"/>
      <c r="D750" s="214"/>
      <c r="E750" s="214"/>
      <c r="F750" s="214"/>
      <c r="G750" s="222"/>
      <c r="H750" s="221"/>
      <c r="I750" s="213"/>
      <c r="J750" s="213"/>
      <c r="K750" s="215"/>
      <c r="L750" s="216"/>
      <c r="M750" s="217"/>
      <c r="O750" s="241" t="str">
        <f>IF(Q750 = "", "", COUNT(Q$4:$Q750))</f>
        <v/>
      </c>
      <c r="P750" s="241" t="str">
        <f t="shared" si="92"/>
        <v/>
      </c>
      <c r="Q750" s="242" t="str">
        <f t="shared" si="93"/>
        <v/>
      </c>
      <c r="R750" s="243" t="str">
        <f t="shared" si="96"/>
        <v/>
      </c>
      <c r="S750" s="244" t="str">
        <f t="shared" si="94"/>
        <v/>
      </c>
      <c r="T750" s="245" t="str">
        <f t="shared" si="97"/>
        <v/>
      </c>
      <c r="U750" s="246" t="str">
        <f t="shared" si="95"/>
        <v/>
      </c>
      <c r="V750" s="8"/>
      <c r="AR750" t="str">
        <f t="shared" si="99"/>
        <v/>
      </c>
      <c r="AS750" t="str">
        <f t="shared" si="98"/>
        <v/>
      </c>
    </row>
    <row r="751" spans="1:45" x14ac:dyDescent="0.3">
      <c r="A751" s="231"/>
      <c r="B751" s="235"/>
      <c r="C751" s="214"/>
      <c r="D751" s="214"/>
      <c r="E751" s="214"/>
      <c r="F751" s="214"/>
      <c r="G751" s="222"/>
      <c r="H751" s="221"/>
      <c r="I751" s="213"/>
      <c r="J751" s="213"/>
      <c r="K751" s="215"/>
      <c r="L751" s="216"/>
      <c r="M751" s="217"/>
      <c r="O751" s="241" t="str">
        <f>IF(Q751 = "", "", COUNT(Q$4:$Q751))</f>
        <v/>
      </c>
      <c r="P751" s="241" t="str">
        <f t="shared" si="92"/>
        <v/>
      </c>
      <c r="Q751" s="242" t="str">
        <f t="shared" si="93"/>
        <v/>
      </c>
      <c r="R751" s="243" t="str">
        <f t="shared" si="96"/>
        <v/>
      </c>
      <c r="S751" s="244" t="str">
        <f t="shared" si="94"/>
        <v/>
      </c>
      <c r="T751" s="245" t="str">
        <f t="shared" si="97"/>
        <v/>
      </c>
      <c r="U751" s="246" t="str">
        <f t="shared" si="95"/>
        <v/>
      </c>
      <c r="V751" s="8"/>
      <c r="AR751" t="str">
        <f t="shared" si="99"/>
        <v/>
      </c>
      <c r="AS751" t="str">
        <f t="shared" si="98"/>
        <v/>
      </c>
    </row>
    <row r="752" spans="1:45" x14ac:dyDescent="0.3">
      <c r="A752" s="231"/>
      <c r="B752" s="235"/>
      <c r="C752" s="214"/>
      <c r="D752" s="214"/>
      <c r="E752" s="214"/>
      <c r="F752" s="214"/>
      <c r="G752" s="222"/>
      <c r="H752" s="221"/>
      <c r="I752" s="213"/>
      <c r="J752" s="213"/>
      <c r="K752" s="215"/>
      <c r="L752" s="216"/>
      <c r="M752" s="217"/>
      <c r="O752" s="241" t="str">
        <f>IF(Q752 = "", "", COUNT(Q$4:$Q752))</f>
        <v/>
      </c>
      <c r="P752" s="241" t="str">
        <f t="shared" si="92"/>
        <v/>
      </c>
      <c r="Q752" s="242" t="str">
        <f t="shared" si="93"/>
        <v/>
      </c>
      <c r="R752" s="243" t="str">
        <f t="shared" si="96"/>
        <v/>
      </c>
      <c r="S752" s="244" t="str">
        <f t="shared" si="94"/>
        <v/>
      </c>
      <c r="T752" s="245" t="str">
        <f t="shared" si="97"/>
        <v/>
      </c>
      <c r="U752" s="246" t="str">
        <f t="shared" si="95"/>
        <v/>
      </c>
      <c r="V752" s="8"/>
      <c r="AR752" t="str">
        <f t="shared" si="99"/>
        <v/>
      </c>
      <c r="AS752" t="str">
        <f t="shared" si="98"/>
        <v/>
      </c>
    </row>
    <row r="753" spans="1:45" x14ac:dyDescent="0.3">
      <c r="A753" s="231"/>
      <c r="B753" s="235"/>
      <c r="C753" s="214"/>
      <c r="D753" s="214"/>
      <c r="E753" s="214"/>
      <c r="F753" s="214"/>
      <c r="G753" s="222"/>
      <c r="H753" s="221"/>
      <c r="I753" s="213"/>
      <c r="J753" s="213"/>
      <c r="K753" s="215"/>
      <c r="L753" s="216"/>
      <c r="M753" s="217"/>
      <c r="O753" s="241" t="str">
        <f>IF(Q753 = "", "", COUNT(Q$4:$Q753))</f>
        <v/>
      </c>
      <c r="P753" s="241" t="str">
        <f t="shared" si="92"/>
        <v/>
      </c>
      <c r="Q753" s="242" t="str">
        <f t="shared" si="93"/>
        <v/>
      </c>
      <c r="R753" s="243" t="str">
        <f t="shared" si="96"/>
        <v/>
      </c>
      <c r="S753" s="244" t="str">
        <f t="shared" si="94"/>
        <v/>
      </c>
      <c r="T753" s="245" t="str">
        <f t="shared" si="97"/>
        <v/>
      </c>
      <c r="U753" s="246" t="str">
        <f t="shared" si="95"/>
        <v/>
      </c>
      <c r="V753" s="8"/>
      <c r="AR753" t="str">
        <f t="shared" si="99"/>
        <v/>
      </c>
      <c r="AS753" t="str">
        <f t="shared" si="98"/>
        <v/>
      </c>
    </row>
    <row r="754" spans="1:45" x14ac:dyDescent="0.3">
      <c r="A754" s="231"/>
      <c r="B754" s="235"/>
      <c r="C754" s="214"/>
      <c r="D754" s="214"/>
      <c r="E754" s="214"/>
      <c r="F754" s="214"/>
      <c r="G754" s="222"/>
      <c r="H754" s="221"/>
      <c r="I754" s="213"/>
      <c r="J754" s="213"/>
      <c r="K754" s="215"/>
      <c r="L754" s="216"/>
      <c r="M754" s="217"/>
      <c r="O754" s="241" t="str">
        <f>IF(Q754 = "", "", COUNT(Q$4:$Q754))</f>
        <v/>
      </c>
      <c r="P754" s="241" t="str">
        <f t="shared" si="92"/>
        <v/>
      </c>
      <c r="Q754" s="242" t="str">
        <f t="shared" si="93"/>
        <v/>
      </c>
      <c r="R754" s="243" t="str">
        <f t="shared" si="96"/>
        <v/>
      </c>
      <c r="S754" s="244" t="str">
        <f t="shared" si="94"/>
        <v/>
      </c>
      <c r="T754" s="245" t="str">
        <f t="shared" si="97"/>
        <v/>
      </c>
      <c r="U754" s="246" t="str">
        <f t="shared" si="95"/>
        <v/>
      </c>
      <c r="V754" s="8"/>
      <c r="AR754" t="str">
        <f t="shared" si="99"/>
        <v/>
      </c>
      <c r="AS754" t="str">
        <f t="shared" si="98"/>
        <v/>
      </c>
    </row>
    <row r="755" spans="1:45" x14ac:dyDescent="0.3">
      <c r="A755" s="231"/>
      <c r="B755" s="235"/>
      <c r="C755" s="214"/>
      <c r="D755" s="214"/>
      <c r="E755" s="214"/>
      <c r="F755" s="214"/>
      <c r="G755" s="222"/>
      <c r="H755" s="221"/>
      <c r="I755" s="213"/>
      <c r="J755" s="213"/>
      <c r="K755" s="215"/>
      <c r="L755" s="216"/>
      <c r="M755" s="217"/>
      <c r="O755" s="241" t="str">
        <f>IF(Q755 = "", "", COUNT(Q$4:$Q755))</f>
        <v/>
      </c>
      <c r="P755" s="241" t="str">
        <f t="shared" si="92"/>
        <v/>
      </c>
      <c r="Q755" s="242" t="str">
        <f t="shared" si="93"/>
        <v/>
      </c>
      <c r="R755" s="243" t="str">
        <f t="shared" si="96"/>
        <v/>
      </c>
      <c r="S755" s="244" t="str">
        <f t="shared" si="94"/>
        <v/>
      </c>
      <c r="T755" s="245" t="str">
        <f t="shared" si="97"/>
        <v/>
      </c>
      <c r="U755" s="246" t="str">
        <f t="shared" si="95"/>
        <v/>
      </c>
      <c r="V755" s="8"/>
      <c r="AR755" t="str">
        <f t="shared" si="99"/>
        <v/>
      </c>
      <c r="AS755" t="str">
        <f t="shared" si="98"/>
        <v/>
      </c>
    </row>
    <row r="756" spans="1:45" x14ac:dyDescent="0.3">
      <c r="A756" s="231"/>
      <c r="B756" s="235"/>
      <c r="C756" s="214"/>
      <c r="D756" s="214"/>
      <c r="E756" s="214"/>
      <c r="F756" s="214"/>
      <c r="G756" s="222"/>
      <c r="H756" s="221"/>
      <c r="I756" s="213"/>
      <c r="J756" s="213"/>
      <c r="K756" s="215"/>
      <c r="L756" s="216"/>
      <c r="M756" s="217"/>
      <c r="O756" s="241" t="str">
        <f>IF(Q756 = "", "", COUNT(Q$4:$Q756))</f>
        <v/>
      </c>
      <c r="P756" s="241" t="str">
        <f t="shared" si="92"/>
        <v/>
      </c>
      <c r="Q756" s="242" t="str">
        <f t="shared" si="93"/>
        <v/>
      </c>
      <c r="R756" s="243" t="str">
        <f t="shared" si="96"/>
        <v/>
      </c>
      <c r="S756" s="244" t="str">
        <f t="shared" si="94"/>
        <v/>
      </c>
      <c r="T756" s="245" t="str">
        <f t="shared" si="97"/>
        <v/>
      </c>
      <c r="U756" s="246" t="str">
        <f t="shared" si="95"/>
        <v/>
      </c>
      <c r="V756" s="8"/>
      <c r="AR756" t="str">
        <f t="shared" si="99"/>
        <v/>
      </c>
      <c r="AS756" t="str">
        <f t="shared" si="98"/>
        <v/>
      </c>
    </row>
    <row r="757" spans="1:45" x14ac:dyDescent="0.3">
      <c r="A757" s="231"/>
      <c r="B757" s="235"/>
      <c r="C757" s="214"/>
      <c r="D757" s="214"/>
      <c r="E757" s="214"/>
      <c r="F757" s="214"/>
      <c r="G757" s="222"/>
      <c r="H757" s="221"/>
      <c r="I757" s="213"/>
      <c r="J757" s="213"/>
      <c r="K757" s="215"/>
      <c r="L757" s="216"/>
      <c r="M757" s="217"/>
      <c r="O757" s="241" t="str">
        <f>IF(Q757 = "", "", COUNT(Q$4:$Q757))</f>
        <v/>
      </c>
      <c r="P757" s="241" t="str">
        <f t="shared" si="92"/>
        <v/>
      </c>
      <c r="Q757" s="242" t="str">
        <f t="shared" si="93"/>
        <v/>
      </c>
      <c r="R757" s="243" t="str">
        <f t="shared" si="96"/>
        <v/>
      </c>
      <c r="S757" s="244" t="str">
        <f t="shared" si="94"/>
        <v/>
      </c>
      <c r="T757" s="245" t="str">
        <f t="shared" si="97"/>
        <v/>
      </c>
      <c r="U757" s="246" t="str">
        <f t="shared" si="95"/>
        <v/>
      </c>
      <c r="V757" s="8"/>
      <c r="AR757" t="str">
        <f t="shared" si="99"/>
        <v/>
      </c>
      <c r="AS757" t="str">
        <f t="shared" si="98"/>
        <v/>
      </c>
    </row>
    <row r="758" spans="1:45" x14ac:dyDescent="0.3">
      <c r="A758" s="231"/>
      <c r="B758" s="235"/>
      <c r="C758" s="214"/>
      <c r="D758" s="214"/>
      <c r="E758" s="214"/>
      <c r="F758" s="214"/>
      <c r="G758" s="222"/>
      <c r="H758" s="221"/>
      <c r="I758" s="213"/>
      <c r="J758" s="213"/>
      <c r="K758" s="215"/>
      <c r="L758" s="216"/>
      <c r="M758" s="217"/>
      <c r="O758" s="241" t="str">
        <f>IF(Q758 = "", "", COUNT(Q$4:$Q758))</f>
        <v/>
      </c>
      <c r="P758" s="241" t="str">
        <f t="shared" si="92"/>
        <v/>
      </c>
      <c r="Q758" s="242" t="str">
        <f t="shared" si="93"/>
        <v/>
      </c>
      <c r="R758" s="243" t="str">
        <f t="shared" si="96"/>
        <v/>
      </c>
      <c r="S758" s="244" t="str">
        <f t="shared" si="94"/>
        <v/>
      </c>
      <c r="T758" s="245" t="str">
        <f t="shared" si="97"/>
        <v/>
      </c>
      <c r="U758" s="246" t="str">
        <f t="shared" si="95"/>
        <v/>
      </c>
      <c r="V758" s="8"/>
      <c r="AR758" t="str">
        <f t="shared" si="99"/>
        <v/>
      </c>
      <c r="AS758" t="str">
        <f t="shared" si="98"/>
        <v/>
      </c>
    </row>
    <row r="759" spans="1:45" x14ac:dyDescent="0.3">
      <c r="A759" s="231"/>
      <c r="B759" s="235"/>
      <c r="C759" s="214"/>
      <c r="D759" s="214"/>
      <c r="E759" s="214"/>
      <c r="F759" s="214"/>
      <c r="G759" s="222"/>
      <c r="H759" s="221"/>
      <c r="I759" s="213"/>
      <c r="J759" s="213"/>
      <c r="K759" s="215"/>
      <c r="L759" s="216"/>
      <c r="M759" s="217"/>
      <c r="O759" s="241" t="str">
        <f>IF(Q759 = "", "", COUNT(Q$4:$Q759))</f>
        <v/>
      </c>
      <c r="P759" s="241" t="str">
        <f t="shared" si="92"/>
        <v/>
      </c>
      <c r="Q759" s="242" t="str">
        <f t="shared" si="93"/>
        <v/>
      </c>
      <c r="R759" s="243" t="str">
        <f t="shared" si="96"/>
        <v/>
      </c>
      <c r="S759" s="244" t="str">
        <f t="shared" si="94"/>
        <v/>
      </c>
      <c r="T759" s="245" t="str">
        <f t="shared" si="97"/>
        <v/>
      </c>
      <c r="U759" s="246" t="str">
        <f t="shared" si="95"/>
        <v/>
      </c>
      <c r="V759" s="8"/>
      <c r="AR759" t="str">
        <f t="shared" si="99"/>
        <v/>
      </c>
      <c r="AS759" t="str">
        <f t="shared" si="98"/>
        <v/>
      </c>
    </row>
    <row r="760" spans="1:45" x14ac:dyDescent="0.3">
      <c r="A760" s="231"/>
      <c r="B760" s="235"/>
      <c r="C760" s="214"/>
      <c r="D760" s="214"/>
      <c r="E760" s="214"/>
      <c r="F760" s="214"/>
      <c r="G760" s="222"/>
      <c r="H760" s="221"/>
      <c r="I760" s="213"/>
      <c r="J760" s="213"/>
      <c r="K760" s="215"/>
      <c r="L760" s="216"/>
      <c r="M760" s="217"/>
      <c r="O760" s="241" t="str">
        <f>IF(Q760 = "", "", COUNT(Q$4:$Q760))</f>
        <v/>
      </c>
      <c r="P760" s="241" t="str">
        <f t="shared" si="92"/>
        <v/>
      </c>
      <c r="Q760" s="242" t="str">
        <f t="shared" si="93"/>
        <v/>
      </c>
      <c r="R760" s="243" t="str">
        <f t="shared" si="96"/>
        <v/>
      </c>
      <c r="S760" s="244" t="str">
        <f t="shared" si="94"/>
        <v/>
      </c>
      <c r="T760" s="245" t="str">
        <f t="shared" si="97"/>
        <v/>
      </c>
      <c r="U760" s="246" t="str">
        <f t="shared" si="95"/>
        <v/>
      </c>
      <c r="V760" s="8"/>
      <c r="AR760" t="str">
        <f t="shared" si="99"/>
        <v/>
      </c>
      <c r="AS760" t="str">
        <f t="shared" si="98"/>
        <v/>
      </c>
    </row>
    <row r="761" spans="1:45" x14ac:dyDescent="0.3">
      <c r="A761" s="231"/>
      <c r="B761" s="235"/>
      <c r="C761" s="214"/>
      <c r="D761" s="214"/>
      <c r="E761" s="214"/>
      <c r="F761" s="214"/>
      <c r="G761" s="222"/>
      <c r="H761" s="221"/>
      <c r="I761" s="213"/>
      <c r="J761" s="213"/>
      <c r="K761" s="215"/>
      <c r="L761" s="216"/>
      <c r="M761" s="217"/>
      <c r="O761" s="241" t="str">
        <f>IF(Q761 = "", "", COUNT(Q$4:$Q761))</f>
        <v/>
      </c>
      <c r="P761" s="241" t="str">
        <f t="shared" si="92"/>
        <v/>
      </c>
      <c r="Q761" s="242" t="str">
        <f t="shared" si="93"/>
        <v/>
      </c>
      <c r="R761" s="243" t="str">
        <f t="shared" si="96"/>
        <v/>
      </c>
      <c r="S761" s="244" t="str">
        <f t="shared" si="94"/>
        <v/>
      </c>
      <c r="T761" s="245" t="str">
        <f t="shared" si="97"/>
        <v/>
      </c>
      <c r="U761" s="246" t="str">
        <f t="shared" si="95"/>
        <v/>
      </c>
      <c r="V761" s="8"/>
      <c r="AR761" t="str">
        <f t="shared" si="99"/>
        <v/>
      </c>
      <c r="AS761" t="str">
        <f t="shared" si="98"/>
        <v/>
      </c>
    </row>
    <row r="762" spans="1:45" x14ac:dyDescent="0.3">
      <c r="A762" s="231"/>
      <c r="B762" s="235"/>
      <c r="C762" s="214"/>
      <c r="D762" s="214"/>
      <c r="E762" s="214"/>
      <c r="F762" s="214"/>
      <c r="G762" s="222"/>
      <c r="H762" s="221"/>
      <c r="I762" s="213"/>
      <c r="J762" s="213"/>
      <c r="K762" s="215"/>
      <c r="L762" s="216"/>
      <c r="M762" s="217"/>
      <c r="O762" s="241" t="str">
        <f>IF(Q762 = "", "", COUNT(Q$4:$Q762))</f>
        <v/>
      </c>
      <c r="P762" s="241" t="str">
        <f t="shared" si="92"/>
        <v/>
      </c>
      <c r="Q762" s="242" t="str">
        <f t="shared" si="93"/>
        <v/>
      </c>
      <c r="R762" s="243" t="str">
        <f t="shared" si="96"/>
        <v/>
      </c>
      <c r="S762" s="244" t="str">
        <f t="shared" si="94"/>
        <v/>
      </c>
      <c r="T762" s="245" t="str">
        <f t="shared" si="97"/>
        <v/>
      </c>
      <c r="U762" s="246" t="str">
        <f t="shared" si="95"/>
        <v/>
      </c>
      <c r="V762" s="8"/>
      <c r="AR762" t="str">
        <f t="shared" si="99"/>
        <v/>
      </c>
      <c r="AS762" t="str">
        <f t="shared" si="98"/>
        <v/>
      </c>
    </row>
    <row r="763" spans="1:45" x14ac:dyDescent="0.3">
      <c r="A763" s="231"/>
      <c r="B763" s="235"/>
      <c r="C763" s="214"/>
      <c r="D763" s="214"/>
      <c r="E763" s="214"/>
      <c r="F763" s="214"/>
      <c r="G763" s="222"/>
      <c r="H763" s="221"/>
      <c r="I763" s="213"/>
      <c r="J763" s="213"/>
      <c r="K763" s="215"/>
      <c r="L763" s="216"/>
      <c r="M763" s="217"/>
      <c r="O763" s="241" t="str">
        <f>IF(Q763 = "", "", COUNT(Q$4:$Q763))</f>
        <v/>
      </c>
      <c r="P763" s="241" t="str">
        <f t="shared" si="92"/>
        <v/>
      </c>
      <c r="Q763" s="242" t="str">
        <f t="shared" si="93"/>
        <v/>
      </c>
      <c r="R763" s="243" t="str">
        <f t="shared" si="96"/>
        <v/>
      </c>
      <c r="S763" s="244" t="str">
        <f t="shared" si="94"/>
        <v/>
      </c>
      <c r="T763" s="245" t="str">
        <f t="shared" si="97"/>
        <v/>
      </c>
      <c r="U763" s="246" t="str">
        <f t="shared" si="95"/>
        <v/>
      </c>
      <c r="V763" s="8"/>
      <c r="AR763" t="str">
        <f t="shared" si="99"/>
        <v/>
      </c>
      <c r="AS763" t="str">
        <f t="shared" si="98"/>
        <v/>
      </c>
    </row>
    <row r="764" spans="1:45" x14ac:dyDescent="0.3">
      <c r="A764" s="231"/>
      <c r="B764" s="235"/>
      <c r="C764" s="214"/>
      <c r="D764" s="214"/>
      <c r="E764" s="214"/>
      <c r="F764" s="214"/>
      <c r="G764" s="222"/>
      <c r="H764" s="221"/>
      <c r="I764" s="213"/>
      <c r="J764" s="213"/>
      <c r="K764" s="215"/>
      <c r="L764" s="216"/>
      <c r="M764" s="217"/>
      <c r="O764" s="241" t="str">
        <f>IF(Q764 = "", "", COUNT(Q$4:$Q764))</f>
        <v/>
      </c>
      <c r="P764" s="241" t="str">
        <f t="shared" si="92"/>
        <v/>
      </c>
      <c r="Q764" s="242" t="str">
        <f t="shared" si="93"/>
        <v/>
      </c>
      <c r="R764" s="243" t="str">
        <f t="shared" si="96"/>
        <v/>
      </c>
      <c r="S764" s="244" t="str">
        <f t="shared" si="94"/>
        <v/>
      </c>
      <c r="T764" s="245" t="str">
        <f t="shared" si="97"/>
        <v/>
      </c>
      <c r="U764" s="246" t="str">
        <f t="shared" si="95"/>
        <v/>
      </c>
      <c r="V764" s="8"/>
      <c r="AR764" t="str">
        <f t="shared" si="99"/>
        <v/>
      </c>
      <c r="AS764" t="str">
        <f t="shared" si="98"/>
        <v/>
      </c>
    </row>
    <row r="765" spans="1:45" x14ac:dyDescent="0.3">
      <c r="A765" s="231"/>
      <c r="B765" s="235"/>
      <c r="C765" s="214"/>
      <c r="D765" s="214"/>
      <c r="E765" s="214"/>
      <c r="F765" s="214"/>
      <c r="G765" s="222"/>
      <c r="H765" s="221"/>
      <c r="I765" s="213"/>
      <c r="J765" s="213"/>
      <c r="K765" s="215"/>
      <c r="L765" s="216"/>
      <c r="M765" s="217"/>
      <c r="O765" s="241" t="str">
        <f>IF(Q765 = "", "", COUNT(Q$4:$Q765))</f>
        <v/>
      </c>
      <c r="P765" s="241" t="str">
        <f t="shared" si="92"/>
        <v/>
      </c>
      <c r="Q765" s="242" t="str">
        <f t="shared" si="93"/>
        <v/>
      </c>
      <c r="R765" s="243" t="str">
        <f t="shared" si="96"/>
        <v/>
      </c>
      <c r="S765" s="244" t="str">
        <f t="shared" si="94"/>
        <v/>
      </c>
      <c r="T765" s="245" t="str">
        <f t="shared" si="97"/>
        <v/>
      </c>
      <c r="U765" s="246" t="str">
        <f t="shared" si="95"/>
        <v/>
      </c>
      <c r="V765" s="8"/>
      <c r="AR765" t="str">
        <f t="shared" si="99"/>
        <v/>
      </c>
      <c r="AS765" t="str">
        <f t="shared" si="98"/>
        <v/>
      </c>
    </row>
    <row r="766" spans="1:45" x14ac:dyDescent="0.3">
      <c r="A766" s="231"/>
      <c r="B766" s="235"/>
      <c r="C766" s="214"/>
      <c r="D766" s="214"/>
      <c r="E766" s="214"/>
      <c r="F766" s="214"/>
      <c r="G766" s="222"/>
      <c r="H766" s="221"/>
      <c r="I766" s="213"/>
      <c r="J766" s="213"/>
      <c r="K766" s="215"/>
      <c r="L766" s="216"/>
      <c r="M766" s="217"/>
      <c r="O766" s="241" t="str">
        <f>IF(Q766 = "", "", COUNT(Q$4:$Q766))</f>
        <v/>
      </c>
      <c r="P766" s="241" t="str">
        <f t="shared" si="92"/>
        <v/>
      </c>
      <c r="Q766" s="242" t="str">
        <f t="shared" si="93"/>
        <v/>
      </c>
      <c r="R766" s="243" t="str">
        <f t="shared" si="96"/>
        <v/>
      </c>
      <c r="S766" s="244" t="str">
        <f t="shared" si="94"/>
        <v/>
      </c>
      <c r="T766" s="245" t="str">
        <f t="shared" si="97"/>
        <v/>
      </c>
      <c r="U766" s="246" t="str">
        <f t="shared" si="95"/>
        <v/>
      </c>
      <c r="V766" s="8"/>
      <c r="AR766" t="str">
        <f t="shared" si="99"/>
        <v/>
      </c>
      <c r="AS766" t="str">
        <f t="shared" si="98"/>
        <v/>
      </c>
    </row>
    <row r="767" spans="1:45" x14ac:dyDescent="0.3">
      <c r="A767" s="231"/>
      <c r="B767" s="235"/>
      <c r="C767" s="214"/>
      <c r="D767" s="214"/>
      <c r="E767" s="214"/>
      <c r="F767" s="214"/>
      <c r="G767" s="222"/>
      <c r="H767" s="221"/>
      <c r="I767" s="213"/>
      <c r="J767" s="213"/>
      <c r="K767" s="215"/>
      <c r="L767" s="216"/>
      <c r="M767" s="217"/>
      <c r="O767" s="241" t="str">
        <f>IF(Q767 = "", "", COUNT(Q$4:$Q767))</f>
        <v/>
      </c>
      <c r="P767" s="241" t="str">
        <f t="shared" si="92"/>
        <v/>
      </c>
      <c r="Q767" s="242" t="str">
        <f t="shared" si="93"/>
        <v/>
      </c>
      <c r="R767" s="243" t="str">
        <f t="shared" si="96"/>
        <v/>
      </c>
      <c r="S767" s="244" t="str">
        <f t="shared" si="94"/>
        <v/>
      </c>
      <c r="T767" s="245" t="str">
        <f t="shared" si="97"/>
        <v/>
      </c>
      <c r="U767" s="246" t="str">
        <f t="shared" si="95"/>
        <v/>
      </c>
      <c r="V767" s="8"/>
      <c r="AR767" t="str">
        <f t="shared" si="99"/>
        <v/>
      </c>
      <c r="AS767" t="str">
        <f t="shared" si="98"/>
        <v/>
      </c>
    </row>
    <row r="768" spans="1:45" x14ac:dyDescent="0.3">
      <c r="A768" s="231"/>
      <c r="B768" s="235"/>
      <c r="C768" s="214"/>
      <c r="D768" s="214"/>
      <c r="E768" s="214"/>
      <c r="F768" s="214"/>
      <c r="G768" s="222"/>
      <c r="H768" s="221"/>
      <c r="I768" s="213"/>
      <c r="J768" s="213"/>
      <c r="K768" s="215"/>
      <c r="L768" s="216"/>
      <c r="M768" s="217"/>
      <c r="O768" s="241" t="str">
        <f>IF(Q768 = "", "", COUNT(Q$4:$Q768))</f>
        <v/>
      </c>
      <c r="P768" s="241" t="str">
        <f t="shared" si="92"/>
        <v/>
      </c>
      <c r="Q768" s="242" t="str">
        <f t="shared" si="93"/>
        <v/>
      </c>
      <c r="R768" s="243" t="str">
        <f t="shared" si="96"/>
        <v/>
      </c>
      <c r="S768" s="244" t="str">
        <f t="shared" si="94"/>
        <v/>
      </c>
      <c r="T768" s="245" t="str">
        <f t="shared" si="97"/>
        <v/>
      </c>
      <c r="U768" s="246" t="str">
        <f t="shared" si="95"/>
        <v/>
      </c>
      <c r="V768" s="8"/>
      <c r="AR768" t="str">
        <f t="shared" si="99"/>
        <v/>
      </c>
      <c r="AS768" t="str">
        <f t="shared" si="98"/>
        <v/>
      </c>
    </row>
    <row r="769" spans="1:45" x14ac:dyDescent="0.3">
      <c r="A769" s="231"/>
      <c r="B769" s="235"/>
      <c r="C769" s="214"/>
      <c r="D769" s="214"/>
      <c r="E769" s="214"/>
      <c r="F769" s="214"/>
      <c r="G769" s="222"/>
      <c r="H769" s="221"/>
      <c r="I769" s="213"/>
      <c r="J769" s="213"/>
      <c r="K769" s="215"/>
      <c r="L769" s="216"/>
      <c r="M769" s="217"/>
      <c r="O769" s="241" t="str">
        <f>IF(Q769 = "", "", COUNT(Q$4:$Q769))</f>
        <v/>
      </c>
      <c r="P769" s="241" t="str">
        <f t="shared" si="92"/>
        <v/>
      </c>
      <c r="Q769" s="242" t="str">
        <f t="shared" si="93"/>
        <v/>
      </c>
      <c r="R769" s="243" t="str">
        <f t="shared" si="96"/>
        <v/>
      </c>
      <c r="S769" s="244" t="str">
        <f t="shared" si="94"/>
        <v/>
      </c>
      <c r="T769" s="245" t="str">
        <f t="shared" si="97"/>
        <v/>
      </c>
      <c r="U769" s="246" t="str">
        <f t="shared" si="95"/>
        <v/>
      </c>
      <c r="V769" s="8"/>
      <c r="AR769" t="str">
        <f t="shared" si="99"/>
        <v/>
      </c>
      <c r="AS769" t="str">
        <f t="shared" si="98"/>
        <v/>
      </c>
    </row>
    <row r="770" spans="1:45" x14ac:dyDescent="0.3">
      <c r="A770" s="231"/>
      <c r="B770" s="235"/>
      <c r="C770" s="214"/>
      <c r="D770" s="214"/>
      <c r="E770" s="214"/>
      <c r="F770" s="214"/>
      <c r="G770" s="222"/>
      <c r="H770" s="221"/>
      <c r="I770" s="213"/>
      <c r="J770" s="213"/>
      <c r="K770" s="215"/>
      <c r="L770" s="216"/>
      <c r="M770" s="217"/>
      <c r="O770" s="241" t="str">
        <f>IF(Q770 = "", "", COUNT(Q$4:$Q770))</f>
        <v/>
      </c>
      <c r="P770" s="241" t="str">
        <f t="shared" si="92"/>
        <v/>
      </c>
      <c r="Q770" s="242" t="str">
        <f t="shared" si="93"/>
        <v/>
      </c>
      <c r="R770" s="243" t="str">
        <f t="shared" si="96"/>
        <v/>
      </c>
      <c r="S770" s="244" t="str">
        <f t="shared" si="94"/>
        <v/>
      </c>
      <c r="T770" s="245" t="str">
        <f t="shared" si="97"/>
        <v/>
      </c>
      <c r="U770" s="246" t="str">
        <f t="shared" si="95"/>
        <v/>
      </c>
      <c r="V770" s="8"/>
      <c r="AR770" t="str">
        <f t="shared" si="99"/>
        <v/>
      </c>
      <c r="AS770" t="str">
        <f t="shared" si="98"/>
        <v/>
      </c>
    </row>
    <row r="771" spans="1:45" x14ac:dyDescent="0.3">
      <c r="A771" s="231"/>
      <c r="B771" s="235"/>
      <c r="C771" s="214"/>
      <c r="D771" s="214"/>
      <c r="E771" s="214"/>
      <c r="F771" s="214"/>
      <c r="G771" s="222"/>
      <c r="H771" s="221"/>
      <c r="I771" s="213"/>
      <c r="J771" s="213"/>
      <c r="K771" s="215"/>
      <c r="L771" s="216"/>
      <c r="M771" s="217"/>
      <c r="O771" s="241" t="str">
        <f>IF(Q771 = "", "", COUNT(Q$4:$Q771))</f>
        <v/>
      </c>
      <c r="P771" s="241" t="str">
        <f t="shared" si="92"/>
        <v/>
      </c>
      <c r="Q771" s="242" t="str">
        <f t="shared" si="93"/>
        <v/>
      </c>
      <c r="R771" s="243" t="str">
        <f t="shared" si="96"/>
        <v/>
      </c>
      <c r="S771" s="244" t="str">
        <f t="shared" si="94"/>
        <v/>
      </c>
      <c r="T771" s="245" t="str">
        <f t="shared" si="97"/>
        <v/>
      </c>
      <c r="U771" s="246" t="str">
        <f t="shared" si="95"/>
        <v/>
      </c>
      <c r="V771" s="8"/>
      <c r="AR771" t="str">
        <f t="shared" si="99"/>
        <v/>
      </c>
      <c r="AS771" t="str">
        <f t="shared" si="98"/>
        <v/>
      </c>
    </row>
    <row r="772" spans="1:45" x14ac:dyDescent="0.3">
      <c r="A772" s="231"/>
      <c r="B772" s="235"/>
      <c r="C772" s="214"/>
      <c r="D772" s="214"/>
      <c r="E772" s="214"/>
      <c r="F772" s="214"/>
      <c r="G772" s="222"/>
      <c r="H772" s="221"/>
      <c r="I772" s="213"/>
      <c r="J772" s="213"/>
      <c r="K772" s="215"/>
      <c r="L772" s="216"/>
      <c r="M772" s="217"/>
      <c r="O772" s="241" t="str">
        <f>IF(Q772 = "", "", COUNT(Q$4:$Q772))</f>
        <v/>
      </c>
      <c r="P772" s="241" t="str">
        <f t="shared" ref="P772:P835" si="100">IF(C772 &gt; 0, YEAR(B772), "")</f>
        <v/>
      </c>
      <c r="Q772" s="242" t="str">
        <f t="shared" ref="Q772:Q835" si="101">IF(A772="", "", IF(G772="",1,IF(G772="O",1,IF(G772="C",8.4,IF(G772="B",8.4,IF(G772="A",76.8,IF(G772="K",76.8,"ERR")))))))</f>
        <v/>
      </c>
      <c r="R772" s="243" t="str">
        <f t="shared" si="96"/>
        <v/>
      </c>
      <c r="S772" s="244" t="str">
        <f t="shared" ref="S772:S835" si="102">IF(IF(L772&lt;&gt;"",G772,"")=0, "O", IF(L772&lt;&gt;"",G772,""))</f>
        <v/>
      </c>
      <c r="T772" s="245" t="str">
        <f t="shared" si="97"/>
        <v/>
      </c>
      <c r="U772" s="246" t="str">
        <f t="shared" ref="U772:U835" si="103">IF(IF(M772&lt;&gt;"",G772,"")=0, "O", IF(M772&lt;&gt;"",G772,""))</f>
        <v/>
      </c>
      <c r="V772" s="8"/>
      <c r="AR772" t="str">
        <f t="shared" si="99"/>
        <v/>
      </c>
      <c r="AS772" t="str">
        <f t="shared" si="98"/>
        <v/>
      </c>
    </row>
    <row r="773" spans="1:45" x14ac:dyDescent="0.3">
      <c r="A773" s="231"/>
      <c r="B773" s="235"/>
      <c r="C773" s="214"/>
      <c r="D773" s="214"/>
      <c r="E773" s="214"/>
      <c r="F773" s="214"/>
      <c r="G773" s="222"/>
      <c r="H773" s="221"/>
      <c r="I773" s="213"/>
      <c r="J773" s="213"/>
      <c r="K773" s="215"/>
      <c r="L773" s="216"/>
      <c r="M773" s="217"/>
      <c r="O773" s="241" t="str">
        <f>IF(Q773 = "", "", COUNT(Q$4:$Q773))</f>
        <v/>
      </c>
      <c r="P773" s="241" t="str">
        <f t="shared" si="100"/>
        <v/>
      </c>
      <c r="Q773" s="242" t="str">
        <f t="shared" si="101"/>
        <v/>
      </c>
      <c r="R773" s="243" t="str">
        <f t="shared" ref="R773:R836" si="104">IF(L773&lt;&gt;"",Q773,"")</f>
        <v/>
      </c>
      <c r="S773" s="244" t="str">
        <f t="shared" si="102"/>
        <v/>
      </c>
      <c r="T773" s="245" t="str">
        <f t="shared" ref="T773:T836" si="105">IF(M773&lt;&gt;"",Q773,"")</f>
        <v/>
      </c>
      <c r="U773" s="246" t="str">
        <f t="shared" si="103"/>
        <v/>
      </c>
      <c r="V773" s="8"/>
      <c r="AR773" t="str">
        <f t="shared" si="99"/>
        <v/>
      </c>
      <c r="AS773" t="str">
        <f t="shared" si="98"/>
        <v/>
      </c>
    </row>
    <row r="774" spans="1:45" x14ac:dyDescent="0.3">
      <c r="A774" s="231"/>
      <c r="B774" s="235"/>
      <c r="C774" s="214"/>
      <c r="D774" s="214"/>
      <c r="E774" s="214"/>
      <c r="F774" s="214"/>
      <c r="G774" s="222"/>
      <c r="H774" s="221"/>
      <c r="I774" s="213"/>
      <c r="J774" s="213"/>
      <c r="K774" s="215"/>
      <c r="L774" s="216"/>
      <c r="M774" s="217"/>
      <c r="O774" s="241" t="str">
        <f>IF(Q774 = "", "", COUNT(Q$4:$Q774))</f>
        <v/>
      </c>
      <c r="P774" s="241" t="str">
        <f t="shared" si="100"/>
        <v/>
      </c>
      <c r="Q774" s="242" t="str">
        <f t="shared" si="101"/>
        <v/>
      </c>
      <c r="R774" s="243" t="str">
        <f t="shared" si="104"/>
        <v/>
      </c>
      <c r="S774" s="244" t="str">
        <f t="shared" si="102"/>
        <v/>
      </c>
      <c r="T774" s="245" t="str">
        <f t="shared" si="105"/>
        <v/>
      </c>
      <c r="U774" s="246" t="str">
        <f t="shared" si="103"/>
        <v/>
      </c>
      <c r="V774" s="8"/>
      <c r="AR774" t="str">
        <f t="shared" si="99"/>
        <v/>
      </c>
      <c r="AS774" t="str">
        <f t="shared" si="98"/>
        <v/>
      </c>
    </row>
    <row r="775" spans="1:45" x14ac:dyDescent="0.3">
      <c r="A775" s="231"/>
      <c r="B775" s="235"/>
      <c r="C775" s="214"/>
      <c r="D775" s="214"/>
      <c r="E775" s="214"/>
      <c r="F775" s="214"/>
      <c r="G775" s="222"/>
      <c r="H775" s="221"/>
      <c r="I775" s="213"/>
      <c r="J775" s="213"/>
      <c r="K775" s="215"/>
      <c r="L775" s="216"/>
      <c r="M775" s="217"/>
      <c r="O775" s="241" t="str">
        <f>IF(Q775 = "", "", COUNT(Q$4:$Q775))</f>
        <v/>
      </c>
      <c r="P775" s="241" t="str">
        <f t="shared" si="100"/>
        <v/>
      </c>
      <c r="Q775" s="242" t="str">
        <f t="shared" si="101"/>
        <v/>
      </c>
      <c r="R775" s="243" t="str">
        <f t="shared" si="104"/>
        <v/>
      </c>
      <c r="S775" s="244" t="str">
        <f t="shared" si="102"/>
        <v/>
      </c>
      <c r="T775" s="245" t="str">
        <f t="shared" si="105"/>
        <v/>
      </c>
      <c r="U775" s="246" t="str">
        <f t="shared" si="103"/>
        <v/>
      </c>
      <c r="V775" s="8"/>
      <c r="AR775" t="str">
        <f t="shared" si="99"/>
        <v/>
      </c>
      <c r="AS775" t="str">
        <f t="shared" si="98"/>
        <v/>
      </c>
    </row>
    <row r="776" spans="1:45" x14ac:dyDescent="0.3">
      <c r="A776" s="231"/>
      <c r="B776" s="235"/>
      <c r="C776" s="214"/>
      <c r="D776" s="214"/>
      <c r="E776" s="214"/>
      <c r="F776" s="214"/>
      <c r="G776" s="222"/>
      <c r="H776" s="221"/>
      <c r="I776" s="213"/>
      <c r="J776" s="213"/>
      <c r="K776" s="215"/>
      <c r="L776" s="216"/>
      <c r="M776" s="217"/>
      <c r="O776" s="241" t="str">
        <f>IF(Q776 = "", "", COUNT(Q$4:$Q776))</f>
        <v/>
      </c>
      <c r="P776" s="241" t="str">
        <f t="shared" si="100"/>
        <v/>
      </c>
      <c r="Q776" s="242" t="str">
        <f t="shared" si="101"/>
        <v/>
      </c>
      <c r="R776" s="243" t="str">
        <f t="shared" si="104"/>
        <v/>
      </c>
      <c r="S776" s="244" t="str">
        <f t="shared" si="102"/>
        <v/>
      </c>
      <c r="T776" s="245" t="str">
        <f t="shared" si="105"/>
        <v/>
      </c>
      <c r="U776" s="246" t="str">
        <f t="shared" si="103"/>
        <v/>
      </c>
      <c r="V776" s="8"/>
      <c r="AR776" t="str">
        <f t="shared" si="99"/>
        <v/>
      </c>
      <c r="AS776" t="str">
        <f t="shared" si="98"/>
        <v/>
      </c>
    </row>
    <row r="777" spans="1:45" x14ac:dyDescent="0.3">
      <c r="A777" s="231"/>
      <c r="B777" s="235"/>
      <c r="C777" s="214"/>
      <c r="D777" s="214"/>
      <c r="E777" s="214"/>
      <c r="F777" s="214"/>
      <c r="G777" s="222"/>
      <c r="H777" s="221"/>
      <c r="I777" s="213"/>
      <c r="J777" s="213"/>
      <c r="K777" s="215"/>
      <c r="L777" s="216"/>
      <c r="M777" s="217"/>
      <c r="O777" s="241" t="str">
        <f>IF(Q777 = "", "", COUNT(Q$4:$Q777))</f>
        <v/>
      </c>
      <c r="P777" s="241" t="str">
        <f t="shared" si="100"/>
        <v/>
      </c>
      <c r="Q777" s="242" t="str">
        <f t="shared" si="101"/>
        <v/>
      </c>
      <c r="R777" s="243" t="str">
        <f t="shared" si="104"/>
        <v/>
      </c>
      <c r="S777" s="244" t="str">
        <f t="shared" si="102"/>
        <v/>
      </c>
      <c r="T777" s="245" t="str">
        <f t="shared" si="105"/>
        <v/>
      </c>
      <c r="U777" s="246" t="str">
        <f t="shared" si="103"/>
        <v/>
      </c>
      <c r="V777" s="8"/>
      <c r="AR777" t="str">
        <f t="shared" si="99"/>
        <v/>
      </c>
      <c r="AS777" t="str">
        <f t="shared" si="98"/>
        <v/>
      </c>
    </row>
    <row r="778" spans="1:45" x14ac:dyDescent="0.3">
      <c r="A778" s="231"/>
      <c r="B778" s="235"/>
      <c r="C778" s="214"/>
      <c r="D778" s="214"/>
      <c r="E778" s="214"/>
      <c r="F778" s="214"/>
      <c r="G778" s="222"/>
      <c r="H778" s="221"/>
      <c r="I778" s="213"/>
      <c r="J778" s="213"/>
      <c r="K778" s="215"/>
      <c r="L778" s="216"/>
      <c r="M778" s="217"/>
      <c r="O778" s="241" t="str">
        <f>IF(Q778 = "", "", COUNT(Q$4:$Q778))</f>
        <v/>
      </c>
      <c r="P778" s="241" t="str">
        <f t="shared" si="100"/>
        <v/>
      </c>
      <c r="Q778" s="242" t="str">
        <f t="shared" si="101"/>
        <v/>
      </c>
      <c r="R778" s="243" t="str">
        <f t="shared" si="104"/>
        <v/>
      </c>
      <c r="S778" s="244" t="str">
        <f t="shared" si="102"/>
        <v/>
      </c>
      <c r="T778" s="245" t="str">
        <f t="shared" si="105"/>
        <v/>
      </c>
      <c r="U778" s="246" t="str">
        <f t="shared" si="103"/>
        <v/>
      </c>
      <c r="V778" s="8"/>
      <c r="AR778" t="str">
        <f t="shared" si="99"/>
        <v/>
      </c>
      <c r="AS778" t="str">
        <f t="shared" si="98"/>
        <v/>
      </c>
    </row>
    <row r="779" spans="1:45" x14ac:dyDescent="0.3">
      <c r="A779" s="231"/>
      <c r="B779" s="235"/>
      <c r="C779" s="214"/>
      <c r="D779" s="214"/>
      <c r="E779" s="214"/>
      <c r="F779" s="214"/>
      <c r="G779" s="222"/>
      <c r="H779" s="221"/>
      <c r="I779" s="213"/>
      <c r="J779" s="213"/>
      <c r="K779" s="215"/>
      <c r="L779" s="216"/>
      <c r="M779" s="217"/>
      <c r="O779" s="241" t="str">
        <f>IF(Q779 = "", "", COUNT(Q$4:$Q779))</f>
        <v/>
      </c>
      <c r="P779" s="241" t="str">
        <f t="shared" si="100"/>
        <v/>
      </c>
      <c r="Q779" s="242" t="str">
        <f t="shared" si="101"/>
        <v/>
      </c>
      <c r="R779" s="243" t="str">
        <f t="shared" si="104"/>
        <v/>
      </c>
      <c r="S779" s="244" t="str">
        <f t="shared" si="102"/>
        <v/>
      </c>
      <c r="T779" s="245" t="str">
        <f t="shared" si="105"/>
        <v/>
      </c>
      <c r="U779" s="246" t="str">
        <f t="shared" si="103"/>
        <v/>
      </c>
      <c r="V779" s="8"/>
      <c r="AR779" t="str">
        <f t="shared" si="99"/>
        <v/>
      </c>
      <c r="AS779" t="str">
        <f t="shared" si="98"/>
        <v/>
      </c>
    </row>
    <row r="780" spans="1:45" x14ac:dyDescent="0.3">
      <c r="A780" s="231"/>
      <c r="B780" s="235"/>
      <c r="C780" s="214"/>
      <c r="D780" s="214"/>
      <c r="E780" s="214"/>
      <c r="F780" s="214"/>
      <c r="G780" s="222"/>
      <c r="H780" s="221"/>
      <c r="I780" s="213"/>
      <c r="J780" s="213"/>
      <c r="K780" s="215"/>
      <c r="L780" s="216"/>
      <c r="M780" s="217"/>
      <c r="O780" s="241" t="str">
        <f>IF(Q780 = "", "", COUNT(Q$4:$Q780))</f>
        <v/>
      </c>
      <c r="P780" s="241" t="str">
        <f t="shared" si="100"/>
        <v/>
      </c>
      <c r="Q780" s="242" t="str">
        <f t="shared" si="101"/>
        <v/>
      </c>
      <c r="R780" s="243" t="str">
        <f t="shared" si="104"/>
        <v/>
      </c>
      <c r="S780" s="244" t="str">
        <f t="shared" si="102"/>
        <v/>
      </c>
      <c r="T780" s="245" t="str">
        <f t="shared" si="105"/>
        <v/>
      </c>
      <c r="U780" s="246" t="str">
        <f t="shared" si="103"/>
        <v/>
      </c>
      <c r="V780" s="8"/>
      <c r="AR780" t="str">
        <f t="shared" si="99"/>
        <v/>
      </c>
      <c r="AS780" t="str">
        <f t="shared" si="98"/>
        <v/>
      </c>
    </row>
    <row r="781" spans="1:45" x14ac:dyDescent="0.3">
      <c r="A781" s="231"/>
      <c r="B781" s="235"/>
      <c r="C781" s="214"/>
      <c r="D781" s="214"/>
      <c r="E781" s="214"/>
      <c r="F781" s="214"/>
      <c r="G781" s="222"/>
      <c r="H781" s="221"/>
      <c r="I781" s="213"/>
      <c r="J781" s="213"/>
      <c r="K781" s="215"/>
      <c r="L781" s="216"/>
      <c r="M781" s="217"/>
      <c r="O781" s="241" t="str">
        <f>IF(Q781 = "", "", COUNT(Q$4:$Q781))</f>
        <v/>
      </c>
      <c r="P781" s="241" t="str">
        <f t="shared" si="100"/>
        <v/>
      </c>
      <c r="Q781" s="242" t="str">
        <f t="shared" si="101"/>
        <v/>
      </c>
      <c r="R781" s="243" t="str">
        <f t="shared" si="104"/>
        <v/>
      </c>
      <c r="S781" s="244" t="str">
        <f t="shared" si="102"/>
        <v/>
      </c>
      <c r="T781" s="245" t="str">
        <f t="shared" si="105"/>
        <v/>
      </c>
      <c r="U781" s="246" t="str">
        <f t="shared" si="103"/>
        <v/>
      </c>
      <c r="V781" s="8"/>
      <c r="AR781" t="str">
        <f t="shared" si="99"/>
        <v/>
      </c>
      <c r="AS781" t="str">
        <f t="shared" si="98"/>
        <v/>
      </c>
    </row>
    <row r="782" spans="1:45" x14ac:dyDescent="0.3">
      <c r="A782" s="231"/>
      <c r="B782" s="235"/>
      <c r="C782" s="214"/>
      <c r="D782" s="214"/>
      <c r="E782" s="214"/>
      <c r="F782" s="214"/>
      <c r="G782" s="222"/>
      <c r="H782" s="221"/>
      <c r="I782" s="213"/>
      <c r="J782" s="213"/>
      <c r="K782" s="215"/>
      <c r="L782" s="216"/>
      <c r="M782" s="217"/>
      <c r="O782" s="241" t="str">
        <f>IF(Q782 = "", "", COUNT(Q$4:$Q782))</f>
        <v/>
      </c>
      <c r="P782" s="241" t="str">
        <f t="shared" si="100"/>
        <v/>
      </c>
      <c r="Q782" s="242" t="str">
        <f t="shared" si="101"/>
        <v/>
      </c>
      <c r="R782" s="243" t="str">
        <f t="shared" si="104"/>
        <v/>
      </c>
      <c r="S782" s="244" t="str">
        <f t="shared" si="102"/>
        <v/>
      </c>
      <c r="T782" s="245" t="str">
        <f t="shared" si="105"/>
        <v/>
      </c>
      <c r="U782" s="246" t="str">
        <f t="shared" si="103"/>
        <v/>
      </c>
      <c r="V782" s="8"/>
      <c r="AR782" t="str">
        <f t="shared" si="99"/>
        <v/>
      </c>
      <c r="AS782" t="str">
        <f t="shared" si="98"/>
        <v/>
      </c>
    </row>
    <row r="783" spans="1:45" x14ac:dyDescent="0.3">
      <c r="A783" s="231"/>
      <c r="B783" s="235"/>
      <c r="C783" s="214"/>
      <c r="D783" s="214"/>
      <c r="E783" s="214"/>
      <c r="F783" s="214"/>
      <c r="G783" s="222"/>
      <c r="H783" s="221"/>
      <c r="I783" s="213"/>
      <c r="J783" s="213"/>
      <c r="K783" s="215"/>
      <c r="L783" s="216"/>
      <c r="M783" s="217"/>
      <c r="O783" s="241" t="str">
        <f>IF(Q783 = "", "", COUNT(Q$4:$Q783))</f>
        <v/>
      </c>
      <c r="P783" s="241" t="str">
        <f t="shared" si="100"/>
        <v/>
      </c>
      <c r="Q783" s="242" t="str">
        <f t="shared" si="101"/>
        <v/>
      </c>
      <c r="R783" s="243" t="str">
        <f t="shared" si="104"/>
        <v/>
      </c>
      <c r="S783" s="244" t="str">
        <f t="shared" si="102"/>
        <v/>
      </c>
      <c r="T783" s="245" t="str">
        <f t="shared" si="105"/>
        <v/>
      </c>
      <c r="U783" s="246" t="str">
        <f t="shared" si="103"/>
        <v/>
      </c>
      <c r="V783" s="8"/>
      <c r="AR783" t="str">
        <f t="shared" si="99"/>
        <v/>
      </c>
      <c r="AS783" t="str">
        <f t="shared" si="98"/>
        <v/>
      </c>
    </row>
    <row r="784" spans="1:45" x14ac:dyDescent="0.3">
      <c r="A784" s="231"/>
      <c r="B784" s="235"/>
      <c r="C784" s="214"/>
      <c r="D784" s="214"/>
      <c r="E784" s="214"/>
      <c r="F784" s="214"/>
      <c r="G784" s="222"/>
      <c r="H784" s="221"/>
      <c r="I784" s="213"/>
      <c r="J784" s="213"/>
      <c r="K784" s="215"/>
      <c r="L784" s="216"/>
      <c r="M784" s="217"/>
      <c r="O784" s="241" t="str">
        <f>IF(Q784 = "", "", COUNT(Q$4:$Q784))</f>
        <v/>
      </c>
      <c r="P784" s="241" t="str">
        <f t="shared" si="100"/>
        <v/>
      </c>
      <c r="Q784" s="242" t="str">
        <f t="shared" si="101"/>
        <v/>
      </c>
      <c r="R784" s="243" t="str">
        <f t="shared" si="104"/>
        <v/>
      </c>
      <c r="S784" s="244" t="str">
        <f t="shared" si="102"/>
        <v/>
      </c>
      <c r="T784" s="245" t="str">
        <f t="shared" si="105"/>
        <v/>
      </c>
      <c r="U784" s="246" t="str">
        <f t="shared" si="103"/>
        <v/>
      </c>
      <c r="V784" s="8"/>
      <c r="AR784" t="str">
        <f t="shared" si="99"/>
        <v/>
      </c>
      <c r="AS784" t="str">
        <f t="shared" si="98"/>
        <v/>
      </c>
    </row>
    <row r="785" spans="1:45" x14ac:dyDescent="0.3">
      <c r="A785" s="231"/>
      <c r="B785" s="235"/>
      <c r="C785" s="214"/>
      <c r="D785" s="214"/>
      <c r="E785" s="214"/>
      <c r="F785" s="214"/>
      <c r="G785" s="222"/>
      <c r="H785" s="221"/>
      <c r="I785" s="213"/>
      <c r="J785" s="213"/>
      <c r="K785" s="215"/>
      <c r="L785" s="216"/>
      <c r="M785" s="217"/>
      <c r="O785" s="241" t="str">
        <f>IF(Q785 = "", "", COUNT(Q$4:$Q785))</f>
        <v/>
      </c>
      <c r="P785" s="241" t="str">
        <f t="shared" si="100"/>
        <v/>
      </c>
      <c r="Q785" s="242" t="str">
        <f t="shared" si="101"/>
        <v/>
      </c>
      <c r="R785" s="243" t="str">
        <f t="shared" si="104"/>
        <v/>
      </c>
      <c r="S785" s="244" t="str">
        <f t="shared" si="102"/>
        <v/>
      </c>
      <c r="T785" s="245" t="str">
        <f t="shared" si="105"/>
        <v/>
      </c>
      <c r="U785" s="246" t="str">
        <f t="shared" si="103"/>
        <v/>
      </c>
      <c r="V785" s="8"/>
      <c r="AR785" t="str">
        <f t="shared" si="99"/>
        <v/>
      </c>
      <c r="AS785" t="str">
        <f t="shared" si="98"/>
        <v/>
      </c>
    </row>
    <row r="786" spans="1:45" x14ac:dyDescent="0.3">
      <c r="A786" s="231"/>
      <c r="B786" s="235"/>
      <c r="C786" s="214"/>
      <c r="D786" s="214"/>
      <c r="E786" s="214"/>
      <c r="F786" s="214"/>
      <c r="G786" s="222"/>
      <c r="H786" s="221"/>
      <c r="I786" s="213"/>
      <c r="J786" s="213"/>
      <c r="K786" s="215"/>
      <c r="L786" s="216"/>
      <c r="M786" s="217"/>
      <c r="O786" s="241" t="str">
        <f>IF(Q786 = "", "", COUNT(Q$4:$Q786))</f>
        <v/>
      </c>
      <c r="P786" s="241" t="str">
        <f t="shared" si="100"/>
        <v/>
      </c>
      <c r="Q786" s="242" t="str">
        <f t="shared" si="101"/>
        <v/>
      </c>
      <c r="R786" s="243" t="str">
        <f t="shared" si="104"/>
        <v/>
      </c>
      <c r="S786" s="244" t="str">
        <f t="shared" si="102"/>
        <v/>
      </c>
      <c r="T786" s="245" t="str">
        <f t="shared" si="105"/>
        <v/>
      </c>
      <c r="U786" s="246" t="str">
        <f t="shared" si="103"/>
        <v/>
      </c>
      <c r="V786" s="8"/>
      <c r="AR786" t="str">
        <f t="shared" si="99"/>
        <v/>
      </c>
      <c r="AS786" t="str">
        <f t="shared" si="98"/>
        <v/>
      </c>
    </row>
    <row r="787" spans="1:45" x14ac:dyDescent="0.3">
      <c r="A787" s="231"/>
      <c r="B787" s="235"/>
      <c r="C787" s="214"/>
      <c r="D787" s="214"/>
      <c r="E787" s="214"/>
      <c r="F787" s="214"/>
      <c r="G787" s="222"/>
      <c r="H787" s="221"/>
      <c r="I787" s="213"/>
      <c r="J787" s="213"/>
      <c r="K787" s="215"/>
      <c r="L787" s="216"/>
      <c r="M787" s="217"/>
      <c r="O787" s="241" t="str">
        <f>IF(Q787 = "", "", COUNT(Q$4:$Q787))</f>
        <v/>
      </c>
      <c r="P787" s="241" t="str">
        <f t="shared" si="100"/>
        <v/>
      </c>
      <c r="Q787" s="242" t="str">
        <f t="shared" si="101"/>
        <v/>
      </c>
      <c r="R787" s="243" t="str">
        <f t="shared" si="104"/>
        <v/>
      </c>
      <c r="S787" s="244" t="str">
        <f t="shared" si="102"/>
        <v/>
      </c>
      <c r="T787" s="245" t="str">
        <f t="shared" si="105"/>
        <v/>
      </c>
      <c r="U787" s="246" t="str">
        <f t="shared" si="103"/>
        <v/>
      </c>
      <c r="V787" s="8"/>
      <c r="AR787" t="str">
        <f t="shared" si="99"/>
        <v/>
      </c>
      <c r="AS787" t="str">
        <f t="shared" si="98"/>
        <v/>
      </c>
    </row>
    <row r="788" spans="1:45" x14ac:dyDescent="0.3">
      <c r="A788" s="231"/>
      <c r="B788" s="235"/>
      <c r="C788" s="214"/>
      <c r="D788" s="214"/>
      <c r="E788" s="214"/>
      <c r="F788" s="214"/>
      <c r="G788" s="222"/>
      <c r="H788" s="221"/>
      <c r="I788" s="213"/>
      <c r="J788" s="213"/>
      <c r="K788" s="215"/>
      <c r="L788" s="216"/>
      <c r="M788" s="217"/>
      <c r="O788" s="241" t="str">
        <f>IF(Q788 = "", "", COUNT(Q$4:$Q788))</f>
        <v/>
      </c>
      <c r="P788" s="241" t="str">
        <f t="shared" si="100"/>
        <v/>
      </c>
      <c r="Q788" s="242" t="str">
        <f t="shared" si="101"/>
        <v/>
      </c>
      <c r="R788" s="243" t="str">
        <f t="shared" si="104"/>
        <v/>
      </c>
      <c r="S788" s="244" t="str">
        <f t="shared" si="102"/>
        <v/>
      </c>
      <c r="T788" s="245" t="str">
        <f t="shared" si="105"/>
        <v/>
      </c>
      <c r="U788" s="246" t="str">
        <f t="shared" si="103"/>
        <v/>
      </c>
      <c r="V788" s="8"/>
      <c r="AR788" t="str">
        <f t="shared" si="99"/>
        <v/>
      </c>
      <c r="AS788" t="str">
        <f t="shared" si="98"/>
        <v/>
      </c>
    </row>
    <row r="789" spans="1:45" x14ac:dyDescent="0.3">
      <c r="A789" s="231"/>
      <c r="B789" s="235"/>
      <c r="C789" s="214"/>
      <c r="D789" s="214"/>
      <c r="E789" s="214"/>
      <c r="F789" s="214"/>
      <c r="G789" s="222"/>
      <c r="H789" s="221"/>
      <c r="I789" s="213"/>
      <c r="J789" s="213"/>
      <c r="K789" s="215"/>
      <c r="L789" s="216"/>
      <c r="M789" s="217"/>
      <c r="O789" s="241" t="str">
        <f>IF(Q789 = "", "", COUNT(Q$4:$Q789))</f>
        <v/>
      </c>
      <c r="P789" s="241" t="str">
        <f t="shared" si="100"/>
        <v/>
      </c>
      <c r="Q789" s="242" t="str">
        <f t="shared" si="101"/>
        <v/>
      </c>
      <c r="R789" s="243" t="str">
        <f t="shared" si="104"/>
        <v/>
      </c>
      <c r="S789" s="244" t="str">
        <f t="shared" si="102"/>
        <v/>
      </c>
      <c r="T789" s="245" t="str">
        <f t="shared" si="105"/>
        <v/>
      </c>
      <c r="U789" s="246" t="str">
        <f t="shared" si="103"/>
        <v/>
      </c>
      <c r="V789" s="8"/>
      <c r="AR789" t="str">
        <f t="shared" si="99"/>
        <v/>
      </c>
      <c r="AS789" t="str">
        <f t="shared" ref="AS789:AS852" si="106">IF(OR(L789="Y",M789="Y"),"Y","")</f>
        <v/>
      </c>
    </row>
    <row r="790" spans="1:45" x14ac:dyDescent="0.3">
      <c r="A790" s="231"/>
      <c r="B790" s="235"/>
      <c r="C790" s="214"/>
      <c r="D790" s="214"/>
      <c r="E790" s="214"/>
      <c r="F790" s="214"/>
      <c r="G790" s="222"/>
      <c r="H790" s="221"/>
      <c r="I790" s="213"/>
      <c r="J790" s="213"/>
      <c r="K790" s="215"/>
      <c r="L790" s="216"/>
      <c r="M790" s="217"/>
      <c r="O790" s="241" t="str">
        <f>IF(Q790 = "", "", COUNT(Q$4:$Q790))</f>
        <v/>
      </c>
      <c r="P790" s="241" t="str">
        <f t="shared" si="100"/>
        <v/>
      </c>
      <c r="Q790" s="242" t="str">
        <f t="shared" si="101"/>
        <v/>
      </c>
      <c r="R790" s="243" t="str">
        <f t="shared" si="104"/>
        <v/>
      </c>
      <c r="S790" s="244" t="str">
        <f t="shared" si="102"/>
        <v/>
      </c>
      <c r="T790" s="245" t="str">
        <f t="shared" si="105"/>
        <v/>
      </c>
      <c r="U790" s="246" t="str">
        <f t="shared" si="103"/>
        <v/>
      </c>
      <c r="V790" s="8"/>
      <c r="AR790" t="str">
        <f t="shared" ref="AR790:AR853" si="107">IF(O790&gt;0, O790, "")</f>
        <v/>
      </c>
      <c r="AS790" t="str">
        <f t="shared" si="106"/>
        <v/>
      </c>
    </row>
    <row r="791" spans="1:45" x14ac:dyDescent="0.3">
      <c r="A791" s="231"/>
      <c r="B791" s="235"/>
      <c r="C791" s="214"/>
      <c r="D791" s="214"/>
      <c r="E791" s="214"/>
      <c r="F791" s="214"/>
      <c r="G791" s="222"/>
      <c r="H791" s="221"/>
      <c r="I791" s="213"/>
      <c r="J791" s="213"/>
      <c r="K791" s="215"/>
      <c r="L791" s="216"/>
      <c r="M791" s="217"/>
      <c r="O791" s="241" t="str">
        <f>IF(Q791 = "", "", COUNT(Q$4:$Q791))</f>
        <v/>
      </c>
      <c r="P791" s="241" t="str">
        <f t="shared" si="100"/>
        <v/>
      </c>
      <c r="Q791" s="242" t="str">
        <f t="shared" si="101"/>
        <v/>
      </c>
      <c r="R791" s="243" t="str">
        <f t="shared" si="104"/>
        <v/>
      </c>
      <c r="S791" s="244" t="str">
        <f t="shared" si="102"/>
        <v/>
      </c>
      <c r="T791" s="245" t="str">
        <f t="shared" si="105"/>
        <v/>
      </c>
      <c r="U791" s="246" t="str">
        <f t="shared" si="103"/>
        <v/>
      </c>
      <c r="V791" s="8"/>
      <c r="AR791" t="str">
        <f t="shared" si="107"/>
        <v/>
      </c>
      <c r="AS791" t="str">
        <f t="shared" si="106"/>
        <v/>
      </c>
    </row>
    <row r="792" spans="1:45" x14ac:dyDescent="0.3">
      <c r="A792" s="231"/>
      <c r="B792" s="235"/>
      <c r="C792" s="214"/>
      <c r="D792" s="214"/>
      <c r="E792" s="214"/>
      <c r="F792" s="214"/>
      <c r="G792" s="222"/>
      <c r="H792" s="221"/>
      <c r="I792" s="213"/>
      <c r="J792" s="213"/>
      <c r="K792" s="215"/>
      <c r="L792" s="216"/>
      <c r="M792" s="217"/>
      <c r="O792" s="241" t="str">
        <f>IF(Q792 = "", "", COUNT(Q$4:$Q792))</f>
        <v/>
      </c>
      <c r="P792" s="241" t="str">
        <f t="shared" si="100"/>
        <v/>
      </c>
      <c r="Q792" s="242" t="str">
        <f t="shared" si="101"/>
        <v/>
      </c>
      <c r="R792" s="243" t="str">
        <f t="shared" si="104"/>
        <v/>
      </c>
      <c r="S792" s="244" t="str">
        <f t="shared" si="102"/>
        <v/>
      </c>
      <c r="T792" s="245" t="str">
        <f t="shared" si="105"/>
        <v/>
      </c>
      <c r="U792" s="246" t="str">
        <f t="shared" si="103"/>
        <v/>
      </c>
      <c r="V792" s="8"/>
      <c r="AR792" t="str">
        <f t="shared" si="107"/>
        <v/>
      </c>
      <c r="AS792" t="str">
        <f t="shared" si="106"/>
        <v/>
      </c>
    </row>
    <row r="793" spans="1:45" x14ac:dyDescent="0.3">
      <c r="A793" s="231"/>
      <c r="B793" s="235"/>
      <c r="C793" s="214"/>
      <c r="D793" s="214"/>
      <c r="E793" s="214"/>
      <c r="F793" s="214"/>
      <c r="G793" s="222"/>
      <c r="H793" s="221"/>
      <c r="I793" s="213"/>
      <c r="J793" s="213"/>
      <c r="K793" s="215"/>
      <c r="L793" s="216"/>
      <c r="M793" s="217"/>
      <c r="O793" s="241" t="str">
        <f>IF(Q793 = "", "", COUNT(Q$4:$Q793))</f>
        <v/>
      </c>
      <c r="P793" s="241" t="str">
        <f t="shared" si="100"/>
        <v/>
      </c>
      <c r="Q793" s="242" t="str">
        <f t="shared" si="101"/>
        <v/>
      </c>
      <c r="R793" s="243" t="str">
        <f t="shared" si="104"/>
        <v/>
      </c>
      <c r="S793" s="244" t="str">
        <f t="shared" si="102"/>
        <v/>
      </c>
      <c r="T793" s="245" t="str">
        <f t="shared" si="105"/>
        <v/>
      </c>
      <c r="U793" s="246" t="str">
        <f t="shared" si="103"/>
        <v/>
      </c>
      <c r="V793" s="8"/>
      <c r="AR793" t="str">
        <f t="shared" si="107"/>
        <v/>
      </c>
      <c r="AS793" t="str">
        <f t="shared" si="106"/>
        <v/>
      </c>
    </row>
    <row r="794" spans="1:45" x14ac:dyDescent="0.3">
      <c r="A794" s="231"/>
      <c r="B794" s="235"/>
      <c r="C794" s="214"/>
      <c r="D794" s="214"/>
      <c r="E794" s="214"/>
      <c r="F794" s="214"/>
      <c r="G794" s="222"/>
      <c r="H794" s="221"/>
      <c r="I794" s="213"/>
      <c r="J794" s="213"/>
      <c r="K794" s="215"/>
      <c r="L794" s="216"/>
      <c r="M794" s="217"/>
      <c r="O794" s="241" t="str">
        <f>IF(Q794 = "", "", COUNT(Q$4:$Q794))</f>
        <v/>
      </c>
      <c r="P794" s="241" t="str">
        <f t="shared" si="100"/>
        <v/>
      </c>
      <c r="Q794" s="242" t="str">
        <f t="shared" si="101"/>
        <v/>
      </c>
      <c r="R794" s="243" t="str">
        <f t="shared" si="104"/>
        <v/>
      </c>
      <c r="S794" s="244" t="str">
        <f t="shared" si="102"/>
        <v/>
      </c>
      <c r="T794" s="245" t="str">
        <f t="shared" si="105"/>
        <v/>
      </c>
      <c r="U794" s="246" t="str">
        <f t="shared" si="103"/>
        <v/>
      </c>
      <c r="V794" s="8"/>
      <c r="AR794" t="str">
        <f t="shared" si="107"/>
        <v/>
      </c>
      <c r="AS794" t="str">
        <f t="shared" si="106"/>
        <v/>
      </c>
    </row>
    <row r="795" spans="1:45" x14ac:dyDescent="0.3">
      <c r="A795" s="231"/>
      <c r="B795" s="235"/>
      <c r="C795" s="214"/>
      <c r="D795" s="214"/>
      <c r="E795" s="214"/>
      <c r="F795" s="214"/>
      <c r="G795" s="222"/>
      <c r="H795" s="221"/>
      <c r="I795" s="213"/>
      <c r="J795" s="213"/>
      <c r="K795" s="215"/>
      <c r="L795" s="216"/>
      <c r="M795" s="217"/>
      <c r="O795" s="241" t="str">
        <f>IF(Q795 = "", "", COUNT(Q$4:$Q795))</f>
        <v/>
      </c>
      <c r="P795" s="241" t="str">
        <f t="shared" si="100"/>
        <v/>
      </c>
      <c r="Q795" s="242" t="str">
        <f t="shared" si="101"/>
        <v/>
      </c>
      <c r="R795" s="243" t="str">
        <f t="shared" si="104"/>
        <v/>
      </c>
      <c r="S795" s="244" t="str">
        <f t="shared" si="102"/>
        <v/>
      </c>
      <c r="T795" s="245" t="str">
        <f t="shared" si="105"/>
        <v/>
      </c>
      <c r="U795" s="246" t="str">
        <f t="shared" si="103"/>
        <v/>
      </c>
      <c r="V795" s="8"/>
      <c r="AR795" t="str">
        <f t="shared" si="107"/>
        <v/>
      </c>
      <c r="AS795" t="str">
        <f t="shared" si="106"/>
        <v/>
      </c>
    </row>
    <row r="796" spans="1:45" x14ac:dyDescent="0.3">
      <c r="A796" s="231"/>
      <c r="B796" s="235"/>
      <c r="C796" s="214"/>
      <c r="D796" s="214"/>
      <c r="E796" s="214"/>
      <c r="F796" s="214"/>
      <c r="G796" s="222"/>
      <c r="H796" s="221"/>
      <c r="I796" s="213"/>
      <c r="J796" s="213"/>
      <c r="K796" s="215"/>
      <c r="L796" s="216"/>
      <c r="M796" s="217"/>
      <c r="O796" s="241" t="str">
        <f>IF(Q796 = "", "", COUNT(Q$4:$Q796))</f>
        <v/>
      </c>
      <c r="P796" s="241" t="str">
        <f t="shared" si="100"/>
        <v/>
      </c>
      <c r="Q796" s="242" t="str">
        <f t="shared" si="101"/>
        <v/>
      </c>
      <c r="R796" s="243" t="str">
        <f t="shared" si="104"/>
        <v/>
      </c>
      <c r="S796" s="244" t="str">
        <f t="shared" si="102"/>
        <v/>
      </c>
      <c r="T796" s="245" t="str">
        <f t="shared" si="105"/>
        <v/>
      </c>
      <c r="U796" s="246" t="str">
        <f t="shared" si="103"/>
        <v/>
      </c>
      <c r="V796" s="8"/>
      <c r="AR796" t="str">
        <f t="shared" si="107"/>
        <v/>
      </c>
      <c r="AS796" t="str">
        <f t="shared" si="106"/>
        <v/>
      </c>
    </row>
    <row r="797" spans="1:45" x14ac:dyDescent="0.3">
      <c r="A797" s="231"/>
      <c r="B797" s="235"/>
      <c r="C797" s="214"/>
      <c r="D797" s="214"/>
      <c r="E797" s="214"/>
      <c r="F797" s="214"/>
      <c r="G797" s="222"/>
      <c r="H797" s="221"/>
      <c r="I797" s="213"/>
      <c r="J797" s="213"/>
      <c r="K797" s="215"/>
      <c r="L797" s="216"/>
      <c r="M797" s="217"/>
      <c r="O797" s="241" t="str">
        <f>IF(Q797 = "", "", COUNT(Q$4:$Q797))</f>
        <v/>
      </c>
      <c r="P797" s="241" t="str">
        <f t="shared" si="100"/>
        <v/>
      </c>
      <c r="Q797" s="242" t="str">
        <f t="shared" si="101"/>
        <v/>
      </c>
      <c r="R797" s="243" t="str">
        <f t="shared" si="104"/>
        <v/>
      </c>
      <c r="S797" s="244" t="str">
        <f t="shared" si="102"/>
        <v/>
      </c>
      <c r="T797" s="245" t="str">
        <f t="shared" si="105"/>
        <v/>
      </c>
      <c r="U797" s="246" t="str">
        <f t="shared" si="103"/>
        <v/>
      </c>
      <c r="V797" s="8"/>
      <c r="AR797" t="str">
        <f t="shared" si="107"/>
        <v/>
      </c>
      <c r="AS797" t="str">
        <f t="shared" si="106"/>
        <v/>
      </c>
    </row>
    <row r="798" spans="1:45" x14ac:dyDescent="0.3">
      <c r="A798" s="231"/>
      <c r="B798" s="235"/>
      <c r="C798" s="214"/>
      <c r="D798" s="214"/>
      <c r="E798" s="214"/>
      <c r="F798" s="214"/>
      <c r="G798" s="222"/>
      <c r="H798" s="221"/>
      <c r="I798" s="213"/>
      <c r="J798" s="213"/>
      <c r="K798" s="215"/>
      <c r="L798" s="216"/>
      <c r="M798" s="217"/>
      <c r="O798" s="241" t="str">
        <f>IF(Q798 = "", "", COUNT(Q$4:$Q798))</f>
        <v/>
      </c>
      <c r="P798" s="241" t="str">
        <f t="shared" si="100"/>
        <v/>
      </c>
      <c r="Q798" s="242" t="str">
        <f t="shared" si="101"/>
        <v/>
      </c>
      <c r="R798" s="243" t="str">
        <f t="shared" si="104"/>
        <v/>
      </c>
      <c r="S798" s="244" t="str">
        <f t="shared" si="102"/>
        <v/>
      </c>
      <c r="T798" s="245" t="str">
        <f t="shared" si="105"/>
        <v/>
      </c>
      <c r="U798" s="246" t="str">
        <f t="shared" si="103"/>
        <v/>
      </c>
      <c r="V798" s="8"/>
      <c r="AR798" t="str">
        <f t="shared" si="107"/>
        <v/>
      </c>
      <c r="AS798" t="str">
        <f t="shared" si="106"/>
        <v/>
      </c>
    </row>
    <row r="799" spans="1:45" x14ac:dyDescent="0.3">
      <c r="A799" s="231"/>
      <c r="B799" s="235"/>
      <c r="C799" s="214"/>
      <c r="D799" s="214"/>
      <c r="E799" s="214"/>
      <c r="F799" s="214"/>
      <c r="G799" s="222"/>
      <c r="H799" s="221"/>
      <c r="I799" s="213"/>
      <c r="J799" s="213"/>
      <c r="K799" s="215"/>
      <c r="L799" s="216"/>
      <c r="M799" s="217"/>
      <c r="O799" s="241" t="str">
        <f>IF(Q799 = "", "", COUNT(Q$4:$Q799))</f>
        <v/>
      </c>
      <c r="P799" s="241" t="str">
        <f t="shared" si="100"/>
        <v/>
      </c>
      <c r="Q799" s="242" t="str">
        <f t="shared" si="101"/>
        <v/>
      </c>
      <c r="R799" s="243" t="str">
        <f t="shared" si="104"/>
        <v/>
      </c>
      <c r="S799" s="244" t="str">
        <f t="shared" si="102"/>
        <v/>
      </c>
      <c r="T799" s="245" t="str">
        <f t="shared" si="105"/>
        <v/>
      </c>
      <c r="U799" s="246" t="str">
        <f t="shared" si="103"/>
        <v/>
      </c>
      <c r="V799" s="8"/>
      <c r="AR799" t="str">
        <f t="shared" si="107"/>
        <v/>
      </c>
      <c r="AS799" t="str">
        <f t="shared" si="106"/>
        <v/>
      </c>
    </row>
    <row r="800" spans="1:45" x14ac:dyDescent="0.3">
      <c r="A800" s="231"/>
      <c r="B800" s="235"/>
      <c r="C800" s="214"/>
      <c r="D800" s="214"/>
      <c r="E800" s="214"/>
      <c r="F800" s="214"/>
      <c r="G800" s="222"/>
      <c r="H800" s="221"/>
      <c r="I800" s="213"/>
      <c r="J800" s="213"/>
      <c r="K800" s="215"/>
      <c r="L800" s="216"/>
      <c r="M800" s="217"/>
      <c r="O800" s="241" t="str">
        <f>IF(Q800 = "", "", COUNT(Q$4:$Q800))</f>
        <v/>
      </c>
      <c r="P800" s="241" t="str">
        <f t="shared" si="100"/>
        <v/>
      </c>
      <c r="Q800" s="242" t="str">
        <f t="shared" si="101"/>
        <v/>
      </c>
      <c r="R800" s="243" t="str">
        <f t="shared" si="104"/>
        <v/>
      </c>
      <c r="S800" s="244" t="str">
        <f t="shared" si="102"/>
        <v/>
      </c>
      <c r="T800" s="245" t="str">
        <f t="shared" si="105"/>
        <v/>
      </c>
      <c r="U800" s="246" t="str">
        <f t="shared" si="103"/>
        <v/>
      </c>
      <c r="V800" s="8"/>
      <c r="AR800" t="str">
        <f t="shared" si="107"/>
        <v/>
      </c>
      <c r="AS800" t="str">
        <f t="shared" si="106"/>
        <v/>
      </c>
    </row>
    <row r="801" spans="1:45" x14ac:dyDescent="0.3">
      <c r="A801" s="231"/>
      <c r="B801" s="235"/>
      <c r="C801" s="214"/>
      <c r="D801" s="214"/>
      <c r="E801" s="214"/>
      <c r="F801" s="214"/>
      <c r="G801" s="222"/>
      <c r="H801" s="221"/>
      <c r="I801" s="213"/>
      <c r="J801" s="213"/>
      <c r="K801" s="215"/>
      <c r="L801" s="216"/>
      <c r="M801" s="217"/>
      <c r="O801" s="241" t="str">
        <f>IF(Q801 = "", "", COUNT(Q$4:$Q801))</f>
        <v/>
      </c>
      <c r="P801" s="241" t="str">
        <f t="shared" si="100"/>
        <v/>
      </c>
      <c r="Q801" s="242" t="str">
        <f t="shared" si="101"/>
        <v/>
      </c>
      <c r="R801" s="243" t="str">
        <f t="shared" si="104"/>
        <v/>
      </c>
      <c r="S801" s="244" t="str">
        <f t="shared" si="102"/>
        <v/>
      </c>
      <c r="T801" s="245" t="str">
        <f t="shared" si="105"/>
        <v/>
      </c>
      <c r="U801" s="246" t="str">
        <f t="shared" si="103"/>
        <v/>
      </c>
      <c r="V801" s="8"/>
      <c r="AR801" t="str">
        <f t="shared" si="107"/>
        <v/>
      </c>
      <c r="AS801" t="str">
        <f t="shared" si="106"/>
        <v/>
      </c>
    </row>
    <row r="802" spans="1:45" x14ac:dyDescent="0.3">
      <c r="A802" s="231"/>
      <c r="B802" s="235"/>
      <c r="C802" s="214"/>
      <c r="D802" s="214"/>
      <c r="E802" s="214"/>
      <c r="F802" s="214"/>
      <c r="G802" s="222"/>
      <c r="H802" s="221"/>
      <c r="I802" s="213"/>
      <c r="J802" s="213"/>
      <c r="K802" s="215"/>
      <c r="L802" s="216"/>
      <c r="M802" s="217"/>
      <c r="O802" s="241" t="str">
        <f>IF(Q802 = "", "", COUNT(Q$4:$Q802))</f>
        <v/>
      </c>
      <c r="P802" s="241" t="str">
        <f t="shared" si="100"/>
        <v/>
      </c>
      <c r="Q802" s="242" t="str">
        <f t="shared" si="101"/>
        <v/>
      </c>
      <c r="R802" s="243" t="str">
        <f t="shared" si="104"/>
        <v/>
      </c>
      <c r="S802" s="244" t="str">
        <f t="shared" si="102"/>
        <v/>
      </c>
      <c r="T802" s="245" t="str">
        <f t="shared" si="105"/>
        <v/>
      </c>
      <c r="U802" s="246" t="str">
        <f t="shared" si="103"/>
        <v/>
      </c>
      <c r="V802" s="8"/>
      <c r="AR802" t="str">
        <f t="shared" si="107"/>
        <v/>
      </c>
      <c r="AS802" t="str">
        <f t="shared" si="106"/>
        <v/>
      </c>
    </row>
    <row r="803" spans="1:45" x14ac:dyDescent="0.3">
      <c r="A803" s="231"/>
      <c r="B803" s="235"/>
      <c r="C803" s="214"/>
      <c r="D803" s="214"/>
      <c r="E803" s="214"/>
      <c r="F803" s="214"/>
      <c r="G803" s="222"/>
      <c r="H803" s="221"/>
      <c r="I803" s="213"/>
      <c r="J803" s="213"/>
      <c r="K803" s="215"/>
      <c r="L803" s="216"/>
      <c r="M803" s="217"/>
      <c r="O803" s="241" t="str">
        <f>IF(Q803 = "", "", COUNT(Q$4:$Q803))</f>
        <v/>
      </c>
      <c r="P803" s="241" t="str">
        <f t="shared" si="100"/>
        <v/>
      </c>
      <c r="Q803" s="242" t="str">
        <f t="shared" si="101"/>
        <v/>
      </c>
      <c r="R803" s="243" t="str">
        <f t="shared" si="104"/>
        <v/>
      </c>
      <c r="S803" s="244" t="str">
        <f t="shared" si="102"/>
        <v/>
      </c>
      <c r="T803" s="245" t="str">
        <f t="shared" si="105"/>
        <v/>
      </c>
      <c r="U803" s="246" t="str">
        <f t="shared" si="103"/>
        <v/>
      </c>
      <c r="V803" s="8"/>
      <c r="AR803" t="str">
        <f t="shared" si="107"/>
        <v/>
      </c>
      <c r="AS803" t="str">
        <f t="shared" si="106"/>
        <v/>
      </c>
    </row>
    <row r="804" spans="1:45" x14ac:dyDescent="0.3">
      <c r="A804" s="231"/>
      <c r="B804" s="235"/>
      <c r="C804" s="214"/>
      <c r="D804" s="214"/>
      <c r="E804" s="214"/>
      <c r="F804" s="214"/>
      <c r="G804" s="222"/>
      <c r="H804" s="221"/>
      <c r="I804" s="213"/>
      <c r="J804" s="213"/>
      <c r="K804" s="215"/>
      <c r="L804" s="216"/>
      <c r="M804" s="217"/>
      <c r="O804" s="241" t="str">
        <f>IF(Q804 = "", "", COUNT(Q$4:$Q804))</f>
        <v/>
      </c>
      <c r="P804" s="241" t="str">
        <f t="shared" si="100"/>
        <v/>
      </c>
      <c r="Q804" s="242" t="str">
        <f t="shared" si="101"/>
        <v/>
      </c>
      <c r="R804" s="243" t="str">
        <f t="shared" si="104"/>
        <v/>
      </c>
      <c r="S804" s="244" t="str">
        <f t="shared" si="102"/>
        <v/>
      </c>
      <c r="T804" s="245" t="str">
        <f t="shared" si="105"/>
        <v/>
      </c>
      <c r="U804" s="246" t="str">
        <f t="shared" si="103"/>
        <v/>
      </c>
      <c r="V804" s="8"/>
      <c r="AR804" t="str">
        <f t="shared" si="107"/>
        <v/>
      </c>
      <c r="AS804" t="str">
        <f t="shared" si="106"/>
        <v/>
      </c>
    </row>
    <row r="805" spans="1:45" x14ac:dyDescent="0.3">
      <c r="A805" s="231"/>
      <c r="B805" s="235"/>
      <c r="C805" s="214"/>
      <c r="D805" s="214"/>
      <c r="E805" s="214"/>
      <c r="F805" s="214"/>
      <c r="G805" s="222"/>
      <c r="H805" s="221"/>
      <c r="I805" s="213"/>
      <c r="J805" s="213"/>
      <c r="K805" s="215"/>
      <c r="L805" s="216"/>
      <c r="M805" s="217"/>
      <c r="O805" s="241" t="str">
        <f>IF(Q805 = "", "", COUNT(Q$4:$Q805))</f>
        <v/>
      </c>
      <c r="P805" s="241" t="str">
        <f t="shared" si="100"/>
        <v/>
      </c>
      <c r="Q805" s="242" t="str">
        <f t="shared" si="101"/>
        <v/>
      </c>
      <c r="R805" s="243" t="str">
        <f t="shared" si="104"/>
        <v/>
      </c>
      <c r="S805" s="244" t="str">
        <f t="shared" si="102"/>
        <v/>
      </c>
      <c r="T805" s="245" t="str">
        <f t="shared" si="105"/>
        <v/>
      </c>
      <c r="U805" s="246" t="str">
        <f t="shared" si="103"/>
        <v/>
      </c>
      <c r="V805" s="8"/>
      <c r="AR805" t="str">
        <f t="shared" si="107"/>
        <v/>
      </c>
      <c r="AS805" t="str">
        <f t="shared" si="106"/>
        <v/>
      </c>
    </row>
    <row r="806" spans="1:45" x14ac:dyDescent="0.3">
      <c r="A806" s="231"/>
      <c r="B806" s="235"/>
      <c r="C806" s="214"/>
      <c r="D806" s="214"/>
      <c r="E806" s="214"/>
      <c r="F806" s="214"/>
      <c r="G806" s="222"/>
      <c r="H806" s="221"/>
      <c r="I806" s="213"/>
      <c r="J806" s="213"/>
      <c r="K806" s="215"/>
      <c r="L806" s="216"/>
      <c r="M806" s="217"/>
      <c r="O806" s="241" t="str">
        <f>IF(Q806 = "", "", COUNT(Q$4:$Q806))</f>
        <v/>
      </c>
      <c r="P806" s="241" t="str">
        <f t="shared" si="100"/>
        <v/>
      </c>
      <c r="Q806" s="242" t="str">
        <f t="shared" si="101"/>
        <v/>
      </c>
      <c r="R806" s="243" t="str">
        <f t="shared" si="104"/>
        <v/>
      </c>
      <c r="S806" s="244" t="str">
        <f t="shared" si="102"/>
        <v/>
      </c>
      <c r="T806" s="245" t="str">
        <f t="shared" si="105"/>
        <v/>
      </c>
      <c r="U806" s="246" t="str">
        <f t="shared" si="103"/>
        <v/>
      </c>
      <c r="V806" s="8"/>
      <c r="AR806" t="str">
        <f t="shared" si="107"/>
        <v/>
      </c>
      <c r="AS806" t="str">
        <f t="shared" si="106"/>
        <v/>
      </c>
    </row>
    <row r="807" spans="1:45" x14ac:dyDescent="0.3">
      <c r="A807" s="231"/>
      <c r="B807" s="235"/>
      <c r="C807" s="214"/>
      <c r="D807" s="214"/>
      <c r="E807" s="214"/>
      <c r="F807" s="214"/>
      <c r="G807" s="222"/>
      <c r="H807" s="221"/>
      <c r="I807" s="213"/>
      <c r="J807" s="213"/>
      <c r="K807" s="215"/>
      <c r="L807" s="216"/>
      <c r="M807" s="217"/>
      <c r="O807" s="241" t="str">
        <f>IF(Q807 = "", "", COUNT(Q$4:$Q807))</f>
        <v/>
      </c>
      <c r="P807" s="241" t="str">
        <f t="shared" si="100"/>
        <v/>
      </c>
      <c r="Q807" s="242" t="str">
        <f t="shared" si="101"/>
        <v/>
      </c>
      <c r="R807" s="243" t="str">
        <f t="shared" si="104"/>
        <v/>
      </c>
      <c r="S807" s="244" t="str">
        <f t="shared" si="102"/>
        <v/>
      </c>
      <c r="T807" s="245" t="str">
        <f t="shared" si="105"/>
        <v/>
      </c>
      <c r="U807" s="246" t="str">
        <f t="shared" si="103"/>
        <v/>
      </c>
      <c r="V807" s="8"/>
      <c r="AR807" t="str">
        <f t="shared" si="107"/>
        <v/>
      </c>
      <c r="AS807" t="str">
        <f t="shared" si="106"/>
        <v/>
      </c>
    </row>
    <row r="808" spans="1:45" x14ac:dyDescent="0.3">
      <c r="A808" s="231"/>
      <c r="B808" s="235"/>
      <c r="C808" s="214"/>
      <c r="D808" s="214"/>
      <c r="E808" s="214"/>
      <c r="F808" s="214"/>
      <c r="G808" s="222"/>
      <c r="H808" s="221"/>
      <c r="I808" s="213"/>
      <c r="J808" s="213"/>
      <c r="K808" s="215"/>
      <c r="L808" s="216"/>
      <c r="M808" s="217"/>
      <c r="O808" s="241" t="str">
        <f>IF(Q808 = "", "", COUNT(Q$4:$Q808))</f>
        <v/>
      </c>
      <c r="P808" s="241" t="str">
        <f t="shared" si="100"/>
        <v/>
      </c>
      <c r="Q808" s="242" t="str">
        <f t="shared" si="101"/>
        <v/>
      </c>
      <c r="R808" s="243" t="str">
        <f t="shared" si="104"/>
        <v/>
      </c>
      <c r="S808" s="244" t="str">
        <f t="shared" si="102"/>
        <v/>
      </c>
      <c r="T808" s="245" t="str">
        <f t="shared" si="105"/>
        <v/>
      </c>
      <c r="U808" s="246" t="str">
        <f t="shared" si="103"/>
        <v/>
      </c>
      <c r="V808" s="8"/>
      <c r="AR808" t="str">
        <f t="shared" si="107"/>
        <v/>
      </c>
      <c r="AS808" t="str">
        <f t="shared" si="106"/>
        <v/>
      </c>
    </row>
    <row r="809" spans="1:45" x14ac:dyDescent="0.3">
      <c r="A809" s="231"/>
      <c r="B809" s="235"/>
      <c r="C809" s="214"/>
      <c r="D809" s="214"/>
      <c r="E809" s="214"/>
      <c r="F809" s="214"/>
      <c r="G809" s="222"/>
      <c r="H809" s="221"/>
      <c r="I809" s="213"/>
      <c r="J809" s="213"/>
      <c r="K809" s="215"/>
      <c r="L809" s="216"/>
      <c r="M809" s="217"/>
      <c r="O809" s="241" t="str">
        <f>IF(Q809 = "", "", COUNT(Q$4:$Q809))</f>
        <v/>
      </c>
      <c r="P809" s="241" t="str">
        <f t="shared" si="100"/>
        <v/>
      </c>
      <c r="Q809" s="242" t="str">
        <f t="shared" si="101"/>
        <v/>
      </c>
      <c r="R809" s="243" t="str">
        <f t="shared" si="104"/>
        <v/>
      </c>
      <c r="S809" s="244" t="str">
        <f t="shared" si="102"/>
        <v/>
      </c>
      <c r="T809" s="245" t="str">
        <f t="shared" si="105"/>
        <v/>
      </c>
      <c r="U809" s="246" t="str">
        <f t="shared" si="103"/>
        <v/>
      </c>
      <c r="V809" s="8"/>
      <c r="AR809" t="str">
        <f t="shared" si="107"/>
        <v/>
      </c>
      <c r="AS809" t="str">
        <f t="shared" si="106"/>
        <v/>
      </c>
    </row>
    <row r="810" spans="1:45" x14ac:dyDescent="0.3">
      <c r="A810" s="231"/>
      <c r="B810" s="235"/>
      <c r="C810" s="214"/>
      <c r="D810" s="214"/>
      <c r="E810" s="214"/>
      <c r="F810" s="214"/>
      <c r="G810" s="222"/>
      <c r="H810" s="221"/>
      <c r="I810" s="213"/>
      <c r="J810" s="213"/>
      <c r="K810" s="215"/>
      <c r="L810" s="216"/>
      <c r="M810" s="217"/>
      <c r="O810" s="241" t="str">
        <f>IF(Q810 = "", "", COUNT(Q$4:$Q810))</f>
        <v/>
      </c>
      <c r="P810" s="241" t="str">
        <f t="shared" si="100"/>
        <v/>
      </c>
      <c r="Q810" s="242" t="str">
        <f t="shared" si="101"/>
        <v/>
      </c>
      <c r="R810" s="243" t="str">
        <f t="shared" si="104"/>
        <v/>
      </c>
      <c r="S810" s="244" t="str">
        <f t="shared" si="102"/>
        <v/>
      </c>
      <c r="T810" s="245" t="str">
        <f t="shared" si="105"/>
        <v/>
      </c>
      <c r="U810" s="246" t="str">
        <f t="shared" si="103"/>
        <v/>
      </c>
      <c r="V810" s="8"/>
      <c r="AR810" t="str">
        <f t="shared" si="107"/>
        <v/>
      </c>
      <c r="AS810" t="str">
        <f t="shared" si="106"/>
        <v/>
      </c>
    </row>
    <row r="811" spans="1:45" x14ac:dyDescent="0.3">
      <c r="A811" s="231"/>
      <c r="B811" s="235"/>
      <c r="C811" s="214"/>
      <c r="D811" s="214"/>
      <c r="E811" s="214"/>
      <c r="F811" s="214"/>
      <c r="G811" s="222"/>
      <c r="H811" s="221"/>
      <c r="I811" s="213"/>
      <c r="J811" s="213"/>
      <c r="K811" s="215"/>
      <c r="L811" s="216"/>
      <c r="M811" s="217"/>
      <c r="O811" s="241" t="str">
        <f>IF(Q811 = "", "", COUNT(Q$4:$Q811))</f>
        <v/>
      </c>
      <c r="P811" s="241" t="str">
        <f t="shared" si="100"/>
        <v/>
      </c>
      <c r="Q811" s="242" t="str">
        <f t="shared" si="101"/>
        <v/>
      </c>
      <c r="R811" s="243" t="str">
        <f t="shared" si="104"/>
        <v/>
      </c>
      <c r="S811" s="244" t="str">
        <f t="shared" si="102"/>
        <v/>
      </c>
      <c r="T811" s="245" t="str">
        <f t="shared" si="105"/>
        <v/>
      </c>
      <c r="U811" s="246" t="str">
        <f t="shared" si="103"/>
        <v/>
      </c>
      <c r="V811" s="8"/>
      <c r="AR811" t="str">
        <f t="shared" si="107"/>
        <v/>
      </c>
      <c r="AS811" t="str">
        <f t="shared" si="106"/>
        <v/>
      </c>
    </row>
    <row r="812" spans="1:45" x14ac:dyDescent="0.3">
      <c r="A812" s="231"/>
      <c r="B812" s="235"/>
      <c r="C812" s="214"/>
      <c r="D812" s="214"/>
      <c r="E812" s="214"/>
      <c r="F812" s="214"/>
      <c r="G812" s="222"/>
      <c r="H812" s="221"/>
      <c r="I812" s="213"/>
      <c r="J812" s="213"/>
      <c r="K812" s="215"/>
      <c r="L812" s="216"/>
      <c r="M812" s="217"/>
      <c r="O812" s="241" t="str">
        <f>IF(Q812 = "", "", COUNT(Q$4:$Q812))</f>
        <v/>
      </c>
      <c r="P812" s="241" t="str">
        <f t="shared" si="100"/>
        <v/>
      </c>
      <c r="Q812" s="242" t="str">
        <f t="shared" si="101"/>
        <v/>
      </c>
      <c r="R812" s="243" t="str">
        <f t="shared" si="104"/>
        <v/>
      </c>
      <c r="S812" s="244" t="str">
        <f t="shared" si="102"/>
        <v/>
      </c>
      <c r="T812" s="245" t="str">
        <f t="shared" si="105"/>
        <v/>
      </c>
      <c r="U812" s="246" t="str">
        <f t="shared" si="103"/>
        <v/>
      </c>
      <c r="V812" s="8"/>
      <c r="AR812" t="str">
        <f t="shared" si="107"/>
        <v/>
      </c>
      <c r="AS812" t="str">
        <f t="shared" si="106"/>
        <v/>
      </c>
    </row>
    <row r="813" spans="1:45" x14ac:dyDescent="0.3">
      <c r="A813" s="231"/>
      <c r="B813" s="235"/>
      <c r="C813" s="214"/>
      <c r="D813" s="214"/>
      <c r="E813" s="214"/>
      <c r="F813" s="214"/>
      <c r="G813" s="222"/>
      <c r="H813" s="221"/>
      <c r="I813" s="213"/>
      <c r="J813" s="213"/>
      <c r="K813" s="215"/>
      <c r="L813" s="216"/>
      <c r="M813" s="217"/>
      <c r="O813" s="241" t="str">
        <f>IF(Q813 = "", "", COUNT(Q$4:$Q813))</f>
        <v/>
      </c>
      <c r="P813" s="241" t="str">
        <f t="shared" si="100"/>
        <v/>
      </c>
      <c r="Q813" s="242" t="str">
        <f t="shared" si="101"/>
        <v/>
      </c>
      <c r="R813" s="243" t="str">
        <f t="shared" si="104"/>
        <v/>
      </c>
      <c r="S813" s="244" t="str">
        <f t="shared" si="102"/>
        <v/>
      </c>
      <c r="T813" s="245" t="str">
        <f t="shared" si="105"/>
        <v/>
      </c>
      <c r="U813" s="246" t="str">
        <f t="shared" si="103"/>
        <v/>
      </c>
      <c r="V813" s="8"/>
      <c r="AR813" t="str">
        <f t="shared" si="107"/>
        <v/>
      </c>
      <c r="AS813" t="str">
        <f t="shared" si="106"/>
        <v/>
      </c>
    </row>
    <row r="814" spans="1:45" x14ac:dyDescent="0.3">
      <c r="A814" s="231"/>
      <c r="B814" s="235"/>
      <c r="C814" s="214"/>
      <c r="D814" s="214"/>
      <c r="E814" s="214"/>
      <c r="F814" s="214"/>
      <c r="G814" s="222"/>
      <c r="H814" s="221"/>
      <c r="I814" s="213"/>
      <c r="J814" s="213"/>
      <c r="K814" s="215"/>
      <c r="L814" s="216"/>
      <c r="M814" s="217"/>
      <c r="O814" s="241" t="str">
        <f>IF(Q814 = "", "", COUNT(Q$4:$Q814))</f>
        <v/>
      </c>
      <c r="P814" s="241" t="str">
        <f t="shared" si="100"/>
        <v/>
      </c>
      <c r="Q814" s="242" t="str">
        <f t="shared" si="101"/>
        <v/>
      </c>
      <c r="R814" s="243" t="str">
        <f t="shared" si="104"/>
        <v/>
      </c>
      <c r="S814" s="244" t="str">
        <f t="shared" si="102"/>
        <v/>
      </c>
      <c r="T814" s="245" t="str">
        <f t="shared" si="105"/>
        <v/>
      </c>
      <c r="U814" s="246" t="str">
        <f t="shared" si="103"/>
        <v/>
      </c>
      <c r="V814" s="8"/>
      <c r="AR814" t="str">
        <f t="shared" si="107"/>
        <v/>
      </c>
      <c r="AS814" t="str">
        <f t="shared" si="106"/>
        <v/>
      </c>
    </row>
    <row r="815" spans="1:45" x14ac:dyDescent="0.3">
      <c r="A815" s="231"/>
      <c r="B815" s="235"/>
      <c r="C815" s="214"/>
      <c r="D815" s="214"/>
      <c r="E815" s="214"/>
      <c r="F815" s="214"/>
      <c r="G815" s="222"/>
      <c r="H815" s="221"/>
      <c r="I815" s="213"/>
      <c r="J815" s="213"/>
      <c r="K815" s="215"/>
      <c r="L815" s="216"/>
      <c r="M815" s="217"/>
      <c r="O815" s="241" t="str">
        <f>IF(Q815 = "", "", COUNT(Q$4:$Q815))</f>
        <v/>
      </c>
      <c r="P815" s="241" t="str">
        <f t="shared" si="100"/>
        <v/>
      </c>
      <c r="Q815" s="242" t="str">
        <f t="shared" si="101"/>
        <v/>
      </c>
      <c r="R815" s="243" t="str">
        <f t="shared" si="104"/>
        <v/>
      </c>
      <c r="S815" s="244" t="str">
        <f t="shared" si="102"/>
        <v/>
      </c>
      <c r="T815" s="245" t="str">
        <f t="shared" si="105"/>
        <v/>
      </c>
      <c r="U815" s="246" t="str">
        <f t="shared" si="103"/>
        <v/>
      </c>
      <c r="V815" s="8"/>
      <c r="AR815" t="str">
        <f t="shared" si="107"/>
        <v/>
      </c>
      <c r="AS815" t="str">
        <f t="shared" si="106"/>
        <v/>
      </c>
    </row>
    <row r="816" spans="1:45" x14ac:dyDescent="0.3">
      <c r="A816" s="231"/>
      <c r="B816" s="235"/>
      <c r="C816" s="214"/>
      <c r="D816" s="214"/>
      <c r="E816" s="214"/>
      <c r="F816" s="214"/>
      <c r="G816" s="222"/>
      <c r="H816" s="221"/>
      <c r="I816" s="213"/>
      <c r="J816" s="213"/>
      <c r="K816" s="215"/>
      <c r="L816" s="216"/>
      <c r="M816" s="217"/>
      <c r="O816" s="241" t="str">
        <f>IF(Q816 = "", "", COUNT(Q$4:$Q816))</f>
        <v/>
      </c>
      <c r="P816" s="241" t="str">
        <f t="shared" si="100"/>
        <v/>
      </c>
      <c r="Q816" s="242" t="str">
        <f t="shared" si="101"/>
        <v/>
      </c>
      <c r="R816" s="243" t="str">
        <f t="shared" si="104"/>
        <v/>
      </c>
      <c r="S816" s="244" t="str">
        <f t="shared" si="102"/>
        <v/>
      </c>
      <c r="T816" s="245" t="str">
        <f t="shared" si="105"/>
        <v/>
      </c>
      <c r="U816" s="246" t="str">
        <f t="shared" si="103"/>
        <v/>
      </c>
      <c r="V816" s="8"/>
      <c r="AR816" t="str">
        <f t="shared" si="107"/>
        <v/>
      </c>
      <c r="AS816" t="str">
        <f t="shared" si="106"/>
        <v/>
      </c>
    </row>
    <row r="817" spans="1:45" x14ac:dyDescent="0.3">
      <c r="A817" s="231"/>
      <c r="B817" s="235"/>
      <c r="C817" s="214"/>
      <c r="D817" s="214"/>
      <c r="E817" s="214"/>
      <c r="F817" s="214"/>
      <c r="G817" s="222"/>
      <c r="H817" s="221"/>
      <c r="I817" s="213"/>
      <c r="J817" s="213"/>
      <c r="K817" s="215"/>
      <c r="L817" s="216"/>
      <c r="M817" s="217"/>
      <c r="O817" s="241" t="str">
        <f>IF(Q817 = "", "", COUNT(Q$4:$Q817))</f>
        <v/>
      </c>
      <c r="P817" s="241" t="str">
        <f t="shared" si="100"/>
        <v/>
      </c>
      <c r="Q817" s="242" t="str">
        <f t="shared" si="101"/>
        <v/>
      </c>
      <c r="R817" s="243" t="str">
        <f t="shared" si="104"/>
        <v/>
      </c>
      <c r="S817" s="244" t="str">
        <f t="shared" si="102"/>
        <v/>
      </c>
      <c r="T817" s="245" t="str">
        <f t="shared" si="105"/>
        <v/>
      </c>
      <c r="U817" s="246" t="str">
        <f t="shared" si="103"/>
        <v/>
      </c>
      <c r="V817" s="8"/>
      <c r="AR817" t="str">
        <f t="shared" si="107"/>
        <v/>
      </c>
      <c r="AS817" t="str">
        <f t="shared" si="106"/>
        <v/>
      </c>
    </row>
    <row r="818" spans="1:45" x14ac:dyDescent="0.3">
      <c r="A818" s="231"/>
      <c r="B818" s="235"/>
      <c r="C818" s="214"/>
      <c r="D818" s="214"/>
      <c r="E818" s="214"/>
      <c r="F818" s="214"/>
      <c r="G818" s="222"/>
      <c r="H818" s="221"/>
      <c r="I818" s="213"/>
      <c r="J818" s="213"/>
      <c r="K818" s="215"/>
      <c r="L818" s="216"/>
      <c r="M818" s="217"/>
      <c r="O818" s="241" t="str">
        <f>IF(Q818 = "", "", COUNT(Q$4:$Q818))</f>
        <v/>
      </c>
      <c r="P818" s="241" t="str">
        <f t="shared" si="100"/>
        <v/>
      </c>
      <c r="Q818" s="242" t="str">
        <f t="shared" si="101"/>
        <v/>
      </c>
      <c r="R818" s="243" t="str">
        <f t="shared" si="104"/>
        <v/>
      </c>
      <c r="S818" s="244" t="str">
        <f t="shared" si="102"/>
        <v/>
      </c>
      <c r="T818" s="245" t="str">
        <f t="shared" si="105"/>
        <v/>
      </c>
      <c r="U818" s="246" t="str">
        <f t="shared" si="103"/>
        <v/>
      </c>
      <c r="V818" s="8"/>
      <c r="AR818" t="str">
        <f t="shared" si="107"/>
        <v/>
      </c>
      <c r="AS818" t="str">
        <f t="shared" si="106"/>
        <v/>
      </c>
    </row>
    <row r="819" spans="1:45" x14ac:dyDescent="0.3">
      <c r="A819" s="231"/>
      <c r="B819" s="235"/>
      <c r="C819" s="214"/>
      <c r="D819" s="214"/>
      <c r="E819" s="214"/>
      <c r="F819" s="214"/>
      <c r="G819" s="222"/>
      <c r="H819" s="221"/>
      <c r="I819" s="213"/>
      <c r="J819" s="213"/>
      <c r="K819" s="215"/>
      <c r="L819" s="216"/>
      <c r="M819" s="217"/>
      <c r="O819" s="241" t="str">
        <f>IF(Q819 = "", "", COUNT(Q$4:$Q819))</f>
        <v/>
      </c>
      <c r="P819" s="241" t="str">
        <f t="shared" si="100"/>
        <v/>
      </c>
      <c r="Q819" s="242" t="str">
        <f t="shared" si="101"/>
        <v/>
      </c>
      <c r="R819" s="243" t="str">
        <f t="shared" si="104"/>
        <v/>
      </c>
      <c r="S819" s="244" t="str">
        <f t="shared" si="102"/>
        <v/>
      </c>
      <c r="T819" s="245" t="str">
        <f t="shared" si="105"/>
        <v/>
      </c>
      <c r="U819" s="246" t="str">
        <f t="shared" si="103"/>
        <v/>
      </c>
      <c r="V819" s="8"/>
      <c r="AR819" t="str">
        <f t="shared" si="107"/>
        <v/>
      </c>
      <c r="AS819" t="str">
        <f t="shared" si="106"/>
        <v/>
      </c>
    </row>
    <row r="820" spans="1:45" x14ac:dyDescent="0.3">
      <c r="A820" s="231"/>
      <c r="B820" s="235"/>
      <c r="C820" s="214"/>
      <c r="D820" s="214"/>
      <c r="E820" s="214"/>
      <c r="F820" s="214"/>
      <c r="G820" s="222"/>
      <c r="H820" s="221"/>
      <c r="I820" s="213"/>
      <c r="J820" s="213"/>
      <c r="K820" s="215"/>
      <c r="L820" s="216"/>
      <c r="M820" s="217"/>
      <c r="O820" s="241" t="str">
        <f>IF(Q820 = "", "", COUNT(Q$4:$Q820))</f>
        <v/>
      </c>
      <c r="P820" s="241" t="str">
        <f t="shared" si="100"/>
        <v/>
      </c>
      <c r="Q820" s="242" t="str">
        <f t="shared" si="101"/>
        <v/>
      </c>
      <c r="R820" s="243" t="str">
        <f t="shared" si="104"/>
        <v/>
      </c>
      <c r="S820" s="244" t="str">
        <f t="shared" si="102"/>
        <v/>
      </c>
      <c r="T820" s="245" t="str">
        <f t="shared" si="105"/>
        <v/>
      </c>
      <c r="U820" s="246" t="str">
        <f t="shared" si="103"/>
        <v/>
      </c>
      <c r="V820" s="8"/>
      <c r="AR820" t="str">
        <f t="shared" si="107"/>
        <v/>
      </c>
      <c r="AS820" t="str">
        <f t="shared" si="106"/>
        <v/>
      </c>
    </row>
    <row r="821" spans="1:45" x14ac:dyDescent="0.3">
      <c r="A821" s="231"/>
      <c r="B821" s="235"/>
      <c r="C821" s="214"/>
      <c r="D821" s="214"/>
      <c r="E821" s="214"/>
      <c r="F821" s="214"/>
      <c r="G821" s="222"/>
      <c r="H821" s="221"/>
      <c r="I821" s="213"/>
      <c r="J821" s="213"/>
      <c r="K821" s="215"/>
      <c r="L821" s="216"/>
      <c r="M821" s="217"/>
      <c r="O821" s="241" t="str">
        <f>IF(Q821 = "", "", COUNT(Q$4:$Q821))</f>
        <v/>
      </c>
      <c r="P821" s="241" t="str">
        <f t="shared" si="100"/>
        <v/>
      </c>
      <c r="Q821" s="242" t="str">
        <f t="shared" si="101"/>
        <v/>
      </c>
      <c r="R821" s="243" t="str">
        <f t="shared" si="104"/>
        <v/>
      </c>
      <c r="S821" s="244" t="str">
        <f t="shared" si="102"/>
        <v/>
      </c>
      <c r="T821" s="245" t="str">
        <f t="shared" si="105"/>
        <v/>
      </c>
      <c r="U821" s="246" t="str">
        <f t="shared" si="103"/>
        <v/>
      </c>
      <c r="V821" s="8"/>
      <c r="AR821" t="str">
        <f t="shared" si="107"/>
        <v/>
      </c>
      <c r="AS821" t="str">
        <f t="shared" si="106"/>
        <v/>
      </c>
    </row>
    <row r="822" spans="1:45" x14ac:dyDescent="0.3">
      <c r="A822" s="231"/>
      <c r="B822" s="235"/>
      <c r="C822" s="214"/>
      <c r="D822" s="214"/>
      <c r="E822" s="214"/>
      <c r="F822" s="214"/>
      <c r="G822" s="222"/>
      <c r="H822" s="221"/>
      <c r="I822" s="213"/>
      <c r="J822" s="213"/>
      <c r="K822" s="215"/>
      <c r="L822" s="216"/>
      <c r="M822" s="217"/>
      <c r="O822" s="241" t="str">
        <f>IF(Q822 = "", "", COUNT(Q$4:$Q822))</f>
        <v/>
      </c>
      <c r="P822" s="241" t="str">
        <f t="shared" si="100"/>
        <v/>
      </c>
      <c r="Q822" s="242" t="str">
        <f t="shared" si="101"/>
        <v/>
      </c>
      <c r="R822" s="243" t="str">
        <f t="shared" si="104"/>
        <v/>
      </c>
      <c r="S822" s="244" t="str">
        <f t="shared" si="102"/>
        <v/>
      </c>
      <c r="T822" s="245" t="str">
        <f t="shared" si="105"/>
        <v/>
      </c>
      <c r="U822" s="246" t="str">
        <f t="shared" si="103"/>
        <v/>
      </c>
      <c r="V822" s="8"/>
      <c r="AR822" t="str">
        <f t="shared" si="107"/>
        <v/>
      </c>
      <c r="AS822" t="str">
        <f t="shared" si="106"/>
        <v/>
      </c>
    </row>
    <row r="823" spans="1:45" x14ac:dyDescent="0.3">
      <c r="A823" s="231"/>
      <c r="B823" s="235"/>
      <c r="C823" s="214"/>
      <c r="D823" s="214"/>
      <c r="E823" s="214"/>
      <c r="F823" s="214"/>
      <c r="G823" s="222"/>
      <c r="H823" s="221"/>
      <c r="I823" s="213"/>
      <c r="J823" s="213"/>
      <c r="K823" s="215"/>
      <c r="L823" s="216"/>
      <c r="M823" s="217"/>
      <c r="O823" s="241" t="str">
        <f>IF(Q823 = "", "", COUNT(Q$4:$Q823))</f>
        <v/>
      </c>
      <c r="P823" s="241" t="str">
        <f t="shared" si="100"/>
        <v/>
      </c>
      <c r="Q823" s="242" t="str">
        <f t="shared" si="101"/>
        <v/>
      </c>
      <c r="R823" s="243" t="str">
        <f t="shared" si="104"/>
        <v/>
      </c>
      <c r="S823" s="244" t="str">
        <f t="shared" si="102"/>
        <v/>
      </c>
      <c r="T823" s="245" t="str">
        <f t="shared" si="105"/>
        <v/>
      </c>
      <c r="U823" s="246" t="str">
        <f t="shared" si="103"/>
        <v/>
      </c>
      <c r="V823" s="8"/>
      <c r="AR823" t="str">
        <f t="shared" si="107"/>
        <v/>
      </c>
      <c r="AS823" t="str">
        <f t="shared" si="106"/>
        <v/>
      </c>
    </row>
    <row r="824" spans="1:45" x14ac:dyDescent="0.3">
      <c r="A824" s="231"/>
      <c r="B824" s="235"/>
      <c r="C824" s="214"/>
      <c r="D824" s="214"/>
      <c r="E824" s="214"/>
      <c r="F824" s="214"/>
      <c r="G824" s="222"/>
      <c r="H824" s="221"/>
      <c r="I824" s="213"/>
      <c r="J824" s="213"/>
      <c r="K824" s="215"/>
      <c r="L824" s="216"/>
      <c r="M824" s="217"/>
      <c r="O824" s="241" t="str">
        <f>IF(Q824 = "", "", COUNT(Q$4:$Q824))</f>
        <v/>
      </c>
      <c r="P824" s="241" t="str">
        <f t="shared" si="100"/>
        <v/>
      </c>
      <c r="Q824" s="242" t="str">
        <f t="shared" si="101"/>
        <v/>
      </c>
      <c r="R824" s="243" t="str">
        <f t="shared" si="104"/>
        <v/>
      </c>
      <c r="S824" s="244" t="str">
        <f t="shared" si="102"/>
        <v/>
      </c>
      <c r="T824" s="245" t="str">
        <f t="shared" si="105"/>
        <v/>
      </c>
      <c r="U824" s="246" t="str">
        <f t="shared" si="103"/>
        <v/>
      </c>
      <c r="V824" s="8"/>
      <c r="AR824" t="str">
        <f t="shared" si="107"/>
        <v/>
      </c>
      <c r="AS824" t="str">
        <f t="shared" si="106"/>
        <v/>
      </c>
    </row>
    <row r="825" spans="1:45" x14ac:dyDescent="0.3">
      <c r="A825" s="231"/>
      <c r="B825" s="235"/>
      <c r="C825" s="214"/>
      <c r="D825" s="214"/>
      <c r="E825" s="214"/>
      <c r="F825" s="214"/>
      <c r="G825" s="222"/>
      <c r="H825" s="221"/>
      <c r="I825" s="213"/>
      <c r="J825" s="213"/>
      <c r="K825" s="215"/>
      <c r="L825" s="216"/>
      <c r="M825" s="217"/>
      <c r="O825" s="241" t="str">
        <f>IF(Q825 = "", "", COUNT(Q$4:$Q825))</f>
        <v/>
      </c>
      <c r="P825" s="241" t="str">
        <f t="shared" si="100"/>
        <v/>
      </c>
      <c r="Q825" s="242" t="str">
        <f t="shared" si="101"/>
        <v/>
      </c>
      <c r="R825" s="243" t="str">
        <f t="shared" si="104"/>
        <v/>
      </c>
      <c r="S825" s="244" t="str">
        <f t="shared" si="102"/>
        <v/>
      </c>
      <c r="T825" s="245" t="str">
        <f t="shared" si="105"/>
        <v/>
      </c>
      <c r="U825" s="246" t="str">
        <f t="shared" si="103"/>
        <v/>
      </c>
      <c r="V825" s="8"/>
      <c r="AR825" t="str">
        <f t="shared" si="107"/>
        <v/>
      </c>
      <c r="AS825" t="str">
        <f t="shared" si="106"/>
        <v/>
      </c>
    </row>
    <row r="826" spans="1:45" x14ac:dyDescent="0.3">
      <c r="A826" s="231"/>
      <c r="B826" s="235"/>
      <c r="C826" s="214"/>
      <c r="D826" s="214"/>
      <c r="E826" s="214"/>
      <c r="F826" s="214"/>
      <c r="G826" s="222"/>
      <c r="H826" s="221"/>
      <c r="I826" s="213"/>
      <c r="J826" s="213"/>
      <c r="K826" s="215"/>
      <c r="L826" s="216"/>
      <c r="M826" s="217"/>
      <c r="O826" s="241" t="str">
        <f>IF(Q826 = "", "", COUNT(Q$4:$Q826))</f>
        <v/>
      </c>
      <c r="P826" s="241" t="str">
        <f t="shared" si="100"/>
        <v/>
      </c>
      <c r="Q826" s="242" t="str">
        <f t="shared" si="101"/>
        <v/>
      </c>
      <c r="R826" s="243" t="str">
        <f t="shared" si="104"/>
        <v/>
      </c>
      <c r="S826" s="244" t="str">
        <f t="shared" si="102"/>
        <v/>
      </c>
      <c r="T826" s="245" t="str">
        <f t="shared" si="105"/>
        <v/>
      </c>
      <c r="U826" s="246" t="str">
        <f t="shared" si="103"/>
        <v/>
      </c>
      <c r="V826" s="8"/>
      <c r="AR826" t="str">
        <f t="shared" si="107"/>
        <v/>
      </c>
      <c r="AS826" t="str">
        <f t="shared" si="106"/>
        <v/>
      </c>
    </row>
    <row r="827" spans="1:45" x14ac:dyDescent="0.3">
      <c r="A827" s="231"/>
      <c r="B827" s="235"/>
      <c r="C827" s="214"/>
      <c r="D827" s="214"/>
      <c r="E827" s="214"/>
      <c r="F827" s="214"/>
      <c r="G827" s="222"/>
      <c r="H827" s="221"/>
      <c r="I827" s="213"/>
      <c r="J827" s="213"/>
      <c r="K827" s="215"/>
      <c r="L827" s="216"/>
      <c r="M827" s="217"/>
      <c r="O827" s="241" t="str">
        <f>IF(Q827 = "", "", COUNT(Q$4:$Q827))</f>
        <v/>
      </c>
      <c r="P827" s="241" t="str">
        <f t="shared" si="100"/>
        <v/>
      </c>
      <c r="Q827" s="242" t="str">
        <f t="shared" si="101"/>
        <v/>
      </c>
      <c r="R827" s="243" t="str">
        <f t="shared" si="104"/>
        <v/>
      </c>
      <c r="S827" s="244" t="str">
        <f t="shared" si="102"/>
        <v/>
      </c>
      <c r="T827" s="245" t="str">
        <f t="shared" si="105"/>
        <v/>
      </c>
      <c r="U827" s="246" t="str">
        <f t="shared" si="103"/>
        <v/>
      </c>
      <c r="V827" s="8"/>
      <c r="AR827" t="str">
        <f t="shared" si="107"/>
        <v/>
      </c>
      <c r="AS827" t="str">
        <f t="shared" si="106"/>
        <v/>
      </c>
    </row>
    <row r="828" spans="1:45" x14ac:dyDescent="0.3">
      <c r="A828" s="231"/>
      <c r="B828" s="235"/>
      <c r="C828" s="214"/>
      <c r="D828" s="214"/>
      <c r="E828" s="214"/>
      <c r="F828" s="214"/>
      <c r="G828" s="222"/>
      <c r="H828" s="221"/>
      <c r="I828" s="213"/>
      <c r="J828" s="213"/>
      <c r="K828" s="215"/>
      <c r="L828" s="216"/>
      <c r="M828" s="217"/>
      <c r="O828" s="241" t="str">
        <f>IF(Q828 = "", "", COUNT(Q$4:$Q828))</f>
        <v/>
      </c>
      <c r="P828" s="241" t="str">
        <f t="shared" si="100"/>
        <v/>
      </c>
      <c r="Q828" s="242" t="str">
        <f t="shared" si="101"/>
        <v/>
      </c>
      <c r="R828" s="243" t="str">
        <f t="shared" si="104"/>
        <v/>
      </c>
      <c r="S828" s="244" t="str">
        <f t="shared" si="102"/>
        <v/>
      </c>
      <c r="T828" s="245" t="str">
        <f t="shared" si="105"/>
        <v/>
      </c>
      <c r="U828" s="246" t="str">
        <f t="shared" si="103"/>
        <v/>
      </c>
      <c r="V828" s="8"/>
      <c r="AR828" t="str">
        <f t="shared" si="107"/>
        <v/>
      </c>
      <c r="AS828" t="str">
        <f t="shared" si="106"/>
        <v/>
      </c>
    </row>
    <row r="829" spans="1:45" x14ac:dyDescent="0.3">
      <c r="A829" s="231"/>
      <c r="B829" s="235"/>
      <c r="C829" s="214"/>
      <c r="D829" s="214"/>
      <c r="E829" s="214"/>
      <c r="F829" s="214"/>
      <c r="G829" s="222"/>
      <c r="H829" s="221"/>
      <c r="I829" s="213"/>
      <c r="J829" s="213"/>
      <c r="K829" s="215"/>
      <c r="L829" s="216"/>
      <c r="M829" s="217"/>
      <c r="O829" s="241" t="str">
        <f>IF(Q829 = "", "", COUNT(Q$4:$Q829))</f>
        <v/>
      </c>
      <c r="P829" s="241" t="str">
        <f t="shared" si="100"/>
        <v/>
      </c>
      <c r="Q829" s="242" t="str">
        <f t="shared" si="101"/>
        <v/>
      </c>
      <c r="R829" s="243" t="str">
        <f t="shared" si="104"/>
        <v/>
      </c>
      <c r="S829" s="244" t="str">
        <f t="shared" si="102"/>
        <v/>
      </c>
      <c r="T829" s="245" t="str">
        <f t="shared" si="105"/>
        <v/>
      </c>
      <c r="U829" s="246" t="str">
        <f t="shared" si="103"/>
        <v/>
      </c>
      <c r="V829" s="8"/>
      <c r="AR829" t="str">
        <f t="shared" si="107"/>
        <v/>
      </c>
      <c r="AS829" t="str">
        <f t="shared" si="106"/>
        <v/>
      </c>
    </row>
    <row r="830" spans="1:45" x14ac:dyDescent="0.3">
      <c r="A830" s="231"/>
      <c r="B830" s="235"/>
      <c r="C830" s="214"/>
      <c r="D830" s="214"/>
      <c r="E830" s="214"/>
      <c r="F830" s="214"/>
      <c r="G830" s="222"/>
      <c r="H830" s="221"/>
      <c r="I830" s="213"/>
      <c r="J830" s="213"/>
      <c r="K830" s="215"/>
      <c r="L830" s="216"/>
      <c r="M830" s="217"/>
      <c r="O830" s="241" t="str">
        <f>IF(Q830 = "", "", COUNT(Q$4:$Q830))</f>
        <v/>
      </c>
      <c r="P830" s="241" t="str">
        <f t="shared" si="100"/>
        <v/>
      </c>
      <c r="Q830" s="242" t="str">
        <f t="shared" si="101"/>
        <v/>
      </c>
      <c r="R830" s="243" t="str">
        <f t="shared" si="104"/>
        <v/>
      </c>
      <c r="S830" s="244" t="str">
        <f t="shared" si="102"/>
        <v/>
      </c>
      <c r="T830" s="245" t="str">
        <f t="shared" si="105"/>
        <v/>
      </c>
      <c r="U830" s="246" t="str">
        <f t="shared" si="103"/>
        <v/>
      </c>
      <c r="V830" s="8"/>
      <c r="AR830" t="str">
        <f t="shared" si="107"/>
        <v/>
      </c>
      <c r="AS830" t="str">
        <f t="shared" si="106"/>
        <v/>
      </c>
    </row>
    <row r="831" spans="1:45" x14ac:dyDescent="0.3">
      <c r="A831" s="231"/>
      <c r="B831" s="235"/>
      <c r="C831" s="214"/>
      <c r="D831" s="214"/>
      <c r="E831" s="214"/>
      <c r="F831" s="214"/>
      <c r="G831" s="222"/>
      <c r="H831" s="221"/>
      <c r="I831" s="213"/>
      <c r="J831" s="213"/>
      <c r="K831" s="215"/>
      <c r="L831" s="216"/>
      <c r="M831" s="217"/>
      <c r="O831" s="241" t="str">
        <f>IF(Q831 = "", "", COUNT(Q$4:$Q831))</f>
        <v/>
      </c>
      <c r="P831" s="241" t="str">
        <f t="shared" si="100"/>
        <v/>
      </c>
      <c r="Q831" s="242" t="str">
        <f t="shared" si="101"/>
        <v/>
      </c>
      <c r="R831" s="243" t="str">
        <f t="shared" si="104"/>
        <v/>
      </c>
      <c r="S831" s="244" t="str">
        <f t="shared" si="102"/>
        <v/>
      </c>
      <c r="T831" s="245" t="str">
        <f t="shared" si="105"/>
        <v/>
      </c>
      <c r="U831" s="246" t="str">
        <f t="shared" si="103"/>
        <v/>
      </c>
      <c r="V831" s="8"/>
      <c r="AR831" t="str">
        <f t="shared" si="107"/>
        <v/>
      </c>
      <c r="AS831" t="str">
        <f t="shared" si="106"/>
        <v/>
      </c>
    </row>
    <row r="832" spans="1:45" x14ac:dyDescent="0.3">
      <c r="A832" s="231"/>
      <c r="B832" s="235"/>
      <c r="C832" s="214"/>
      <c r="D832" s="214"/>
      <c r="E832" s="214"/>
      <c r="F832" s="214"/>
      <c r="G832" s="222"/>
      <c r="H832" s="221"/>
      <c r="I832" s="213"/>
      <c r="J832" s="213"/>
      <c r="K832" s="215"/>
      <c r="L832" s="216"/>
      <c r="M832" s="217"/>
      <c r="O832" s="241" t="str">
        <f>IF(Q832 = "", "", COUNT(Q$4:$Q832))</f>
        <v/>
      </c>
      <c r="P832" s="241" t="str">
        <f t="shared" si="100"/>
        <v/>
      </c>
      <c r="Q832" s="242" t="str">
        <f t="shared" si="101"/>
        <v/>
      </c>
      <c r="R832" s="243" t="str">
        <f t="shared" si="104"/>
        <v/>
      </c>
      <c r="S832" s="244" t="str">
        <f t="shared" si="102"/>
        <v/>
      </c>
      <c r="T832" s="245" t="str">
        <f t="shared" si="105"/>
        <v/>
      </c>
      <c r="U832" s="246" t="str">
        <f t="shared" si="103"/>
        <v/>
      </c>
      <c r="V832" s="8"/>
      <c r="AR832" t="str">
        <f t="shared" si="107"/>
        <v/>
      </c>
      <c r="AS832" t="str">
        <f t="shared" si="106"/>
        <v/>
      </c>
    </row>
    <row r="833" spans="1:45" x14ac:dyDescent="0.3">
      <c r="A833" s="231"/>
      <c r="B833" s="235"/>
      <c r="C833" s="214"/>
      <c r="D833" s="214"/>
      <c r="E833" s="214"/>
      <c r="F833" s="214"/>
      <c r="G833" s="222"/>
      <c r="H833" s="221"/>
      <c r="I833" s="213"/>
      <c r="J833" s="213"/>
      <c r="K833" s="215"/>
      <c r="L833" s="216"/>
      <c r="M833" s="217"/>
      <c r="O833" s="241" t="str">
        <f>IF(Q833 = "", "", COUNT(Q$4:$Q833))</f>
        <v/>
      </c>
      <c r="P833" s="241" t="str">
        <f t="shared" si="100"/>
        <v/>
      </c>
      <c r="Q833" s="242" t="str">
        <f t="shared" si="101"/>
        <v/>
      </c>
      <c r="R833" s="243" t="str">
        <f t="shared" si="104"/>
        <v/>
      </c>
      <c r="S833" s="244" t="str">
        <f t="shared" si="102"/>
        <v/>
      </c>
      <c r="T833" s="245" t="str">
        <f t="shared" si="105"/>
        <v/>
      </c>
      <c r="U833" s="246" t="str">
        <f t="shared" si="103"/>
        <v/>
      </c>
      <c r="V833" s="8"/>
      <c r="AR833" t="str">
        <f t="shared" si="107"/>
        <v/>
      </c>
      <c r="AS833" t="str">
        <f t="shared" si="106"/>
        <v/>
      </c>
    </row>
    <row r="834" spans="1:45" x14ac:dyDescent="0.3">
      <c r="A834" s="231"/>
      <c r="B834" s="235"/>
      <c r="C834" s="214"/>
      <c r="D834" s="214"/>
      <c r="E834" s="214"/>
      <c r="F834" s="214"/>
      <c r="G834" s="222"/>
      <c r="H834" s="221"/>
      <c r="I834" s="213"/>
      <c r="J834" s="213"/>
      <c r="K834" s="215"/>
      <c r="L834" s="216"/>
      <c r="M834" s="217"/>
      <c r="O834" s="241" t="str">
        <f>IF(Q834 = "", "", COUNT(Q$4:$Q834))</f>
        <v/>
      </c>
      <c r="P834" s="241" t="str">
        <f t="shared" si="100"/>
        <v/>
      </c>
      <c r="Q834" s="242" t="str">
        <f t="shared" si="101"/>
        <v/>
      </c>
      <c r="R834" s="243" t="str">
        <f t="shared" si="104"/>
        <v/>
      </c>
      <c r="S834" s="244" t="str">
        <f t="shared" si="102"/>
        <v/>
      </c>
      <c r="T834" s="245" t="str">
        <f t="shared" si="105"/>
        <v/>
      </c>
      <c r="U834" s="246" t="str">
        <f t="shared" si="103"/>
        <v/>
      </c>
      <c r="V834" s="8"/>
      <c r="AR834" t="str">
        <f t="shared" si="107"/>
        <v/>
      </c>
      <c r="AS834" t="str">
        <f t="shared" si="106"/>
        <v/>
      </c>
    </row>
    <row r="835" spans="1:45" x14ac:dyDescent="0.3">
      <c r="A835" s="231"/>
      <c r="B835" s="235"/>
      <c r="C835" s="214"/>
      <c r="D835" s="214"/>
      <c r="E835" s="214"/>
      <c r="F835" s="214"/>
      <c r="G835" s="222"/>
      <c r="H835" s="221"/>
      <c r="I835" s="213"/>
      <c r="J835" s="213"/>
      <c r="K835" s="215"/>
      <c r="L835" s="216"/>
      <c r="M835" s="217"/>
      <c r="O835" s="241" t="str">
        <f>IF(Q835 = "", "", COUNT(Q$4:$Q835))</f>
        <v/>
      </c>
      <c r="P835" s="241" t="str">
        <f t="shared" si="100"/>
        <v/>
      </c>
      <c r="Q835" s="242" t="str">
        <f t="shared" si="101"/>
        <v/>
      </c>
      <c r="R835" s="243" t="str">
        <f t="shared" si="104"/>
        <v/>
      </c>
      <c r="S835" s="244" t="str">
        <f t="shared" si="102"/>
        <v/>
      </c>
      <c r="T835" s="245" t="str">
        <f t="shared" si="105"/>
        <v/>
      </c>
      <c r="U835" s="246" t="str">
        <f t="shared" si="103"/>
        <v/>
      </c>
      <c r="V835" s="8"/>
      <c r="AR835" t="str">
        <f t="shared" si="107"/>
        <v/>
      </c>
      <c r="AS835" t="str">
        <f t="shared" si="106"/>
        <v/>
      </c>
    </row>
    <row r="836" spans="1:45" x14ac:dyDescent="0.3">
      <c r="A836" s="231"/>
      <c r="B836" s="235"/>
      <c r="C836" s="214"/>
      <c r="D836" s="214"/>
      <c r="E836" s="214"/>
      <c r="F836" s="214"/>
      <c r="G836" s="222"/>
      <c r="H836" s="221"/>
      <c r="I836" s="213"/>
      <c r="J836" s="213"/>
      <c r="K836" s="215"/>
      <c r="L836" s="216"/>
      <c r="M836" s="217"/>
      <c r="O836" s="241" t="str">
        <f>IF(Q836 = "", "", COUNT(Q$4:$Q836))</f>
        <v/>
      </c>
      <c r="P836" s="241" t="str">
        <f t="shared" ref="P836:P899" si="108">IF(C836 &gt; 0, YEAR(B836), "")</f>
        <v/>
      </c>
      <c r="Q836" s="242" t="str">
        <f t="shared" ref="Q836:Q899" si="109">IF(A836="", "", IF(G836="",1,IF(G836="O",1,IF(G836="C",8.4,IF(G836="B",8.4,IF(G836="A",76.8,IF(G836="K",76.8,"ERR")))))))</f>
        <v/>
      </c>
      <c r="R836" s="243" t="str">
        <f t="shared" si="104"/>
        <v/>
      </c>
      <c r="S836" s="244" t="str">
        <f t="shared" ref="S836:S899" si="110">IF(IF(L836&lt;&gt;"",G836,"")=0, "O", IF(L836&lt;&gt;"",G836,""))</f>
        <v/>
      </c>
      <c r="T836" s="245" t="str">
        <f t="shared" si="105"/>
        <v/>
      </c>
      <c r="U836" s="246" t="str">
        <f t="shared" ref="U836:U899" si="111">IF(IF(M836&lt;&gt;"",G836,"")=0, "O", IF(M836&lt;&gt;"",G836,""))</f>
        <v/>
      </c>
      <c r="V836" s="8"/>
      <c r="AR836" t="str">
        <f t="shared" si="107"/>
        <v/>
      </c>
      <c r="AS836" t="str">
        <f t="shared" si="106"/>
        <v/>
      </c>
    </row>
    <row r="837" spans="1:45" x14ac:dyDescent="0.3">
      <c r="A837" s="231"/>
      <c r="B837" s="235"/>
      <c r="C837" s="214"/>
      <c r="D837" s="214"/>
      <c r="E837" s="214"/>
      <c r="F837" s="214"/>
      <c r="G837" s="222"/>
      <c r="H837" s="221"/>
      <c r="I837" s="213"/>
      <c r="J837" s="213"/>
      <c r="K837" s="215"/>
      <c r="L837" s="216"/>
      <c r="M837" s="217"/>
      <c r="O837" s="241" t="str">
        <f>IF(Q837 = "", "", COUNT(Q$4:$Q837))</f>
        <v/>
      </c>
      <c r="P837" s="241" t="str">
        <f t="shared" si="108"/>
        <v/>
      </c>
      <c r="Q837" s="242" t="str">
        <f t="shared" si="109"/>
        <v/>
      </c>
      <c r="R837" s="243" t="str">
        <f t="shared" ref="R837:R900" si="112">IF(L837&lt;&gt;"",Q837,"")</f>
        <v/>
      </c>
      <c r="S837" s="244" t="str">
        <f t="shared" si="110"/>
        <v/>
      </c>
      <c r="T837" s="245" t="str">
        <f t="shared" ref="T837:T900" si="113">IF(M837&lt;&gt;"",Q837,"")</f>
        <v/>
      </c>
      <c r="U837" s="246" t="str">
        <f t="shared" si="111"/>
        <v/>
      </c>
      <c r="V837" s="8"/>
      <c r="AR837" t="str">
        <f t="shared" si="107"/>
        <v/>
      </c>
      <c r="AS837" t="str">
        <f t="shared" si="106"/>
        <v/>
      </c>
    </row>
    <row r="838" spans="1:45" x14ac:dyDescent="0.3">
      <c r="A838" s="231"/>
      <c r="B838" s="235"/>
      <c r="C838" s="214"/>
      <c r="D838" s="214"/>
      <c r="E838" s="214"/>
      <c r="F838" s="214"/>
      <c r="G838" s="222"/>
      <c r="H838" s="221"/>
      <c r="I838" s="213"/>
      <c r="J838" s="213"/>
      <c r="K838" s="215"/>
      <c r="L838" s="216"/>
      <c r="M838" s="217"/>
      <c r="O838" s="241" t="str">
        <f>IF(Q838 = "", "", COUNT(Q$4:$Q838))</f>
        <v/>
      </c>
      <c r="P838" s="241" t="str">
        <f t="shared" si="108"/>
        <v/>
      </c>
      <c r="Q838" s="242" t="str">
        <f t="shared" si="109"/>
        <v/>
      </c>
      <c r="R838" s="243" t="str">
        <f t="shared" si="112"/>
        <v/>
      </c>
      <c r="S838" s="244" t="str">
        <f t="shared" si="110"/>
        <v/>
      </c>
      <c r="T838" s="245" t="str">
        <f t="shared" si="113"/>
        <v/>
      </c>
      <c r="U838" s="246" t="str">
        <f t="shared" si="111"/>
        <v/>
      </c>
      <c r="V838" s="8"/>
      <c r="AR838" t="str">
        <f t="shared" si="107"/>
        <v/>
      </c>
      <c r="AS838" t="str">
        <f t="shared" si="106"/>
        <v/>
      </c>
    </row>
    <row r="839" spans="1:45" x14ac:dyDescent="0.3">
      <c r="A839" s="231"/>
      <c r="B839" s="235"/>
      <c r="C839" s="214"/>
      <c r="D839" s="214"/>
      <c r="E839" s="214"/>
      <c r="F839" s="214"/>
      <c r="G839" s="222"/>
      <c r="H839" s="221"/>
      <c r="I839" s="213"/>
      <c r="J839" s="213"/>
      <c r="K839" s="215"/>
      <c r="L839" s="216"/>
      <c r="M839" s="217"/>
      <c r="O839" s="241" t="str">
        <f>IF(Q839 = "", "", COUNT(Q$4:$Q839))</f>
        <v/>
      </c>
      <c r="P839" s="241" t="str">
        <f t="shared" si="108"/>
        <v/>
      </c>
      <c r="Q839" s="242" t="str">
        <f t="shared" si="109"/>
        <v/>
      </c>
      <c r="R839" s="243" t="str">
        <f t="shared" si="112"/>
        <v/>
      </c>
      <c r="S839" s="244" t="str">
        <f t="shared" si="110"/>
        <v/>
      </c>
      <c r="T839" s="245" t="str">
        <f t="shared" si="113"/>
        <v/>
      </c>
      <c r="U839" s="246" t="str">
        <f t="shared" si="111"/>
        <v/>
      </c>
      <c r="V839" s="8"/>
      <c r="AR839" t="str">
        <f t="shared" si="107"/>
        <v/>
      </c>
      <c r="AS839" t="str">
        <f t="shared" si="106"/>
        <v/>
      </c>
    </row>
    <row r="840" spans="1:45" x14ac:dyDescent="0.3">
      <c r="A840" s="231"/>
      <c r="B840" s="235"/>
      <c r="C840" s="214"/>
      <c r="D840" s="214"/>
      <c r="E840" s="214"/>
      <c r="F840" s="214"/>
      <c r="G840" s="222"/>
      <c r="H840" s="221"/>
      <c r="I840" s="213"/>
      <c r="J840" s="213"/>
      <c r="K840" s="215"/>
      <c r="L840" s="216"/>
      <c r="M840" s="217"/>
      <c r="O840" s="241" t="str">
        <f>IF(Q840 = "", "", COUNT(Q$4:$Q840))</f>
        <v/>
      </c>
      <c r="P840" s="241" t="str">
        <f t="shared" si="108"/>
        <v/>
      </c>
      <c r="Q840" s="242" t="str">
        <f t="shared" si="109"/>
        <v/>
      </c>
      <c r="R840" s="243" t="str">
        <f t="shared" si="112"/>
        <v/>
      </c>
      <c r="S840" s="244" t="str">
        <f t="shared" si="110"/>
        <v/>
      </c>
      <c r="T840" s="245" t="str">
        <f t="shared" si="113"/>
        <v/>
      </c>
      <c r="U840" s="246" t="str">
        <f t="shared" si="111"/>
        <v/>
      </c>
      <c r="V840" s="8"/>
      <c r="AR840" t="str">
        <f t="shared" si="107"/>
        <v/>
      </c>
      <c r="AS840" t="str">
        <f t="shared" si="106"/>
        <v/>
      </c>
    </row>
    <row r="841" spans="1:45" x14ac:dyDescent="0.3">
      <c r="A841" s="231"/>
      <c r="B841" s="235"/>
      <c r="C841" s="214"/>
      <c r="D841" s="214"/>
      <c r="E841" s="214"/>
      <c r="F841" s="214"/>
      <c r="G841" s="222"/>
      <c r="H841" s="221"/>
      <c r="I841" s="213"/>
      <c r="J841" s="213"/>
      <c r="K841" s="215"/>
      <c r="L841" s="216"/>
      <c r="M841" s="217"/>
      <c r="O841" s="241" t="str">
        <f>IF(Q841 = "", "", COUNT(Q$4:$Q841))</f>
        <v/>
      </c>
      <c r="P841" s="241" t="str">
        <f t="shared" si="108"/>
        <v/>
      </c>
      <c r="Q841" s="242" t="str">
        <f t="shared" si="109"/>
        <v/>
      </c>
      <c r="R841" s="243" t="str">
        <f t="shared" si="112"/>
        <v/>
      </c>
      <c r="S841" s="244" t="str">
        <f t="shared" si="110"/>
        <v/>
      </c>
      <c r="T841" s="245" t="str">
        <f t="shared" si="113"/>
        <v/>
      </c>
      <c r="U841" s="246" t="str">
        <f t="shared" si="111"/>
        <v/>
      </c>
      <c r="V841" s="8"/>
      <c r="AR841" t="str">
        <f t="shared" si="107"/>
        <v/>
      </c>
      <c r="AS841" t="str">
        <f t="shared" si="106"/>
        <v/>
      </c>
    </row>
    <row r="842" spans="1:45" x14ac:dyDescent="0.3">
      <c r="A842" s="231"/>
      <c r="B842" s="235"/>
      <c r="C842" s="214"/>
      <c r="D842" s="214"/>
      <c r="E842" s="214"/>
      <c r="F842" s="214"/>
      <c r="G842" s="222"/>
      <c r="H842" s="221"/>
      <c r="I842" s="213"/>
      <c r="J842" s="213"/>
      <c r="K842" s="215"/>
      <c r="L842" s="216"/>
      <c r="M842" s="217"/>
      <c r="O842" s="241" t="str">
        <f>IF(Q842 = "", "", COUNT(Q$4:$Q842))</f>
        <v/>
      </c>
      <c r="P842" s="241" t="str">
        <f t="shared" si="108"/>
        <v/>
      </c>
      <c r="Q842" s="242" t="str">
        <f t="shared" si="109"/>
        <v/>
      </c>
      <c r="R842" s="243" t="str">
        <f t="shared" si="112"/>
        <v/>
      </c>
      <c r="S842" s="244" t="str">
        <f t="shared" si="110"/>
        <v/>
      </c>
      <c r="T842" s="245" t="str">
        <f t="shared" si="113"/>
        <v/>
      </c>
      <c r="U842" s="246" t="str">
        <f t="shared" si="111"/>
        <v/>
      </c>
      <c r="V842" s="8"/>
      <c r="AR842" t="str">
        <f t="shared" si="107"/>
        <v/>
      </c>
      <c r="AS842" t="str">
        <f t="shared" si="106"/>
        <v/>
      </c>
    </row>
    <row r="843" spans="1:45" x14ac:dyDescent="0.3">
      <c r="A843" s="231"/>
      <c r="B843" s="235"/>
      <c r="C843" s="214"/>
      <c r="D843" s="214"/>
      <c r="E843" s="214"/>
      <c r="F843" s="214"/>
      <c r="G843" s="222"/>
      <c r="H843" s="221"/>
      <c r="I843" s="213"/>
      <c r="J843" s="213"/>
      <c r="K843" s="215"/>
      <c r="L843" s="216"/>
      <c r="M843" s="217"/>
      <c r="O843" s="241" t="str">
        <f>IF(Q843 = "", "", COUNT(Q$4:$Q843))</f>
        <v/>
      </c>
      <c r="P843" s="241" t="str">
        <f t="shared" si="108"/>
        <v/>
      </c>
      <c r="Q843" s="242" t="str">
        <f t="shared" si="109"/>
        <v/>
      </c>
      <c r="R843" s="243" t="str">
        <f t="shared" si="112"/>
        <v/>
      </c>
      <c r="S843" s="244" t="str">
        <f t="shared" si="110"/>
        <v/>
      </c>
      <c r="T843" s="245" t="str">
        <f t="shared" si="113"/>
        <v/>
      </c>
      <c r="U843" s="246" t="str">
        <f t="shared" si="111"/>
        <v/>
      </c>
      <c r="V843" s="8"/>
      <c r="AR843" t="str">
        <f t="shared" si="107"/>
        <v/>
      </c>
      <c r="AS843" t="str">
        <f t="shared" si="106"/>
        <v/>
      </c>
    </row>
    <row r="844" spans="1:45" x14ac:dyDescent="0.3">
      <c r="A844" s="231"/>
      <c r="B844" s="235"/>
      <c r="C844" s="214"/>
      <c r="D844" s="214"/>
      <c r="E844" s="214"/>
      <c r="F844" s="214"/>
      <c r="G844" s="222"/>
      <c r="H844" s="221"/>
      <c r="I844" s="213"/>
      <c r="J844" s="213"/>
      <c r="K844" s="215"/>
      <c r="L844" s="216"/>
      <c r="M844" s="217"/>
      <c r="O844" s="241" t="str">
        <f>IF(Q844 = "", "", COUNT(Q$4:$Q844))</f>
        <v/>
      </c>
      <c r="P844" s="241" t="str">
        <f t="shared" si="108"/>
        <v/>
      </c>
      <c r="Q844" s="242" t="str">
        <f t="shared" si="109"/>
        <v/>
      </c>
      <c r="R844" s="243" t="str">
        <f t="shared" si="112"/>
        <v/>
      </c>
      <c r="S844" s="244" t="str">
        <f t="shared" si="110"/>
        <v/>
      </c>
      <c r="T844" s="245" t="str">
        <f t="shared" si="113"/>
        <v/>
      </c>
      <c r="U844" s="246" t="str">
        <f t="shared" si="111"/>
        <v/>
      </c>
      <c r="V844" s="8"/>
      <c r="AR844" t="str">
        <f t="shared" si="107"/>
        <v/>
      </c>
      <c r="AS844" t="str">
        <f t="shared" si="106"/>
        <v/>
      </c>
    </row>
    <row r="845" spans="1:45" x14ac:dyDescent="0.3">
      <c r="A845" s="231"/>
      <c r="B845" s="235"/>
      <c r="C845" s="214"/>
      <c r="D845" s="214"/>
      <c r="E845" s="214"/>
      <c r="F845" s="214"/>
      <c r="G845" s="222"/>
      <c r="H845" s="221"/>
      <c r="I845" s="213"/>
      <c r="J845" s="213"/>
      <c r="K845" s="215"/>
      <c r="L845" s="216"/>
      <c r="M845" s="217"/>
      <c r="O845" s="241" t="str">
        <f>IF(Q845 = "", "", COUNT(Q$4:$Q845))</f>
        <v/>
      </c>
      <c r="P845" s="241" t="str">
        <f t="shared" si="108"/>
        <v/>
      </c>
      <c r="Q845" s="242" t="str">
        <f t="shared" si="109"/>
        <v/>
      </c>
      <c r="R845" s="243" t="str">
        <f t="shared" si="112"/>
        <v/>
      </c>
      <c r="S845" s="244" t="str">
        <f t="shared" si="110"/>
        <v/>
      </c>
      <c r="T845" s="245" t="str">
        <f t="shared" si="113"/>
        <v/>
      </c>
      <c r="U845" s="246" t="str">
        <f t="shared" si="111"/>
        <v/>
      </c>
      <c r="V845" s="8"/>
      <c r="AR845" t="str">
        <f t="shared" si="107"/>
        <v/>
      </c>
      <c r="AS845" t="str">
        <f t="shared" si="106"/>
        <v/>
      </c>
    </row>
    <row r="846" spans="1:45" x14ac:dyDescent="0.3">
      <c r="A846" s="231"/>
      <c r="B846" s="235"/>
      <c r="C846" s="214"/>
      <c r="D846" s="214"/>
      <c r="E846" s="214"/>
      <c r="F846" s="214"/>
      <c r="G846" s="222"/>
      <c r="H846" s="221"/>
      <c r="I846" s="213"/>
      <c r="J846" s="213"/>
      <c r="K846" s="215"/>
      <c r="L846" s="216"/>
      <c r="M846" s="217"/>
      <c r="O846" s="241" t="str">
        <f>IF(Q846 = "", "", COUNT(Q$4:$Q846))</f>
        <v/>
      </c>
      <c r="P846" s="241" t="str">
        <f t="shared" si="108"/>
        <v/>
      </c>
      <c r="Q846" s="242" t="str">
        <f t="shared" si="109"/>
        <v/>
      </c>
      <c r="R846" s="243" t="str">
        <f t="shared" si="112"/>
        <v/>
      </c>
      <c r="S846" s="244" t="str">
        <f t="shared" si="110"/>
        <v/>
      </c>
      <c r="T846" s="245" t="str">
        <f t="shared" si="113"/>
        <v/>
      </c>
      <c r="U846" s="246" t="str">
        <f t="shared" si="111"/>
        <v/>
      </c>
      <c r="V846" s="8"/>
      <c r="AR846" t="str">
        <f t="shared" si="107"/>
        <v/>
      </c>
      <c r="AS846" t="str">
        <f t="shared" si="106"/>
        <v/>
      </c>
    </row>
    <row r="847" spans="1:45" x14ac:dyDescent="0.3">
      <c r="A847" s="231"/>
      <c r="B847" s="235"/>
      <c r="C847" s="214"/>
      <c r="D847" s="214"/>
      <c r="E847" s="214"/>
      <c r="F847" s="214"/>
      <c r="G847" s="222"/>
      <c r="H847" s="221"/>
      <c r="I847" s="213"/>
      <c r="J847" s="213"/>
      <c r="K847" s="215"/>
      <c r="L847" s="216"/>
      <c r="M847" s="217"/>
      <c r="O847" s="241" t="str">
        <f>IF(Q847 = "", "", COUNT(Q$4:$Q847))</f>
        <v/>
      </c>
      <c r="P847" s="241" t="str">
        <f t="shared" si="108"/>
        <v/>
      </c>
      <c r="Q847" s="242" t="str">
        <f t="shared" si="109"/>
        <v/>
      </c>
      <c r="R847" s="243" t="str">
        <f t="shared" si="112"/>
        <v/>
      </c>
      <c r="S847" s="244" t="str">
        <f t="shared" si="110"/>
        <v/>
      </c>
      <c r="T847" s="245" t="str">
        <f t="shared" si="113"/>
        <v/>
      </c>
      <c r="U847" s="246" t="str">
        <f t="shared" si="111"/>
        <v/>
      </c>
      <c r="V847" s="8"/>
      <c r="AR847" t="str">
        <f t="shared" si="107"/>
        <v/>
      </c>
      <c r="AS847" t="str">
        <f t="shared" si="106"/>
        <v/>
      </c>
    </row>
    <row r="848" spans="1:45" x14ac:dyDescent="0.3">
      <c r="A848" s="231"/>
      <c r="B848" s="235"/>
      <c r="C848" s="214"/>
      <c r="D848" s="214"/>
      <c r="E848" s="214"/>
      <c r="F848" s="214"/>
      <c r="G848" s="222"/>
      <c r="H848" s="221"/>
      <c r="I848" s="213"/>
      <c r="J848" s="213"/>
      <c r="K848" s="215"/>
      <c r="L848" s="216"/>
      <c r="M848" s="217"/>
      <c r="O848" s="241" t="str">
        <f>IF(Q848 = "", "", COUNT(Q$4:$Q848))</f>
        <v/>
      </c>
      <c r="P848" s="241" t="str">
        <f t="shared" si="108"/>
        <v/>
      </c>
      <c r="Q848" s="242" t="str">
        <f t="shared" si="109"/>
        <v/>
      </c>
      <c r="R848" s="243" t="str">
        <f t="shared" si="112"/>
        <v/>
      </c>
      <c r="S848" s="244" t="str">
        <f t="shared" si="110"/>
        <v/>
      </c>
      <c r="T848" s="245" t="str">
        <f t="shared" si="113"/>
        <v/>
      </c>
      <c r="U848" s="246" t="str">
        <f t="shared" si="111"/>
        <v/>
      </c>
      <c r="V848" s="8"/>
      <c r="AR848" t="str">
        <f t="shared" si="107"/>
        <v/>
      </c>
      <c r="AS848" t="str">
        <f t="shared" si="106"/>
        <v/>
      </c>
    </row>
    <row r="849" spans="1:45" x14ac:dyDescent="0.3">
      <c r="A849" s="231"/>
      <c r="B849" s="235"/>
      <c r="C849" s="214"/>
      <c r="D849" s="214"/>
      <c r="E849" s="214"/>
      <c r="F849" s="214"/>
      <c r="G849" s="222"/>
      <c r="H849" s="221"/>
      <c r="I849" s="213"/>
      <c r="J849" s="213"/>
      <c r="K849" s="215"/>
      <c r="L849" s="216"/>
      <c r="M849" s="217"/>
      <c r="O849" s="241" t="str">
        <f>IF(Q849 = "", "", COUNT(Q$4:$Q849))</f>
        <v/>
      </c>
      <c r="P849" s="241" t="str">
        <f t="shared" si="108"/>
        <v/>
      </c>
      <c r="Q849" s="242" t="str">
        <f t="shared" si="109"/>
        <v/>
      </c>
      <c r="R849" s="243" t="str">
        <f t="shared" si="112"/>
        <v/>
      </c>
      <c r="S849" s="244" t="str">
        <f t="shared" si="110"/>
        <v/>
      </c>
      <c r="T849" s="245" t="str">
        <f t="shared" si="113"/>
        <v/>
      </c>
      <c r="U849" s="246" t="str">
        <f t="shared" si="111"/>
        <v/>
      </c>
      <c r="V849" s="8"/>
      <c r="AR849" t="str">
        <f t="shared" si="107"/>
        <v/>
      </c>
      <c r="AS849" t="str">
        <f t="shared" si="106"/>
        <v/>
      </c>
    </row>
    <row r="850" spans="1:45" x14ac:dyDescent="0.3">
      <c r="A850" s="231"/>
      <c r="B850" s="235"/>
      <c r="C850" s="214"/>
      <c r="D850" s="214"/>
      <c r="E850" s="214"/>
      <c r="F850" s="214"/>
      <c r="G850" s="222"/>
      <c r="H850" s="221"/>
      <c r="I850" s="213"/>
      <c r="J850" s="213"/>
      <c r="K850" s="215"/>
      <c r="L850" s="216"/>
      <c r="M850" s="217"/>
      <c r="O850" s="241" t="str">
        <f>IF(Q850 = "", "", COUNT(Q$4:$Q850))</f>
        <v/>
      </c>
      <c r="P850" s="241" t="str">
        <f t="shared" si="108"/>
        <v/>
      </c>
      <c r="Q850" s="242" t="str">
        <f t="shared" si="109"/>
        <v/>
      </c>
      <c r="R850" s="243" t="str">
        <f t="shared" si="112"/>
        <v/>
      </c>
      <c r="S850" s="244" t="str">
        <f t="shared" si="110"/>
        <v/>
      </c>
      <c r="T850" s="245" t="str">
        <f t="shared" si="113"/>
        <v/>
      </c>
      <c r="U850" s="246" t="str">
        <f t="shared" si="111"/>
        <v/>
      </c>
      <c r="V850" s="8"/>
      <c r="AR850" t="str">
        <f t="shared" si="107"/>
        <v/>
      </c>
      <c r="AS850" t="str">
        <f t="shared" si="106"/>
        <v/>
      </c>
    </row>
    <row r="851" spans="1:45" x14ac:dyDescent="0.3">
      <c r="A851" s="231"/>
      <c r="B851" s="235"/>
      <c r="C851" s="214"/>
      <c r="D851" s="214"/>
      <c r="E851" s="214"/>
      <c r="F851" s="214"/>
      <c r="G851" s="222"/>
      <c r="H851" s="221"/>
      <c r="I851" s="213"/>
      <c r="J851" s="213"/>
      <c r="K851" s="215"/>
      <c r="L851" s="216"/>
      <c r="M851" s="217"/>
      <c r="O851" s="241" t="str">
        <f>IF(Q851 = "", "", COUNT(Q$4:$Q851))</f>
        <v/>
      </c>
      <c r="P851" s="241" t="str">
        <f t="shared" si="108"/>
        <v/>
      </c>
      <c r="Q851" s="242" t="str">
        <f t="shared" si="109"/>
        <v/>
      </c>
      <c r="R851" s="243" t="str">
        <f t="shared" si="112"/>
        <v/>
      </c>
      <c r="S851" s="244" t="str">
        <f t="shared" si="110"/>
        <v/>
      </c>
      <c r="T851" s="245" t="str">
        <f t="shared" si="113"/>
        <v/>
      </c>
      <c r="U851" s="246" t="str">
        <f t="shared" si="111"/>
        <v/>
      </c>
      <c r="V851" s="8"/>
      <c r="AR851" t="str">
        <f t="shared" si="107"/>
        <v/>
      </c>
      <c r="AS851" t="str">
        <f t="shared" si="106"/>
        <v/>
      </c>
    </row>
    <row r="852" spans="1:45" x14ac:dyDescent="0.3">
      <c r="A852" s="231"/>
      <c r="B852" s="235"/>
      <c r="C852" s="214"/>
      <c r="D852" s="214"/>
      <c r="E852" s="214"/>
      <c r="F852" s="214"/>
      <c r="G852" s="222"/>
      <c r="H852" s="221"/>
      <c r="I852" s="213"/>
      <c r="J852" s="213"/>
      <c r="K852" s="215"/>
      <c r="L852" s="216"/>
      <c r="M852" s="217"/>
      <c r="O852" s="241" t="str">
        <f>IF(Q852 = "", "", COUNT(Q$4:$Q852))</f>
        <v/>
      </c>
      <c r="P852" s="241" t="str">
        <f t="shared" si="108"/>
        <v/>
      </c>
      <c r="Q852" s="242" t="str">
        <f t="shared" si="109"/>
        <v/>
      </c>
      <c r="R852" s="243" t="str">
        <f t="shared" si="112"/>
        <v/>
      </c>
      <c r="S852" s="244" t="str">
        <f t="shared" si="110"/>
        <v/>
      </c>
      <c r="T852" s="245" t="str">
        <f t="shared" si="113"/>
        <v/>
      </c>
      <c r="U852" s="246" t="str">
        <f t="shared" si="111"/>
        <v/>
      </c>
      <c r="V852" s="8"/>
      <c r="AR852" t="str">
        <f t="shared" si="107"/>
        <v/>
      </c>
      <c r="AS852" t="str">
        <f t="shared" si="106"/>
        <v/>
      </c>
    </row>
    <row r="853" spans="1:45" x14ac:dyDescent="0.3">
      <c r="A853" s="231"/>
      <c r="B853" s="235"/>
      <c r="C853" s="214"/>
      <c r="D853" s="214"/>
      <c r="E853" s="214"/>
      <c r="F853" s="214"/>
      <c r="G853" s="222"/>
      <c r="H853" s="221"/>
      <c r="I853" s="213"/>
      <c r="J853" s="213"/>
      <c r="K853" s="215"/>
      <c r="L853" s="216"/>
      <c r="M853" s="217"/>
      <c r="O853" s="241" t="str">
        <f>IF(Q853 = "", "", COUNT(Q$4:$Q853))</f>
        <v/>
      </c>
      <c r="P853" s="241" t="str">
        <f t="shared" si="108"/>
        <v/>
      </c>
      <c r="Q853" s="242" t="str">
        <f t="shared" si="109"/>
        <v/>
      </c>
      <c r="R853" s="243" t="str">
        <f t="shared" si="112"/>
        <v/>
      </c>
      <c r="S853" s="244" t="str">
        <f t="shared" si="110"/>
        <v/>
      </c>
      <c r="T853" s="245" t="str">
        <f t="shared" si="113"/>
        <v/>
      </c>
      <c r="U853" s="246" t="str">
        <f t="shared" si="111"/>
        <v/>
      </c>
      <c r="V853" s="8"/>
      <c r="AR853" t="str">
        <f t="shared" si="107"/>
        <v/>
      </c>
      <c r="AS853" t="str">
        <f t="shared" ref="AS853:AS916" si="114">IF(OR(L853="Y",M853="Y"),"Y","")</f>
        <v/>
      </c>
    </row>
    <row r="854" spans="1:45" x14ac:dyDescent="0.3">
      <c r="A854" s="231"/>
      <c r="B854" s="235"/>
      <c r="C854" s="214"/>
      <c r="D854" s="214"/>
      <c r="E854" s="214"/>
      <c r="F854" s="214"/>
      <c r="G854" s="222"/>
      <c r="H854" s="221"/>
      <c r="I854" s="213"/>
      <c r="J854" s="213"/>
      <c r="K854" s="215"/>
      <c r="L854" s="216"/>
      <c r="M854" s="217"/>
      <c r="O854" s="241" t="str">
        <f>IF(Q854 = "", "", COUNT(Q$4:$Q854))</f>
        <v/>
      </c>
      <c r="P854" s="241" t="str">
        <f t="shared" si="108"/>
        <v/>
      </c>
      <c r="Q854" s="242" t="str">
        <f t="shared" si="109"/>
        <v/>
      </c>
      <c r="R854" s="243" t="str">
        <f t="shared" si="112"/>
        <v/>
      </c>
      <c r="S854" s="244" t="str">
        <f t="shared" si="110"/>
        <v/>
      </c>
      <c r="T854" s="245" t="str">
        <f t="shared" si="113"/>
        <v/>
      </c>
      <c r="U854" s="246" t="str">
        <f t="shared" si="111"/>
        <v/>
      </c>
      <c r="V854" s="8"/>
      <c r="AR854" t="str">
        <f t="shared" ref="AR854:AR917" si="115">IF(O854&gt;0, O854, "")</f>
        <v/>
      </c>
      <c r="AS854" t="str">
        <f t="shared" si="114"/>
        <v/>
      </c>
    </row>
    <row r="855" spans="1:45" x14ac:dyDescent="0.3">
      <c r="A855" s="231"/>
      <c r="B855" s="235"/>
      <c r="C855" s="214"/>
      <c r="D855" s="214"/>
      <c r="E855" s="214"/>
      <c r="F855" s="214"/>
      <c r="G855" s="222"/>
      <c r="H855" s="221"/>
      <c r="I855" s="213"/>
      <c r="J855" s="213"/>
      <c r="K855" s="215"/>
      <c r="L855" s="216"/>
      <c r="M855" s="217"/>
      <c r="O855" s="241" t="str">
        <f>IF(Q855 = "", "", COUNT(Q$4:$Q855))</f>
        <v/>
      </c>
      <c r="P855" s="241" t="str">
        <f t="shared" si="108"/>
        <v/>
      </c>
      <c r="Q855" s="242" t="str">
        <f t="shared" si="109"/>
        <v/>
      </c>
      <c r="R855" s="243" t="str">
        <f t="shared" si="112"/>
        <v/>
      </c>
      <c r="S855" s="244" t="str">
        <f t="shared" si="110"/>
        <v/>
      </c>
      <c r="T855" s="245" t="str">
        <f t="shared" si="113"/>
        <v/>
      </c>
      <c r="U855" s="246" t="str">
        <f t="shared" si="111"/>
        <v/>
      </c>
      <c r="V855" s="8"/>
      <c r="AR855" t="str">
        <f t="shared" si="115"/>
        <v/>
      </c>
      <c r="AS855" t="str">
        <f t="shared" si="114"/>
        <v/>
      </c>
    </row>
    <row r="856" spans="1:45" x14ac:dyDescent="0.3">
      <c r="A856" s="231"/>
      <c r="B856" s="235"/>
      <c r="C856" s="214"/>
      <c r="D856" s="214"/>
      <c r="E856" s="214"/>
      <c r="F856" s="214"/>
      <c r="G856" s="222"/>
      <c r="H856" s="221"/>
      <c r="I856" s="213"/>
      <c r="J856" s="213"/>
      <c r="K856" s="215"/>
      <c r="L856" s="216"/>
      <c r="M856" s="217"/>
      <c r="O856" s="241" t="str">
        <f>IF(Q856 = "", "", COUNT(Q$4:$Q856))</f>
        <v/>
      </c>
      <c r="P856" s="241" t="str">
        <f t="shared" si="108"/>
        <v/>
      </c>
      <c r="Q856" s="242" t="str">
        <f t="shared" si="109"/>
        <v/>
      </c>
      <c r="R856" s="243" t="str">
        <f t="shared" si="112"/>
        <v/>
      </c>
      <c r="S856" s="244" t="str">
        <f t="shared" si="110"/>
        <v/>
      </c>
      <c r="T856" s="245" t="str">
        <f t="shared" si="113"/>
        <v/>
      </c>
      <c r="U856" s="246" t="str">
        <f t="shared" si="111"/>
        <v/>
      </c>
      <c r="V856" s="8"/>
      <c r="AR856" t="str">
        <f t="shared" si="115"/>
        <v/>
      </c>
      <c r="AS856" t="str">
        <f t="shared" si="114"/>
        <v/>
      </c>
    </row>
    <row r="857" spans="1:45" x14ac:dyDescent="0.3">
      <c r="A857" s="231"/>
      <c r="B857" s="235"/>
      <c r="C857" s="214"/>
      <c r="D857" s="214"/>
      <c r="E857" s="214"/>
      <c r="F857" s="214"/>
      <c r="G857" s="222"/>
      <c r="H857" s="221"/>
      <c r="I857" s="213"/>
      <c r="J857" s="213"/>
      <c r="K857" s="215"/>
      <c r="L857" s="216"/>
      <c r="M857" s="217"/>
      <c r="O857" s="241" t="str">
        <f>IF(Q857 = "", "", COUNT(Q$4:$Q857))</f>
        <v/>
      </c>
      <c r="P857" s="241" t="str">
        <f t="shared" si="108"/>
        <v/>
      </c>
      <c r="Q857" s="242" t="str">
        <f t="shared" si="109"/>
        <v/>
      </c>
      <c r="R857" s="243" t="str">
        <f t="shared" si="112"/>
        <v/>
      </c>
      <c r="S857" s="244" t="str">
        <f t="shared" si="110"/>
        <v/>
      </c>
      <c r="T857" s="245" t="str">
        <f t="shared" si="113"/>
        <v/>
      </c>
      <c r="U857" s="246" t="str">
        <f t="shared" si="111"/>
        <v/>
      </c>
      <c r="V857" s="8"/>
      <c r="AR857" t="str">
        <f t="shared" si="115"/>
        <v/>
      </c>
      <c r="AS857" t="str">
        <f t="shared" si="114"/>
        <v/>
      </c>
    </row>
    <row r="858" spans="1:45" x14ac:dyDescent="0.3">
      <c r="A858" s="231"/>
      <c r="B858" s="235"/>
      <c r="C858" s="214"/>
      <c r="D858" s="214"/>
      <c r="E858" s="214"/>
      <c r="F858" s="214"/>
      <c r="G858" s="222"/>
      <c r="H858" s="221"/>
      <c r="I858" s="213"/>
      <c r="J858" s="213"/>
      <c r="K858" s="215"/>
      <c r="L858" s="216"/>
      <c r="M858" s="217"/>
      <c r="O858" s="241" t="str">
        <f>IF(Q858 = "", "", COUNT(Q$4:$Q858))</f>
        <v/>
      </c>
      <c r="P858" s="241" t="str">
        <f t="shared" si="108"/>
        <v/>
      </c>
      <c r="Q858" s="242" t="str">
        <f t="shared" si="109"/>
        <v/>
      </c>
      <c r="R858" s="243" t="str">
        <f t="shared" si="112"/>
        <v/>
      </c>
      <c r="S858" s="244" t="str">
        <f t="shared" si="110"/>
        <v/>
      </c>
      <c r="T858" s="245" t="str">
        <f t="shared" si="113"/>
        <v/>
      </c>
      <c r="U858" s="246" t="str">
        <f t="shared" si="111"/>
        <v/>
      </c>
      <c r="V858" s="8"/>
      <c r="AR858" t="str">
        <f t="shared" si="115"/>
        <v/>
      </c>
      <c r="AS858" t="str">
        <f t="shared" si="114"/>
        <v/>
      </c>
    </row>
    <row r="859" spans="1:45" x14ac:dyDescent="0.3">
      <c r="A859" s="231"/>
      <c r="B859" s="235"/>
      <c r="C859" s="214"/>
      <c r="D859" s="214"/>
      <c r="E859" s="214"/>
      <c r="F859" s="214"/>
      <c r="G859" s="222"/>
      <c r="H859" s="221"/>
      <c r="I859" s="213"/>
      <c r="J859" s="213"/>
      <c r="K859" s="215"/>
      <c r="L859" s="216"/>
      <c r="M859" s="217"/>
      <c r="O859" s="241" t="str">
        <f>IF(Q859 = "", "", COUNT(Q$4:$Q859))</f>
        <v/>
      </c>
      <c r="P859" s="241" t="str">
        <f t="shared" si="108"/>
        <v/>
      </c>
      <c r="Q859" s="242" t="str">
        <f t="shared" si="109"/>
        <v/>
      </c>
      <c r="R859" s="243" t="str">
        <f t="shared" si="112"/>
        <v/>
      </c>
      <c r="S859" s="244" t="str">
        <f t="shared" si="110"/>
        <v/>
      </c>
      <c r="T859" s="245" t="str">
        <f t="shared" si="113"/>
        <v/>
      </c>
      <c r="U859" s="246" t="str">
        <f t="shared" si="111"/>
        <v/>
      </c>
      <c r="V859" s="8"/>
      <c r="AR859" t="str">
        <f t="shared" si="115"/>
        <v/>
      </c>
      <c r="AS859" t="str">
        <f t="shared" si="114"/>
        <v/>
      </c>
    </row>
    <row r="860" spans="1:45" x14ac:dyDescent="0.3">
      <c r="A860" s="231"/>
      <c r="B860" s="235"/>
      <c r="C860" s="214"/>
      <c r="D860" s="214"/>
      <c r="E860" s="214"/>
      <c r="F860" s="214"/>
      <c r="G860" s="222"/>
      <c r="H860" s="221"/>
      <c r="I860" s="213"/>
      <c r="J860" s="213"/>
      <c r="K860" s="215"/>
      <c r="L860" s="216"/>
      <c r="M860" s="217"/>
      <c r="O860" s="241" t="str">
        <f>IF(Q860 = "", "", COUNT(Q$4:$Q860))</f>
        <v/>
      </c>
      <c r="P860" s="241" t="str">
        <f t="shared" si="108"/>
        <v/>
      </c>
      <c r="Q860" s="242" t="str">
        <f t="shared" si="109"/>
        <v/>
      </c>
      <c r="R860" s="243" t="str">
        <f t="shared" si="112"/>
        <v/>
      </c>
      <c r="S860" s="244" t="str">
        <f t="shared" si="110"/>
        <v/>
      </c>
      <c r="T860" s="245" t="str">
        <f t="shared" si="113"/>
        <v/>
      </c>
      <c r="U860" s="246" t="str">
        <f t="shared" si="111"/>
        <v/>
      </c>
      <c r="V860" s="8"/>
      <c r="AR860" t="str">
        <f t="shared" si="115"/>
        <v/>
      </c>
      <c r="AS860" t="str">
        <f t="shared" si="114"/>
        <v/>
      </c>
    </row>
    <row r="861" spans="1:45" x14ac:dyDescent="0.3">
      <c r="A861" s="231"/>
      <c r="B861" s="235"/>
      <c r="C861" s="214"/>
      <c r="D861" s="214"/>
      <c r="E861" s="214"/>
      <c r="F861" s="214"/>
      <c r="G861" s="222"/>
      <c r="H861" s="221"/>
      <c r="I861" s="213"/>
      <c r="J861" s="213"/>
      <c r="K861" s="215"/>
      <c r="L861" s="216"/>
      <c r="M861" s="217"/>
      <c r="O861" s="241" t="str">
        <f>IF(Q861 = "", "", COUNT(Q$4:$Q861))</f>
        <v/>
      </c>
      <c r="P861" s="241" t="str">
        <f t="shared" si="108"/>
        <v/>
      </c>
      <c r="Q861" s="242" t="str">
        <f t="shared" si="109"/>
        <v/>
      </c>
      <c r="R861" s="243" t="str">
        <f t="shared" si="112"/>
        <v/>
      </c>
      <c r="S861" s="244" t="str">
        <f t="shared" si="110"/>
        <v/>
      </c>
      <c r="T861" s="245" t="str">
        <f t="shared" si="113"/>
        <v/>
      </c>
      <c r="U861" s="246" t="str">
        <f t="shared" si="111"/>
        <v/>
      </c>
      <c r="V861" s="8"/>
      <c r="AR861" t="str">
        <f t="shared" si="115"/>
        <v/>
      </c>
      <c r="AS861" t="str">
        <f t="shared" si="114"/>
        <v/>
      </c>
    </row>
    <row r="862" spans="1:45" x14ac:dyDescent="0.3">
      <c r="A862" s="231"/>
      <c r="B862" s="235"/>
      <c r="C862" s="214"/>
      <c r="D862" s="214"/>
      <c r="E862" s="214"/>
      <c r="F862" s="214"/>
      <c r="G862" s="222"/>
      <c r="H862" s="221"/>
      <c r="I862" s="213"/>
      <c r="J862" s="213"/>
      <c r="K862" s="215"/>
      <c r="L862" s="216"/>
      <c r="M862" s="217"/>
      <c r="O862" s="241" t="str">
        <f>IF(Q862 = "", "", COUNT(Q$4:$Q862))</f>
        <v/>
      </c>
      <c r="P862" s="241" t="str">
        <f t="shared" si="108"/>
        <v/>
      </c>
      <c r="Q862" s="242" t="str">
        <f t="shared" si="109"/>
        <v/>
      </c>
      <c r="R862" s="243" t="str">
        <f t="shared" si="112"/>
        <v/>
      </c>
      <c r="S862" s="244" t="str">
        <f t="shared" si="110"/>
        <v/>
      </c>
      <c r="T862" s="245" t="str">
        <f t="shared" si="113"/>
        <v/>
      </c>
      <c r="U862" s="246" t="str">
        <f t="shared" si="111"/>
        <v/>
      </c>
      <c r="V862" s="8"/>
      <c r="AR862" t="str">
        <f t="shared" si="115"/>
        <v/>
      </c>
      <c r="AS862" t="str">
        <f t="shared" si="114"/>
        <v/>
      </c>
    </row>
    <row r="863" spans="1:45" x14ac:dyDescent="0.3">
      <c r="A863" s="231"/>
      <c r="B863" s="235"/>
      <c r="C863" s="214"/>
      <c r="D863" s="214"/>
      <c r="E863" s="214"/>
      <c r="F863" s="214"/>
      <c r="G863" s="222"/>
      <c r="H863" s="221"/>
      <c r="I863" s="213"/>
      <c r="J863" s="213"/>
      <c r="K863" s="215"/>
      <c r="L863" s="216"/>
      <c r="M863" s="217"/>
      <c r="O863" s="241" t="str">
        <f>IF(Q863 = "", "", COUNT(Q$4:$Q863))</f>
        <v/>
      </c>
      <c r="P863" s="241" t="str">
        <f t="shared" si="108"/>
        <v/>
      </c>
      <c r="Q863" s="242" t="str">
        <f t="shared" si="109"/>
        <v/>
      </c>
      <c r="R863" s="243" t="str">
        <f t="shared" si="112"/>
        <v/>
      </c>
      <c r="S863" s="244" t="str">
        <f t="shared" si="110"/>
        <v/>
      </c>
      <c r="T863" s="245" t="str">
        <f t="shared" si="113"/>
        <v/>
      </c>
      <c r="U863" s="246" t="str">
        <f t="shared" si="111"/>
        <v/>
      </c>
      <c r="V863" s="8"/>
      <c r="AR863" t="str">
        <f t="shared" si="115"/>
        <v/>
      </c>
      <c r="AS863" t="str">
        <f t="shared" si="114"/>
        <v/>
      </c>
    </row>
    <row r="864" spans="1:45" x14ac:dyDescent="0.3">
      <c r="A864" s="231"/>
      <c r="B864" s="235"/>
      <c r="C864" s="214"/>
      <c r="D864" s="214"/>
      <c r="E864" s="214"/>
      <c r="F864" s="214"/>
      <c r="G864" s="222"/>
      <c r="H864" s="221"/>
      <c r="I864" s="213"/>
      <c r="J864" s="213"/>
      <c r="K864" s="215"/>
      <c r="L864" s="216"/>
      <c r="M864" s="217"/>
      <c r="O864" s="241" t="str">
        <f>IF(Q864 = "", "", COUNT(Q$4:$Q864))</f>
        <v/>
      </c>
      <c r="P864" s="241" t="str">
        <f t="shared" si="108"/>
        <v/>
      </c>
      <c r="Q864" s="242" t="str">
        <f t="shared" si="109"/>
        <v/>
      </c>
      <c r="R864" s="243" t="str">
        <f t="shared" si="112"/>
        <v/>
      </c>
      <c r="S864" s="244" t="str">
        <f t="shared" si="110"/>
        <v/>
      </c>
      <c r="T864" s="245" t="str">
        <f t="shared" si="113"/>
        <v/>
      </c>
      <c r="U864" s="246" t="str">
        <f t="shared" si="111"/>
        <v/>
      </c>
      <c r="V864" s="8"/>
      <c r="AR864" t="str">
        <f t="shared" si="115"/>
        <v/>
      </c>
      <c r="AS864" t="str">
        <f t="shared" si="114"/>
        <v/>
      </c>
    </row>
    <row r="865" spans="1:45" x14ac:dyDescent="0.3">
      <c r="A865" s="231"/>
      <c r="B865" s="235"/>
      <c r="C865" s="214"/>
      <c r="D865" s="214"/>
      <c r="E865" s="214"/>
      <c r="F865" s="214"/>
      <c r="G865" s="222"/>
      <c r="H865" s="221"/>
      <c r="I865" s="213"/>
      <c r="J865" s="213"/>
      <c r="K865" s="215"/>
      <c r="L865" s="216"/>
      <c r="M865" s="217"/>
      <c r="O865" s="241" t="str">
        <f>IF(Q865 = "", "", COUNT(Q$4:$Q865))</f>
        <v/>
      </c>
      <c r="P865" s="241" t="str">
        <f t="shared" si="108"/>
        <v/>
      </c>
      <c r="Q865" s="242" t="str">
        <f t="shared" si="109"/>
        <v/>
      </c>
      <c r="R865" s="243" t="str">
        <f t="shared" si="112"/>
        <v/>
      </c>
      <c r="S865" s="244" t="str">
        <f t="shared" si="110"/>
        <v/>
      </c>
      <c r="T865" s="245" t="str">
        <f t="shared" si="113"/>
        <v/>
      </c>
      <c r="U865" s="246" t="str">
        <f t="shared" si="111"/>
        <v/>
      </c>
      <c r="V865" s="8"/>
      <c r="AR865" t="str">
        <f t="shared" si="115"/>
        <v/>
      </c>
      <c r="AS865" t="str">
        <f t="shared" si="114"/>
        <v/>
      </c>
    </row>
    <row r="866" spans="1:45" x14ac:dyDescent="0.3">
      <c r="A866" s="231"/>
      <c r="B866" s="235"/>
      <c r="C866" s="214"/>
      <c r="D866" s="214"/>
      <c r="E866" s="214"/>
      <c r="F866" s="214"/>
      <c r="G866" s="222"/>
      <c r="H866" s="221"/>
      <c r="I866" s="213"/>
      <c r="J866" s="213"/>
      <c r="K866" s="215"/>
      <c r="L866" s="216"/>
      <c r="M866" s="217"/>
      <c r="O866" s="241" t="str">
        <f>IF(Q866 = "", "", COUNT(Q$4:$Q866))</f>
        <v/>
      </c>
      <c r="P866" s="241" t="str">
        <f t="shared" si="108"/>
        <v/>
      </c>
      <c r="Q866" s="242" t="str">
        <f t="shared" si="109"/>
        <v/>
      </c>
      <c r="R866" s="243" t="str">
        <f t="shared" si="112"/>
        <v/>
      </c>
      <c r="S866" s="244" t="str">
        <f t="shared" si="110"/>
        <v/>
      </c>
      <c r="T866" s="245" t="str">
        <f t="shared" si="113"/>
        <v/>
      </c>
      <c r="U866" s="246" t="str">
        <f t="shared" si="111"/>
        <v/>
      </c>
      <c r="V866" s="8"/>
      <c r="AR866" t="str">
        <f t="shared" si="115"/>
        <v/>
      </c>
      <c r="AS866" t="str">
        <f t="shared" si="114"/>
        <v/>
      </c>
    </row>
    <row r="867" spans="1:45" x14ac:dyDescent="0.3">
      <c r="A867" s="231"/>
      <c r="B867" s="235"/>
      <c r="C867" s="214"/>
      <c r="D867" s="214"/>
      <c r="E867" s="214"/>
      <c r="F867" s="214"/>
      <c r="G867" s="222"/>
      <c r="H867" s="221"/>
      <c r="I867" s="213"/>
      <c r="J867" s="213"/>
      <c r="K867" s="215"/>
      <c r="L867" s="216"/>
      <c r="M867" s="217"/>
      <c r="O867" s="241" t="str">
        <f>IF(Q867 = "", "", COUNT(Q$4:$Q867))</f>
        <v/>
      </c>
      <c r="P867" s="241" t="str">
        <f t="shared" si="108"/>
        <v/>
      </c>
      <c r="Q867" s="242" t="str">
        <f t="shared" si="109"/>
        <v/>
      </c>
      <c r="R867" s="243" t="str">
        <f t="shared" si="112"/>
        <v/>
      </c>
      <c r="S867" s="244" t="str">
        <f t="shared" si="110"/>
        <v/>
      </c>
      <c r="T867" s="245" t="str">
        <f t="shared" si="113"/>
        <v/>
      </c>
      <c r="U867" s="246" t="str">
        <f t="shared" si="111"/>
        <v/>
      </c>
      <c r="V867" s="8"/>
      <c r="AR867" t="str">
        <f t="shared" si="115"/>
        <v/>
      </c>
      <c r="AS867" t="str">
        <f t="shared" si="114"/>
        <v/>
      </c>
    </row>
    <row r="868" spans="1:45" x14ac:dyDescent="0.3">
      <c r="A868" s="231"/>
      <c r="B868" s="235"/>
      <c r="C868" s="214"/>
      <c r="D868" s="214"/>
      <c r="E868" s="214"/>
      <c r="F868" s="214"/>
      <c r="G868" s="222"/>
      <c r="H868" s="221"/>
      <c r="I868" s="213"/>
      <c r="J868" s="213"/>
      <c r="K868" s="215"/>
      <c r="L868" s="216"/>
      <c r="M868" s="217"/>
      <c r="O868" s="241" t="str">
        <f>IF(Q868 = "", "", COUNT(Q$4:$Q868))</f>
        <v/>
      </c>
      <c r="P868" s="241" t="str">
        <f t="shared" si="108"/>
        <v/>
      </c>
      <c r="Q868" s="242" t="str">
        <f t="shared" si="109"/>
        <v/>
      </c>
      <c r="R868" s="243" t="str">
        <f t="shared" si="112"/>
        <v/>
      </c>
      <c r="S868" s="244" t="str">
        <f t="shared" si="110"/>
        <v/>
      </c>
      <c r="T868" s="245" t="str">
        <f t="shared" si="113"/>
        <v/>
      </c>
      <c r="U868" s="246" t="str">
        <f t="shared" si="111"/>
        <v/>
      </c>
      <c r="V868" s="8"/>
      <c r="AR868" t="str">
        <f t="shared" si="115"/>
        <v/>
      </c>
      <c r="AS868" t="str">
        <f t="shared" si="114"/>
        <v/>
      </c>
    </row>
    <row r="869" spans="1:45" x14ac:dyDescent="0.3">
      <c r="A869" s="231"/>
      <c r="B869" s="235"/>
      <c r="C869" s="214"/>
      <c r="D869" s="214"/>
      <c r="E869" s="214"/>
      <c r="F869" s="214"/>
      <c r="G869" s="222"/>
      <c r="H869" s="221"/>
      <c r="I869" s="213"/>
      <c r="J869" s="213"/>
      <c r="K869" s="215"/>
      <c r="L869" s="216"/>
      <c r="M869" s="217"/>
      <c r="O869" s="241" t="str">
        <f>IF(Q869 = "", "", COUNT(Q$4:$Q869))</f>
        <v/>
      </c>
      <c r="P869" s="241" t="str">
        <f t="shared" si="108"/>
        <v/>
      </c>
      <c r="Q869" s="242" t="str">
        <f t="shared" si="109"/>
        <v/>
      </c>
      <c r="R869" s="243" t="str">
        <f t="shared" si="112"/>
        <v/>
      </c>
      <c r="S869" s="244" t="str">
        <f t="shared" si="110"/>
        <v/>
      </c>
      <c r="T869" s="245" t="str">
        <f t="shared" si="113"/>
        <v/>
      </c>
      <c r="U869" s="246" t="str">
        <f t="shared" si="111"/>
        <v/>
      </c>
      <c r="V869" s="8"/>
      <c r="AR869" t="str">
        <f t="shared" si="115"/>
        <v/>
      </c>
      <c r="AS869" t="str">
        <f t="shared" si="114"/>
        <v/>
      </c>
    </row>
    <row r="870" spans="1:45" x14ac:dyDescent="0.3">
      <c r="A870" s="231"/>
      <c r="B870" s="235"/>
      <c r="C870" s="214"/>
      <c r="D870" s="214"/>
      <c r="E870" s="214"/>
      <c r="F870" s="214"/>
      <c r="G870" s="222"/>
      <c r="H870" s="221"/>
      <c r="I870" s="213"/>
      <c r="J870" s="213"/>
      <c r="K870" s="215"/>
      <c r="L870" s="216"/>
      <c r="M870" s="217"/>
      <c r="O870" s="241" t="str">
        <f>IF(Q870 = "", "", COUNT(Q$4:$Q870))</f>
        <v/>
      </c>
      <c r="P870" s="241" t="str">
        <f t="shared" si="108"/>
        <v/>
      </c>
      <c r="Q870" s="242" t="str">
        <f t="shared" si="109"/>
        <v/>
      </c>
      <c r="R870" s="243" t="str">
        <f t="shared" si="112"/>
        <v/>
      </c>
      <c r="S870" s="244" t="str">
        <f t="shared" si="110"/>
        <v/>
      </c>
      <c r="T870" s="245" t="str">
        <f t="shared" si="113"/>
        <v/>
      </c>
      <c r="U870" s="246" t="str">
        <f t="shared" si="111"/>
        <v/>
      </c>
      <c r="V870" s="8"/>
      <c r="AR870" t="str">
        <f t="shared" si="115"/>
        <v/>
      </c>
      <c r="AS870" t="str">
        <f t="shared" si="114"/>
        <v/>
      </c>
    </row>
    <row r="871" spans="1:45" x14ac:dyDescent="0.3">
      <c r="A871" s="231"/>
      <c r="B871" s="235"/>
      <c r="C871" s="214"/>
      <c r="D871" s="214"/>
      <c r="E871" s="214"/>
      <c r="F871" s="214"/>
      <c r="G871" s="222"/>
      <c r="H871" s="221"/>
      <c r="I871" s="213"/>
      <c r="J871" s="213"/>
      <c r="K871" s="215"/>
      <c r="L871" s="216"/>
      <c r="M871" s="217"/>
      <c r="O871" s="241" t="str">
        <f>IF(Q871 = "", "", COUNT(Q$4:$Q871))</f>
        <v/>
      </c>
      <c r="P871" s="241" t="str">
        <f t="shared" si="108"/>
        <v/>
      </c>
      <c r="Q871" s="242" t="str">
        <f t="shared" si="109"/>
        <v/>
      </c>
      <c r="R871" s="243" t="str">
        <f t="shared" si="112"/>
        <v/>
      </c>
      <c r="S871" s="244" t="str">
        <f t="shared" si="110"/>
        <v/>
      </c>
      <c r="T871" s="245" t="str">
        <f t="shared" si="113"/>
        <v/>
      </c>
      <c r="U871" s="246" t="str">
        <f t="shared" si="111"/>
        <v/>
      </c>
      <c r="V871" s="8"/>
      <c r="AR871" t="str">
        <f t="shared" si="115"/>
        <v/>
      </c>
      <c r="AS871" t="str">
        <f t="shared" si="114"/>
        <v/>
      </c>
    </row>
    <row r="872" spans="1:45" x14ac:dyDescent="0.3">
      <c r="A872" s="231"/>
      <c r="B872" s="235"/>
      <c r="C872" s="214"/>
      <c r="D872" s="214"/>
      <c r="E872" s="214"/>
      <c r="F872" s="214"/>
      <c r="G872" s="222"/>
      <c r="H872" s="221"/>
      <c r="I872" s="213"/>
      <c r="J872" s="213"/>
      <c r="K872" s="215"/>
      <c r="L872" s="216"/>
      <c r="M872" s="217"/>
      <c r="O872" s="241" t="str">
        <f>IF(Q872 = "", "", COUNT(Q$4:$Q872))</f>
        <v/>
      </c>
      <c r="P872" s="241" t="str">
        <f t="shared" si="108"/>
        <v/>
      </c>
      <c r="Q872" s="242" t="str">
        <f t="shared" si="109"/>
        <v/>
      </c>
      <c r="R872" s="243" t="str">
        <f t="shared" si="112"/>
        <v/>
      </c>
      <c r="S872" s="244" t="str">
        <f t="shared" si="110"/>
        <v/>
      </c>
      <c r="T872" s="245" t="str">
        <f t="shared" si="113"/>
        <v/>
      </c>
      <c r="U872" s="246" t="str">
        <f t="shared" si="111"/>
        <v/>
      </c>
      <c r="V872" s="8"/>
      <c r="AR872" t="str">
        <f t="shared" si="115"/>
        <v/>
      </c>
      <c r="AS872" t="str">
        <f t="shared" si="114"/>
        <v/>
      </c>
    </row>
    <row r="873" spans="1:45" x14ac:dyDescent="0.3">
      <c r="A873" s="231"/>
      <c r="B873" s="235"/>
      <c r="C873" s="214"/>
      <c r="D873" s="214"/>
      <c r="E873" s="214"/>
      <c r="F873" s="214"/>
      <c r="G873" s="222"/>
      <c r="H873" s="221"/>
      <c r="I873" s="213"/>
      <c r="J873" s="213"/>
      <c r="K873" s="215"/>
      <c r="L873" s="216"/>
      <c r="M873" s="217"/>
      <c r="O873" s="241" t="str">
        <f>IF(Q873 = "", "", COUNT(Q$4:$Q873))</f>
        <v/>
      </c>
      <c r="P873" s="241" t="str">
        <f t="shared" si="108"/>
        <v/>
      </c>
      <c r="Q873" s="242" t="str">
        <f t="shared" si="109"/>
        <v/>
      </c>
      <c r="R873" s="243" t="str">
        <f t="shared" si="112"/>
        <v/>
      </c>
      <c r="S873" s="244" t="str">
        <f t="shared" si="110"/>
        <v/>
      </c>
      <c r="T873" s="245" t="str">
        <f t="shared" si="113"/>
        <v/>
      </c>
      <c r="U873" s="246" t="str">
        <f t="shared" si="111"/>
        <v/>
      </c>
      <c r="V873" s="8"/>
      <c r="AR873" t="str">
        <f t="shared" si="115"/>
        <v/>
      </c>
      <c r="AS873" t="str">
        <f t="shared" si="114"/>
        <v/>
      </c>
    </row>
    <row r="874" spans="1:45" x14ac:dyDescent="0.3">
      <c r="A874" s="231"/>
      <c r="B874" s="235"/>
      <c r="C874" s="214"/>
      <c r="D874" s="214"/>
      <c r="E874" s="214"/>
      <c r="F874" s="214"/>
      <c r="G874" s="222"/>
      <c r="H874" s="221"/>
      <c r="I874" s="213"/>
      <c r="J874" s="213"/>
      <c r="K874" s="215"/>
      <c r="L874" s="216"/>
      <c r="M874" s="217"/>
      <c r="O874" s="241" t="str">
        <f>IF(Q874 = "", "", COUNT(Q$4:$Q874))</f>
        <v/>
      </c>
      <c r="P874" s="241" t="str">
        <f t="shared" si="108"/>
        <v/>
      </c>
      <c r="Q874" s="242" t="str">
        <f t="shared" si="109"/>
        <v/>
      </c>
      <c r="R874" s="243" t="str">
        <f t="shared" si="112"/>
        <v/>
      </c>
      <c r="S874" s="244" t="str">
        <f t="shared" si="110"/>
        <v/>
      </c>
      <c r="T874" s="245" t="str">
        <f t="shared" si="113"/>
        <v/>
      </c>
      <c r="U874" s="246" t="str">
        <f t="shared" si="111"/>
        <v/>
      </c>
      <c r="V874" s="8"/>
      <c r="AR874" t="str">
        <f t="shared" si="115"/>
        <v/>
      </c>
      <c r="AS874" t="str">
        <f t="shared" si="114"/>
        <v/>
      </c>
    </row>
    <row r="875" spans="1:45" x14ac:dyDescent="0.3">
      <c r="A875" s="231"/>
      <c r="B875" s="235"/>
      <c r="C875" s="214"/>
      <c r="D875" s="214"/>
      <c r="E875" s="214"/>
      <c r="F875" s="214"/>
      <c r="G875" s="222"/>
      <c r="H875" s="221"/>
      <c r="I875" s="213"/>
      <c r="J875" s="213"/>
      <c r="K875" s="215"/>
      <c r="L875" s="216"/>
      <c r="M875" s="217"/>
      <c r="O875" s="241" t="str">
        <f>IF(Q875 = "", "", COUNT(Q$4:$Q875))</f>
        <v/>
      </c>
      <c r="P875" s="241" t="str">
        <f t="shared" si="108"/>
        <v/>
      </c>
      <c r="Q875" s="242" t="str">
        <f t="shared" si="109"/>
        <v/>
      </c>
      <c r="R875" s="243" t="str">
        <f t="shared" si="112"/>
        <v/>
      </c>
      <c r="S875" s="244" t="str">
        <f t="shared" si="110"/>
        <v/>
      </c>
      <c r="T875" s="245" t="str">
        <f t="shared" si="113"/>
        <v/>
      </c>
      <c r="U875" s="246" t="str">
        <f t="shared" si="111"/>
        <v/>
      </c>
      <c r="V875" s="8"/>
      <c r="AR875" t="str">
        <f t="shared" si="115"/>
        <v/>
      </c>
      <c r="AS875" t="str">
        <f t="shared" si="114"/>
        <v/>
      </c>
    </row>
    <row r="876" spans="1:45" x14ac:dyDescent="0.3">
      <c r="A876" s="231"/>
      <c r="B876" s="235"/>
      <c r="C876" s="214"/>
      <c r="D876" s="214"/>
      <c r="E876" s="214"/>
      <c r="F876" s="214"/>
      <c r="G876" s="222"/>
      <c r="H876" s="221"/>
      <c r="I876" s="213"/>
      <c r="J876" s="213"/>
      <c r="K876" s="215"/>
      <c r="L876" s="216"/>
      <c r="M876" s="217"/>
      <c r="O876" s="241" t="str">
        <f>IF(Q876 = "", "", COUNT(Q$4:$Q876))</f>
        <v/>
      </c>
      <c r="P876" s="241" t="str">
        <f t="shared" si="108"/>
        <v/>
      </c>
      <c r="Q876" s="242" t="str">
        <f t="shared" si="109"/>
        <v/>
      </c>
      <c r="R876" s="243" t="str">
        <f t="shared" si="112"/>
        <v/>
      </c>
      <c r="S876" s="244" t="str">
        <f t="shared" si="110"/>
        <v/>
      </c>
      <c r="T876" s="245" t="str">
        <f t="shared" si="113"/>
        <v/>
      </c>
      <c r="U876" s="246" t="str">
        <f t="shared" si="111"/>
        <v/>
      </c>
      <c r="V876" s="8"/>
      <c r="AR876" t="str">
        <f t="shared" si="115"/>
        <v/>
      </c>
      <c r="AS876" t="str">
        <f t="shared" si="114"/>
        <v/>
      </c>
    </row>
    <row r="877" spans="1:45" x14ac:dyDescent="0.3">
      <c r="A877" s="231"/>
      <c r="B877" s="235"/>
      <c r="C877" s="214"/>
      <c r="D877" s="214"/>
      <c r="E877" s="214"/>
      <c r="F877" s="214"/>
      <c r="G877" s="222"/>
      <c r="H877" s="221"/>
      <c r="I877" s="213"/>
      <c r="J877" s="213"/>
      <c r="K877" s="215"/>
      <c r="L877" s="216"/>
      <c r="M877" s="217"/>
      <c r="O877" s="241" t="str">
        <f>IF(Q877 = "", "", COUNT(Q$4:$Q877))</f>
        <v/>
      </c>
      <c r="P877" s="241" t="str">
        <f t="shared" si="108"/>
        <v/>
      </c>
      <c r="Q877" s="242" t="str">
        <f t="shared" si="109"/>
        <v/>
      </c>
      <c r="R877" s="243" t="str">
        <f t="shared" si="112"/>
        <v/>
      </c>
      <c r="S877" s="244" t="str">
        <f t="shared" si="110"/>
        <v/>
      </c>
      <c r="T877" s="245" t="str">
        <f t="shared" si="113"/>
        <v/>
      </c>
      <c r="U877" s="246" t="str">
        <f t="shared" si="111"/>
        <v/>
      </c>
      <c r="V877" s="8"/>
      <c r="AR877" t="str">
        <f t="shared" si="115"/>
        <v/>
      </c>
      <c r="AS877" t="str">
        <f t="shared" si="114"/>
        <v/>
      </c>
    </row>
    <row r="878" spans="1:45" x14ac:dyDescent="0.3">
      <c r="A878" s="231"/>
      <c r="B878" s="235"/>
      <c r="C878" s="214"/>
      <c r="D878" s="214"/>
      <c r="E878" s="214"/>
      <c r="F878" s="214"/>
      <c r="G878" s="222"/>
      <c r="H878" s="221"/>
      <c r="I878" s="213"/>
      <c r="J878" s="213"/>
      <c r="K878" s="215"/>
      <c r="L878" s="216"/>
      <c r="M878" s="217"/>
      <c r="O878" s="241" t="str">
        <f>IF(Q878 = "", "", COUNT(Q$4:$Q878))</f>
        <v/>
      </c>
      <c r="P878" s="241" t="str">
        <f t="shared" si="108"/>
        <v/>
      </c>
      <c r="Q878" s="242" t="str">
        <f t="shared" si="109"/>
        <v/>
      </c>
      <c r="R878" s="243" t="str">
        <f t="shared" si="112"/>
        <v/>
      </c>
      <c r="S878" s="244" t="str">
        <f t="shared" si="110"/>
        <v/>
      </c>
      <c r="T878" s="245" t="str">
        <f t="shared" si="113"/>
        <v/>
      </c>
      <c r="U878" s="246" t="str">
        <f t="shared" si="111"/>
        <v/>
      </c>
      <c r="V878" s="8"/>
      <c r="AR878" t="str">
        <f t="shared" si="115"/>
        <v/>
      </c>
      <c r="AS878" t="str">
        <f t="shared" si="114"/>
        <v/>
      </c>
    </row>
    <row r="879" spans="1:45" x14ac:dyDescent="0.3">
      <c r="A879" s="231"/>
      <c r="B879" s="235"/>
      <c r="C879" s="214"/>
      <c r="D879" s="214"/>
      <c r="E879" s="214"/>
      <c r="F879" s="214"/>
      <c r="G879" s="222"/>
      <c r="H879" s="221"/>
      <c r="I879" s="213"/>
      <c r="J879" s="213"/>
      <c r="K879" s="215"/>
      <c r="L879" s="216"/>
      <c r="M879" s="217"/>
      <c r="O879" s="241" t="str">
        <f>IF(Q879 = "", "", COUNT(Q$4:$Q879))</f>
        <v/>
      </c>
      <c r="P879" s="241" t="str">
        <f t="shared" si="108"/>
        <v/>
      </c>
      <c r="Q879" s="242" t="str">
        <f t="shared" si="109"/>
        <v/>
      </c>
      <c r="R879" s="243" t="str">
        <f t="shared" si="112"/>
        <v/>
      </c>
      <c r="S879" s="244" t="str">
        <f t="shared" si="110"/>
        <v/>
      </c>
      <c r="T879" s="245" t="str">
        <f t="shared" si="113"/>
        <v/>
      </c>
      <c r="U879" s="246" t="str">
        <f t="shared" si="111"/>
        <v/>
      </c>
      <c r="V879" s="8"/>
      <c r="AR879" t="str">
        <f t="shared" si="115"/>
        <v/>
      </c>
      <c r="AS879" t="str">
        <f t="shared" si="114"/>
        <v/>
      </c>
    </row>
    <row r="880" spans="1:45" x14ac:dyDescent="0.3">
      <c r="A880" s="231"/>
      <c r="B880" s="235"/>
      <c r="C880" s="214"/>
      <c r="D880" s="214"/>
      <c r="E880" s="214"/>
      <c r="F880" s="214"/>
      <c r="G880" s="222"/>
      <c r="H880" s="221"/>
      <c r="I880" s="213"/>
      <c r="J880" s="213"/>
      <c r="K880" s="215"/>
      <c r="L880" s="216"/>
      <c r="M880" s="217"/>
      <c r="O880" s="241" t="str">
        <f>IF(Q880 = "", "", COUNT(Q$4:$Q880))</f>
        <v/>
      </c>
      <c r="P880" s="241" t="str">
        <f t="shared" si="108"/>
        <v/>
      </c>
      <c r="Q880" s="242" t="str">
        <f t="shared" si="109"/>
        <v/>
      </c>
      <c r="R880" s="243" t="str">
        <f t="shared" si="112"/>
        <v/>
      </c>
      <c r="S880" s="244" t="str">
        <f t="shared" si="110"/>
        <v/>
      </c>
      <c r="T880" s="245" t="str">
        <f t="shared" si="113"/>
        <v/>
      </c>
      <c r="U880" s="246" t="str">
        <f t="shared" si="111"/>
        <v/>
      </c>
      <c r="V880" s="8"/>
      <c r="AR880" t="str">
        <f t="shared" si="115"/>
        <v/>
      </c>
      <c r="AS880" t="str">
        <f t="shared" si="114"/>
        <v/>
      </c>
    </row>
    <row r="881" spans="1:45" x14ac:dyDescent="0.3">
      <c r="A881" s="231"/>
      <c r="B881" s="235"/>
      <c r="C881" s="214"/>
      <c r="D881" s="214"/>
      <c r="E881" s="214"/>
      <c r="F881" s="214"/>
      <c r="G881" s="222"/>
      <c r="H881" s="221"/>
      <c r="I881" s="213"/>
      <c r="J881" s="213"/>
      <c r="K881" s="215"/>
      <c r="L881" s="216"/>
      <c r="M881" s="217"/>
      <c r="O881" s="241" t="str">
        <f>IF(Q881 = "", "", COUNT(Q$4:$Q881))</f>
        <v/>
      </c>
      <c r="P881" s="241" t="str">
        <f t="shared" si="108"/>
        <v/>
      </c>
      <c r="Q881" s="242" t="str">
        <f t="shared" si="109"/>
        <v/>
      </c>
      <c r="R881" s="243" t="str">
        <f t="shared" si="112"/>
        <v/>
      </c>
      <c r="S881" s="244" t="str">
        <f t="shared" si="110"/>
        <v/>
      </c>
      <c r="T881" s="245" t="str">
        <f t="shared" si="113"/>
        <v/>
      </c>
      <c r="U881" s="246" t="str">
        <f t="shared" si="111"/>
        <v/>
      </c>
      <c r="V881" s="8"/>
      <c r="AR881" t="str">
        <f t="shared" si="115"/>
        <v/>
      </c>
      <c r="AS881" t="str">
        <f t="shared" si="114"/>
        <v/>
      </c>
    </row>
    <row r="882" spans="1:45" x14ac:dyDescent="0.3">
      <c r="A882" s="231"/>
      <c r="B882" s="235"/>
      <c r="C882" s="214"/>
      <c r="D882" s="214"/>
      <c r="E882" s="214"/>
      <c r="F882" s="214"/>
      <c r="G882" s="222"/>
      <c r="H882" s="221"/>
      <c r="I882" s="213"/>
      <c r="J882" s="213"/>
      <c r="K882" s="215"/>
      <c r="L882" s="216"/>
      <c r="M882" s="217"/>
      <c r="O882" s="241" t="str">
        <f>IF(Q882 = "", "", COUNT(Q$4:$Q882))</f>
        <v/>
      </c>
      <c r="P882" s="241" t="str">
        <f t="shared" si="108"/>
        <v/>
      </c>
      <c r="Q882" s="242" t="str">
        <f t="shared" si="109"/>
        <v/>
      </c>
      <c r="R882" s="243" t="str">
        <f t="shared" si="112"/>
        <v/>
      </c>
      <c r="S882" s="244" t="str">
        <f t="shared" si="110"/>
        <v/>
      </c>
      <c r="T882" s="245" t="str">
        <f t="shared" si="113"/>
        <v/>
      </c>
      <c r="U882" s="246" t="str">
        <f t="shared" si="111"/>
        <v/>
      </c>
      <c r="V882" s="8"/>
      <c r="AR882" t="str">
        <f t="shared" si="115"/>
        <v/>
      </c>
      <c r="AS882" t="str">
        <f t="shared" si="114"/>
        <v/>
      </c>
    </row>
    <row r="883" spans="1:45" x14ac:dyDescent="0.3">
      <c r="A883" s="231"/>
      <c r="B883" s="235"/>
      <c r="C883" s="214"/>
      <c r="D883" s="214"/>
      <c r="E883" s="214"/>
      <c r="F883" s="214"/>
      <c r="G883" s="222"/>
      <c r="H883" s="221"/>
      <c r="I883" s="213"/>
      <c r="J883" s="213"/>
      <c r="K883" s="215"/>
      <c r="L883" s="216"/>
      <c r="M883" s="217"/>
      <c r="O883" s="241" t="str">
        <f>IF(Q883 = "", "", COUNT(Q$4:$Q883))</f>
        <v/>
      </c>
      <c r="P883" s="241" t="str">
        <f t="shared" si="108"/>
        <v/>
      </c>
      <c r="Q883" s="242" t="str">
        <f t="shared" si="109"/>
        <v/>
      </c>
      <c r="R883" s="243" t="str">
        <f t="shared" si="112"/>
        <v/>
      </c>
      <c r="S883" s="244" t="str">
        <f t="shared" si="110"/>
        <v/>
      </c>
      <c r="T883" s="245" t="str">
        <f t="shared" si="113"/>
        <v/>
      </c>
      <c r="U883" s="246" t="str">
        <f t="shared" si="111"/>
        <v/>
      </c>
      <c r="V883" s="8"/>
      <c r="AR883" t="str">
        <f t="shared" si="115"/>
        <v/>
      </c>
      <c r="AS883" t="str">
        <f t="shared" si="114"/>
        <v/>
      </c>
    </row>
    <row r="884" spans="1:45" x14ac:dyDescent="0.3">
      <c r="A884" s="231"/>
      <c r="B884" s="235"/>
      <c r="C884" s="214"/>
      <c r="D884" s="214"/>
      <c r="E884" s="214"/>
      <c r="F884" s="214"/>
      <c r="G884" s="222"/>
      <c r="H884" s="221"/>
      <c r="I884" s="213"/>
      <c r="J884" s="213"/>
      <c r="K884" s="215"/>
      <c r="L884" s="216"/>
      <c r="M884" s="217"/>
      <c r="O884" s="241" t="str">
        <f>IF(Q884 = "", "", COUNT(Q$4:$Q884))</f>
        <v/>
      </c>
      <c r="P884" s="241" t="str">
        <f t="shared" si="108"/>
        <v/>
      </c>
      <c r="Q884" s="242" t="str">
        <f t="shared" si="109"/>
        <v/>
      </c>
      <c r="R884" s="243" t="str">
        <f t="shared" si="112"/>
        <v/>
      </c>
      <c r="S884" s="244" t="str">
        <f t="shared" si="110"/>
        <v/>
      </c>
      <c r="T884" s="245" t="str">
        <f t="shared" si="113"/>
        <v/>
      </c>
      <c r="U884" s="246" t="str">
        <f t="shared" si="111"/>
        <v/>
      </c>
      <c r="V884" s="8"/>
      <c r="AR884" t="str">
        <f t="shared" si="115"/>
        <v/>
      </c>
      <c r="AS884" t="str">
        <f t="shared" si="114"/>
        <v/>
      </c>
    </row>
    <row r="885" spans="1:45" x14ac:dyDescent="0.3">
      <c r="A885" s="231"/>
      <c r="B885" s="235"/>
      <c r="C885" s="214"/>
      <c r="D885" s="214"/>
      <c r="E885" s="214"/>
      <c r="F885" s="214"/>
      <c r="G885" s="222"/>
      <c r="H885" s="221"/>
      <c r="I885" s="213"/>
      <c r="J885" s="213"/>
      <c r="K885" s="215"/>
      <c r="L885" s="216"/>
      <c r="M885" s="217"/>
      <c r="O885" s="241" t="str">
        <f>IF(Q885 = "", "", COUNT(Q$4:$Q885))</f>
        <v/>
      </c>
      <c r="P885" s="241" t="str">
        <f t="shared" si="108"/>
        <v/>
      </c>
      <c r="Q885" s="242" t="str">
        <f t="shared" si="109"/>
        <v/>
      </c>
      <c r="R885" s="243" t="str">
        <f t="shared" si="112"/>
        <v/>
      </c>
      <c r="S885" s="244" t="str">
        <f t="shared" si="110"/>
        <v/>
      </c>
      <c r="T885" s="245" t="str">
        <f t="shared" si="113"/>
        <v/>
      </c>
      <c r="U885" s="246" t="str">
        <f t="shared" si="111"/>
        <v/>
      </c>
      <c r="V885" s="8"/>
      <c r="AR885" t="str">
        <f t="shared" si="115"/>
        <v/>
      </c>
      <c r="AS885" t="str">
        <f t="shared" si="114"/>
        <v/>
      </c>
    </row>
    <row r="886" spans="1:45" x14ac:dyDescent="0.3">
      <c r="A886" s="231"/>
      <c r="B886" s="235"/>
      <c r="C886" s="214"/>
      <c r="D886" s="214"/>
      <c r="E886" s="214"/>
      <c r="F886" s="214"/>
      <c r="G886" s="222"/>
      <c r="H886" s="221"/>
      <c r="I886" s="213"/>
      <c r="J886" s="213"/>
      <c r="K886" s="215"/>
      <c r="L886" s="216"/>
      <c r="M886" s="217"/>
      <c r="O886" s="241" t="str">
        <f>IF(Q886 = "", "", COUNT(Q$4:$Q886))</f>
        <v/>
      </c>
      <c r="P886" s="241" t="str">
        <f t="shared" si="108"/>
        <v/>
      </c>
      <c r="Q886" s="242" t="str">
        <f t="shared" si="109"/>
        <v/>
      </c>
      <c r="R886" s="243" t="str">
        <f t="shared" si="112"/>
        <v/>
      </c>
      <c r="S886" s="244" t="str">
        <f t="shared" si="110"/>
        <v/>
      </c>
      <c r="T886" s="245" t="str">
        <f t="shared" si="113"/>
        <v/>
      </c>
      <c r="U886" s="246" t="str">
        <f t="shared" si="111"/>
        <v/>
      </c>
      <c r="V886" s="8"/>
      <c r="AR886" t="str">
        <f t="shared" si="115"/>
        <v/>
      </c>
      <c r="AS886" t="str">
        <f t="shared" si="114"/>
        <v/>
      </c>
    </row>
    <row r="887" spans="1:45" x14ac:dyDescent="0.3">
      <c r="A887" s="231"/>
      <c r="B887" s="235"/>
      <c r="C887" s="214"/>
      <c r="D887" s="214"/>
      <c r="E887" s="214"/>
      <c r="F887" s="214"/>
      <c r="G887" s="222"/>
      <c r="H887" s="221"/>
      <c r="I887" s="213"/>
      <c r="J887" s="213"/>
      <c r="K887" s="215"/>
      <c r="L887" s="216"/>
      <c r="M887" s="217"/>
      <c r="O887" s="241" t="str">
        <f>IF(Q887 = "", "", COUNT(Q$4:$Q887))</f>
        <v/>
      </c>
      <c r="P887" s="241" t="str">
        <f t="shared" si="108"/>
        <v/>
      </c>
      <c r="Q887" s="242" t="str">
        <f t="shared" si="109"/>
        <v/>
      </c>
      <c r="R887" s="243" t="str">
        <f t="shared" si="112"/>
        <v/>
      </c>
      <c r="S887" s="244" t="str">
        <f t="shared" si="110"/>
        <v/>
      </c>
      <c r="T887" s="245" t="str">
        <f t="shared" si="113"/>
        <v/>
      </c>
      <c r="U887" s="246" t="str">
        <f t="shared" si="111"/>
        <v/>
      </c>
      <c r="V887" s="8"/>
      <c r="AR887" t="str">
        <f t="shared" si="115"/>
        <v/>
      </c>
      <c r="AS887" t="str">
        <f t="shared" si="114"/>
        <v/>
      </c>
    </row>
    <row r="888" spans="1:45" x14ac:dyDescent="0.3">
      <c r="A888" s="231"/>
      <c r="B888" s="235"/>
      <c r="C888" s="214"/>
      <c r="D888" s="214"/>
      <c r="E888" s="214"/>
      <c r="F888" s="214"/>
      <c r="G888" s="222"/>
      <c r="H888" s="221"/>
      <c r="I888" s="213"/>
      <c r="J888" s="213"/>
      <c r="K888" s="215"/>
      <c r="L888" s="216"/>
      <c r="M888" s="217"/>
      <c r="O888" s="241" t="str">
        <f>IF(Q888 = "", "", COUNT(Q$4:$Q888))</f>
        <v/>
      </c>
      <c r="P888" s="241" t="str">
        <f t="shared" si="108"/>
        <v/>
      </c>
      <c r="Q888" s="242" t="str">
        <f t="shared" si="109"/>
        <v/>
      </c>
      <c r="R888" s="243" t="str">
        <f t="shared" si="112"/>
        <v/>
      </c>
      <c r="S888" s="244" t="str">
        <f t="shared" si="110"/>
        <v/>
      </c>
      <c r="T888" s="245" t="str">
        <f t="shared" si="113"/>
        <v/>
      </c>
      <c r="U888" s="246" t="str">
        <f t="shared" si="111"/>
        <v/>
      </c>
      <c r="V888" s="8"/>
      <c r="AR888" t="str">
        <f t="shared" si="115"/>
        <v/>
      </c>
      <c r="AS888" t="str">
        <f t="shared" si="114"/>
        <v/>
      </c>
    </row>
    <row r="889" spans="1:45" x14ac:dyDescent="0.3">
      <c r="A889" s="231"/>
      <c r="B889" s="235"/>
      <c r="C889" s="214"/>
      <c r="D889" s="214"/>
      <c r="E889" s="214"/>
      <c r="F889" s="214"/>
      <c r="G889" s="222"/>
      <c r="H889" s="221"/>
      <c r="I889" s="213"/>
      <c r="J889" s="213"/>
      <c r="K889" s="215"/>
      <c r="L889" s="216"/>
      <c r="M889" s="217"/>
      <c r="O889" s="241" t="str">
        <f>IF(Q889 = "", "", COUNT(Q$4:$Q889))</f>
        <v/>
      </c>
      <c r="P889" s="241" t="str">
        <f t="shared" si="108"/>
        <v/>
      </c>
      <c r="Q889" s="242" t="str">
        <f t="shared" si="109"/>
        <v/>
      </c>
      <c r="R889" s="243" t="str">
        <f t="shared" si="112"/>
        <v/>
      </c>
      <c r="S889" s="244" t="str">
        <f t="shared" si="110"/>
        <v/>
      </c>
      <c r="T889" s="245" t="str">
        <f t="shared" si="113"/>
        <v/>
      </c>
      <c r="U889" s="246" t="str">
        <f t="shared" si="111"/>
        <v/>
      </c>
      <c r="V889" s="8"/>
      <c r="AR889" t="str">
        <f t="shared" si="115"/>
        <v/>
      </c>
      <c r="AS889" t="str">
        <f t="shared" si="114"/>
        <v/>
      </c>
    </row>
    <row r="890" spans="1:45" x14ac:dyDescent="0.3">
      <c r="A890" s="231"/>
      <c r="B890" s="235"/>
      <c r="C890" s="214"/>
      <c r="D890" s="214"/>
      <c r="E890" s="214"/>
      <c r="F890" s="214"/>
      <c r="G890" s="222"/>
      <c r="H890" s="221"/>
      <c r="I890" s="213"/>
      <c r="J890" s="213"/>
      <c r="K890" s="215"/>
      <c r="L890" s="216"/>
      <c r="M890" s="217"/>
      <c r="O890" s="241" t="str">
        <f>IF(Q890 = "", "", COUNT(Q$4:$Q890))</f>
        <v/>
      </c>
      <c r="P890" s="241" t="str">
        <f t="shared" si="108"/>
        <v/>
      </c>
      <c r="Q890" s="242" t="str">
        <f t="shared" si="109"/>
        <v/>
      </c>
      <c r="R890" s="243" t="str">
        <f t="shared" si="112"/>
        <v/>
      </c>
      <c r="S890" s="244" t="str">
        <f t="shared" si="110"/>
        <v/>
      </c>
      <c r="T890" s="245" t="str">
        <f t="shared" si="113"/>
        <v/>
      </c>
      <c r="U890" s="246" t="str">
        <f t="shared" si="111"/>
        <v/>
      </c>
      <c r="V890" s="8"/>
      <c r="AR890" t="str">
        <f t="shared" si="115"/>
        <v/>
      </c>
      <c r="AS890" t="str">
        <f t="shared" si="114"/>
        <v/>
      </c>
    </row>
    <row r="891" spans="1:45" x14ac:dyDescent="0.3">
      <c r="A891" s="231"/>
      <c r="B891" s="235"/>
      <c r="C891" s="214"/>
      <c r="D891" s="214"/>
      <c r="E891" s="214"/>
      <c r="F891" s="214"/>
      <c r="G891" s="222"/>
      <c r="H891" s="221"/>
      <c r="I891" s="213"/>
      <c r="J891" s="213"/>
      <c r="K891" s="215"/>
      <c r="L891" s="216"/>
      <c r="M891" s="217"/>
      <c r="O891" s="241" t="str">
        <f>IF(Q891 = "", "", COUNT(Q$4:$Q891))</f>
        <v/>
      </c>
      <c r="P891" s="241" t="str">
        <f t="shared" si="108"/>
        <v/>
      </c>
      <c r="Q891" s="242" t="str">
        <f t="shared" si="109"/>
        <v/>
      </c>
      <c r="R891" s="243" t="str">
        <f t="shared" si="112"/>
        <v/>
      </c>
      <c r="S891" s="244" t="str">
        <f t="shared" si="110"/>
        <v/>
      </c>
      <c r="T891" s="245" t="str">
        <f t="shared" si="113"/>
        <v/>
      </c>
      <c r="U891" s="246" t="str">
        <f t="shared" si="111"/>
        <v/>
      </c>
      <c r="V891" s="8"/>
      <c r="AR891" t="str">
        <f t="shared" si="115"/>
        <v/>
      </c>
      <c r="AS891" t="str">
        <f t="shared" si="114"/>
        <v/>
      </c>
    </row>
    <row r="892" spans="1:45" x14ac:dyDescent="0.3">
      <c r="A892" s="231"/>
      <c r="B892" s="235"/>
      <c r="C892" s="214"/>
      <c r="D892" s="214"/>
      <c r="E892" s="214"/>
      <c r="F892" s="214"/>
      <c r="G892" s="222"/>
      <c r="H892" s="221"/>
      <c r="I892" s="213"/>
      <c r="J892" s="213"/>
      <c r="K892" s="215"/>
      <c r="L892" s="216"/>
      <c r="M892" s="217"/>
      <c r="O892" s="241" t="str">
        <f>IF(Q892 = "", "", COUNT(Q$4:$Q892))</f>
        <v/>
      </c>
      <c r="P892" s="241" t="str">
        <f t="shared" si="108"/>
        <v/>
      </c>
      <c r="Q892" s="242" t="str">
        <f t="shared" si="109"/>
        <v/>
      </c>
      <c r="R892" s="243" t="str">
        <f t="shared" si="112"/>
        <v/>
      </c>
      <c r="S892" s="244" t="str">
        <f t="shared" si="110"/>
        <v/>
      </c>
      <c r="T892" s="245" t="str">
        <f t="shared" si="113"/>
        <v/>
      </c>
      <c r="U892" s="246" t="str">
        <f t="shared" si="111"/>
        <v/>
      </c>
      <c r="V892" s="8"/>
      <c r="AR892" t="str">
        <f t="shared" si="115"/>
        <v/>
      </c>
      <c r="AS892" t="str">
        <f t="shared" si="114"/>
        <v/>
      </c>
    </row>
    <row r="893" spans="1:45" x14ac:dyDescent="0.3">
      <c r="A893" s="231"/>
      <c r="B893" s="235"/>
      <c r="C893" s="214"/>
      <c r="D893" s="214"/>
      <c r="E893" s="214"/>
      <c r="F893" s="214"/>
      <c r="G893" s="222"/>
      <c r="H893" s="221"/>
      <c r="I893" s="213"/>
      <c r="J893" s="213"/>
      <c r="K893" s="215"/>
      <c r="L893" s="216"/>
      <c r="M893" s="217"/>
      <c r="O893" s="241" t="str">
        <f>IF(Q893 = "", "", COUNT(Q$4:$Q893))</f>
        <v/>
      </c>
      <c r="P893" s="241" t="str">
        <f t="shared" si="108"/>
        <v/>
      </c>
      <c r="Q893" s="242" t="str">
        <f t="shared" si="109"/>
        <v/>
      </c>
      <c r="R893" s="243" t="str">
        <f t="shared" si="112"/>
        <v/>
      </c>
      <c r="S893" s="244" t="str">
        <f t="shared" si="110"/>
        <v/>
      </c>
      <c r="T893" s="245" t="str">
        <f t="shared" si="113"/>
        <v/>
      </c>
      <c r="U893" s="246" t="str">
        <f t="shared" si="111"/>
        <v/>
      </c>
      <c r="V893" s="8"/>
      <c r="AR893" t="str">
        <f t="shared" si="115"/>
        <v/>
      </c>
      <c r="AS893" t="str">
        <f t="shared" si="114"/>
        <v/>
      </c>
    </row>
    <row r="894" spans="1:45" x14ac:dyDescent="0.3">
      <c r="A894" s="231"/>
      <c r="B894" s="235"/>
      <c r="C894" s="214"/>
      <c r="D894" s="214"/>
      <c r="E894" s="214"/>
      <c r="F894" s="214"/>
      <c r="G894" s="222"/>
      <c r="H894" s="221"/>
      <c r="I894" s="213"/>
      <c r="J894" s="213"/>
      <c r="K894" s="215"/>
      <c r="L894" s="216"/>
      <c r="M894" s="217"/>
      <c r="O894" s="241" t="str">
        <f>IF(Q894 = "", "", COUNT(Q$4:$Q894))</f>
        <v/>
      </c>
      <c r="P894" s="241" t="str">
        <f t="shared" si="108"/>
        <v/>
      </c>
      <c r="Q894" s="242" t="str">
        <f t="shared" si="109"/>
        <v/>
      </c>
      <c r="R894" s="243" t="str">
        <f t="shared" si="112"/>
        <v/>
      </c>
      <c r="S894" s="244" t="str">
        <f t="shared" si="110"/>
        <v/>
      </c>
      <c r="T894" s="245" t="str">
        <f t="shared" si="113"/>
        <v/>
      </c>
      <c r="U894" s="246" t="str">
        <f t="shared" si="111"/>
        <v/>
      </c>
      <c r="V894" s="8"/>
      <c r="AR894" t="str">
        <f t="shared" si="115"/>
        <v/>
      </c>
      <c r="AS894" t="str">
        <f t="shared" si="114"/>
        <v/>
      </c>
    </row>
    <row r="895" spans="1:45" x14ac:dyDescent="0.3">
      <c r="A895" s="231"/>
      <c r="B895" s="235"/>
      <c r="C895" s="214"/>
      <c r="D895" s="214"/>
      <c r="E895" s="214"/>
      <c r="F895" s="214"/>
      <c r="G895" s="222"/>
      <c r="H895" s="221"/>
      <c r="I895" s="213"/>
      <c r="J895" s="213"/>
      <c r="K895" s="215"/>
      <c r="L895" s="216"/>
      <c r="M895" s="217"/>
      <c r="O895" s="241" t="str">
        <f>IF(Q895 = "", "", COUNT(Q$4:$Q895))</f>
        <v/>
      </c>
      <c r="P895" s="241" t="str">
        <f t="shared" si="108"/>
        <v/>
      </c>
      <c r="Q895" s="242" t="str">
        <f t="shared" si="109"/>
        <v/>
      </c>
      <c r="R895" s="243" t="str">
        <f t="shared" si="112"/>
        <v/>
      </c>
      <c r="S895" s="244" t="str">
        <f t="shared" si="110"/>
        <v/>
      </c>
      <c r="T895" s="245" t="str">
        <f t="shared" si="113"/>
        <v/>
      </c>
      <c r="U895" s="246" t="str">
        <f t="shared" si="111"/>
        <v/>
      </c>
      <c r="V895" s="8"/>
      <c r="AR895" t="str">
        <f t="shared" si="115"/>
        <v/>
      </c>
      <c r="AS895" t="str">
        <f t="shared" si="114"/>
        <v/>
      </c>
    </row>
    <row r="896" spans="1:45" x14ac:dyDescent="0.3">
      <c r="A896" s="231"/>
      <c r="B896" s="235"/>
      <c r="C896" s="214"/>
      <c r="D896" s="214"/>
      <c r="E896" s="214"/>
      <c r="F896" s="214"/>
      <c r="G896" s="222"/>
      <c r="H896" s="221"/>
      <c r="I896" s="213"/>
      <c r="J896" s="213"/>
      <c r="K896" s="215"/>
      <c r="L896" s="216"/>
      <c r="M896" s="217"/>
      <c r="O896" s="241" t="str">
        <f>IF(Q896 = "", "", COUNT(Q$4:$Q896))</f>
        <v/>
      </c>
      <c r="P896" s="241" t="str">
        <f t="shared" si="108"/>
        <v/>
      </c>
      <c r="Q896" s="242" t="str">
        <f t="shared" si="109"/>
        <v/>
      </c>
      <c r="R896" s="243" t="str">
        <f t="shared" si="112"/>
        <v/>
      </c>
      <c r="S896" s="244" t="str">
        <f t="shared" si="110"/>
        <v/>
      </c>
      <c r="T896" s="245" t="str">
        <f t="shared" si="113"/>
        <v/>
      </c>
      <c r="U896" s="246" t="str">
        <f t="shared" si="111"/>
        <v/>
      </c>
      <c r="V896" s="8"/>
      <c r="AR896" t="str">
        <f t="shared" si="115"/>
        <v/>
      </c>
      <c r="AS896" t="str">
        <f t="shared" si="114"/>
        <v/>
      </c>
    </row>
    <row r="897" spans="1:45" x14ac:dyDescent="0.3">
      <c r="A897" s="231"/>
      <c r="B897" s="235"/>
      <c r="C897" s="214"/>
      <c r="D897" s="214"/>
      <c r="E897" s="214"/>
      <c r="F897" s="214"/>
      <c r="G897" s="222"/>
      <c r="H897" s="221"/>
      <c r="I897" s="213"/>
      <c r="J897" s="213"/>
      <c r="K897" s="215"/>
      <c r="L897" s="216"/>
      <c r="M897" s="217"/>
      <c r="O897" s="241" t="str">
        <f>IF(Q897 = "", "", COUNT(Q$4:$Q897))</f>
        <v/>
      </c>
      <c r="P897" s="241" t="str">
        <f t="shared" si="108"/>
        <v/>
      </c>
      <c r="Q897" s="242" t="str">
        <f t="shared" si="109"/>
        <v/>
      </c>
      <c r="R897" s="243" t="str">
        <f t="shared" si="112"/>
        <v/>
      </c>
      <c r="S897" s="244" t="str">
        <f t="shared" si="110"/>
        <v/>
      </c>
      <c r="T897" s="245" t="str">
        <f t="shared" si="113"/>
        <v/>
      </c>
      <c r="U897" s="246" t="str">
        <f t="shared" si="111"/>
        <v/>
      </c>
      <c r="V897" s="8"/>
      <c r="AR897" t="str">
        <f t="shared" si="115"/>
        <v/>
      </c>
      <c r="AS897" t="str">
        <f t="shared" si="114"/>
        <v/>
      </c>
    </row>
    <row r="898" spans="1:45" x14ac:dyDescent="0.3">
      <c r="A898" s="231"/>
      <c r="B898" s="235"/>
      <c r="C898" s="214"/>
      <c r="D898" s="214"/>
      <c r="E898" s="214"/>
      <c r="F898" s="214"/>
      <c r="G898" s="222"/>
      <c r="H898" s="221"/>
      <c r="I898" s="213"/>
      <c r="J898" s="213"/>
      <c r="K898" s="215"/>
      <c r="L898" s="216"/>
      <c r="M898" s="217"/>
      <c r="O898" s="241" t="str">
        <f>IF(Q898 = "", "", COUNT(Q$4:$Q898))</f>
        <v/>
      </c>
      <c r="P898" s="241" t="str">
        <f t="shared" si="108"/>
        <v/>
      </c>
      <c r="Q898" s="242" t="str">
        <f t="shared" si="109"/>
        <v/>
      </c>
      <c r="R898" s="243" t="str">
        <f t="shared" si="112"/>
        <v/>
      </c>
      <c r="S898" s="244" t="str">
        <f t="shared" si="110"/>
        <v/>
      </c>
      <c r="T898" s="245" t="str">
        <f t="shared" si="113"/>
        <v/>
      </c>
      <c r="U898" s="246" t="str">
        <f t="shared" si="111"/>
        <v/>
      </c>
      <c r="V898" s="8"/>
      <c r="AR898" t="str">
        <f t="shared" si="115"/>
        <v/>
      </c>
      <c r="AS898" t="str">
        <f t="shared" si="114"/>
        <v/>
      </c>
    </row>
    <row r="899" spans="1:45" x14ac:dyDescent="0.3">
      <c r="A899" s="231"/>
      <c r="B899" s="235"/>
      <c r="C899" s="214"/>
      <c r="D899" s="214"/>
      <c r="E899" s="214"/>
      <c r="F899" s="214"/>
      <c r="G899" s="222"/>
      <c r="H899" s="221"/>
      <c r="I899" s="213"/>
      <c r="J899" s="213"/>
      <c r="K899" s="215"/>
      <c r="L899" s="216"/>
      <c r="M899" s="217"/>
      <c r="O899" s="241" t="str">
        <f>IF(Q899 = "", "", COUNT(Q$4:$Q899))</f>
        <v/>
      </c>
      <c r="P899" s="241" t="str">
        <f t="shared" si="108"/>
        <v/>
      </c>
      <c r="Q899" s="242" t="str">
        <f t="shared" si="109"/>
        <v/>
      </c>
      <c r="R899" s="243" t="str">
        <f t="shared" si="112"/>
        <v/>
      </c>
      <c r="S899" s="244" t="str">
        <f t="shared" si="110"/>
        <v/>
      </c>
      <c r="T899" s="245" t="str">
        <f t="shared" si="113"/>
        <v/>
      </c>
      <c r="U899" s="246" t="str">
        <f t="shared" si="111"/>
        <v/>
      </c>
      <c r="V899" s="8"/>
      <c r="AR899" t="str">
        <f t="shared" si="115"/>
        <v/>
      </c>
      <c r="AS899" t="str">
        <f t="shared" si="114"/>
        <v/>
      </c>
    </row>
    <row r="900" spans="1:45" x14ac:dyDescent="0.3">
      <c r="A900" s="231"/>
      <c r="B900" s="235"/>
      <c r="C900" s="214"/>
      <c r="D900" s="214"/>
      <c r="E900" s="214"/>
      <c r="F900" s="214"/>
      <c r="G900" s="222"/>
      <c r="H900" s="221"/>
      <c r="I900" s="213"/>
      <c r="J900" s="213"/>
      <c r="K900" s="215"/>
      <c r="L900" s="216"/>
      <c r="M900" s="217"/>
      <c r="O900" s="241" t="str">
        <f>IF(Q900 = "", "", COUNT(Q$4:$Q900))</f>
        <v/>
      </c>
      <c r="P900" s="241" t="str">
        <f t="shared" ref="P900:P963" si="116">IF(C900 &gt; 0, YEAR(B900), "")</f>
        <v/>
      </c>
      <c r="Q900" s="242" t="str">
        <f t="shared" ref="Q900:Q963" si="117">IF(A900="", "", IF(G900="",1,IF(G900="O",1,IF(G900="C",8.4,IF(G900="B",8.4,IF(G900="A",76.8,IF(G900="K",76.8,"ERR")))))))</f>
        <v/>
      </c>
      <c r="R900" s="243" t="str">
        <f t="shared" si="112"/>
        <v/>
      </c>
      <c r="S900" s="244" t="str">
        <f t="shared" ref="S900:S963" si="118">IF(IF(L900&lt;&gt;"",G900,"")=0, "O", IF(L900&lt;&gt;"",G900,""))</f>
        <v/>
      </c>
      <c r="T900" s="245" t="str">
        <f t="shared" si="113"/>
        <v/>
      </c>
      <c r="U900" s="246" t="str">
        <f t="shared" ref="U900:U963" si="119">IF(IF(M900&lt;&gt;"",G900,"")=0, "O", IF(M900&lt;&gt;"",G900,""))</f>
        <v/>
      </c>
      <c r="V900" s="8"/>
      <c r="AR900" t="str">
        <f t="shared" si="115"/>
        <v/>
      </c>
      <c r="AS900" t="str">
        <f t="shared" si="114"/>
        <v/>
      </c>
    </row>
    <row r="901" spans="1:45" x14ac:dyDescent="0.3">
      <c r="A901" s="231"/>
      <c r="B901" s="235"/>
      <c r="C901" s="214"/>
      <c r="D901" s="214"/>
      <c r="E901" s="214"/>
      <c r="F901" s="214"/>
      <c r="G901" s="222"/>
      <c r="H901" s="221"/>
      <c r="I901" s="213"/>
      <c r="J901" s="213"/>
      <c r="K901" s="215"/>
      <c r="L901" s="216"/>
      <c r="M901" s="217"/>
      <c r="O901" s="241" t="str">
        <f>IF(Q901 = "", "", COUNT(Q$4:$Q901))</f>
        <v/>
      </c>
      <c r="P901" s="241" t="str">
        <f t="shared" si="116"/>
        <v/>
      </c>
      <c r="Q901" s="242" t="str">
        <f t="shared" si="117"/>
        <v/>
      </c>
      <c r="R901" s="243" t="str">
        <f t="shared" ref="R901:R964" si="120">IF(L901&lt;&gt;"",Q901,"")</f>
        <v/>
      </c>
      <c r="S901" s="244" t="str">
        <f t="shared" si="118"/>
        <v/>
      </c>
      <c r="T901" s="245" t="str">
        <f t="shared" ref="T901:T964" si="121">IF(M901&lt;&gt;"",Q901,"")</f>
        <v/>
      </c>
      <c r="U901" s="246" t="str">
        <f t="shared" si="119"/>
        <v/>
      </c>
      <c r="V901" s="8"/>
      <c r="AR901" t="str">
        <f t="shared" si="115"/>
        <v/>
      </c>
      <c r="AS901" t="str">
        <f t="shared" si="114"/>
        <v/>
      </c>
    </row>
    <row r="902" spans="1:45" x14ac:dyDescent="0.3">
      <c r="A902" s="231"/>
      <c r="B902" s="235"/>
      <c r="C902" s="214"/>
      <c r="D902" s="214"/>
      <c r="E902" s="214"/>
      <c r="F902" s="214"/>
      <c r="G902" s="222"/>
      <c r="H902" s="221"/>
      <c r="I902" s="213"/>
      <c r="J902" s="213"/>
      <c r="K902" s="215"/>
      <c r="L902" s="216"/>
      <c r="M902" s="217"/>
      <c r="O902" s="241" t="str">
        <f>IF(Q902 = "", "", COUNT(Q$4:$Q902))</f>
        <v/>
      </c>
      <c r="P902" s="241" t="str">
        <f t="shared" si="116"/>
        <v/>
      </c>
      <c r="Q902" s="242" t="str">
        <f t="shared" si="117"/>
        <v/>
      </c>
      <c r="R902" s="243" t="str">
        <f t="shared" si="120"/>
        <v/>
      </c>
      <c r="S902" s="244" t="str">
        <f t="shared" si="118"/>
        <v/>
      </c>
      <c r="T902" s="245" t="str">
        <f t="shared" si="121"/>
        <v/>
      </c>
      <c r="U902" s="246" t="str">
        <f t="shared" si="119"/>
        <v/>
      </c>
      <c r="V902" s="8"/>
      <c r="AR902" t="str">
        <f t="shared" si="115"/>
        <v/>
      </c>
      <c r="AS902" t="str">
        <f t="shared" si="114"/>
        <v/>
      </c>
    </row>
    <row r="903" spans="1:45" x14ac:dyDescent="0.3">
      <c r="A903" s="231"/>
      <c r="B903" s="235"/>
      <c r="C903" s="214"/>
      <c r="D903" s="214"/>
      <c r="E903" s="214"/>
      <c r="F903" s="214"/>
      <c r="G903" s="222"/>
      <c r="H903" s="221"/>
      <c r="I903" s="213"/>
      <c r="J903" s="213"/>
      <c r="K903" s="215"/>
      <c r="L903" s="216"/>
      <c r="M903" s="217"/>
      <c r="O903" s="241" t="str">
        <f>IF(Q903 = "", "", COUNT(Q$4:$Q903))</f>
        <v/>
      </c>
      <c r="P903" s="241" t="str">
        <f t="shared" si="116"/>
        <v/>
      </c>
      <c r="Q903" s="242" t="str">
        <f t="shared" si="117"/>
        <v/>
      </c>
      <c r="R903" s="243" t="str">
        <f t="shared" si="120"/>
        <v/>
      </c>
      <c r="S903" s="244" t="str">
        <f t="shared" si="118"/>
        <v/>
      </c>
      <c r="T903" s="245" t="str">
        <f t="shared" si="121"/>
        <v/>
      </c>
      <c r="U903" s="246" t="str">
        <f t="shared" si="119"/>
        <v/>
      </c>
      <c r="V903" s="8"/>
      <c r="AR903" t="str">
        <f t="shared" si="115"/>
        <v/>
      </c>
      <c r="AS903" t="str">
        <f t="shared" si="114"/>
        <v/>
      </c>
    </row>
    <row r="904" spans="1:45" x14ac:dyDescent="0.3">
      <c r="A904" s="231"/>
      <c r="B904" s="235"/>
      <c r="C904" s="214"/>
      <c r="D904" s="214"/>
      <c r="E904" s="214"/>
      <c r="F904" s="214"/>
      <c r="G904" s="222"/>
      <c r="H904" s="221"/>
      <c r="I904" s="213"/>
      <c r="J904" s="213"/>
      <c r="K904" s="215"/>
      <c r="L904" s="216"/>
      <c r="M904" s="217"/>
      <c r="O904" s="241" t="str">
        <f>IF(Q904 = "", "", COUNT(Q$4:$Q904))</f>
        <v/>
      </c>
      <c r="P904" s="241" t="str">
        <f t="shared" si="116"/>
        <v/>
      </c>
      <c r="Q904" s="242" t="str">
        <f t="shared" si="117"/>
        <v/>
      </c>
      <c r="R904" s="243" t="str">
        <f t="shared" si="120"/>
        <v/>
      </c>
      <c r="S904" s="244" t="str">
        <f t="shared" si="118"/>
        <v/>
      </c>
      <c r="T904" s="245" t="str">
        <f t="shared" si="121"/>
        <v/>
      </c>
      <c r="U904" s="246" t="str">
        <f t="shared" si="119"/>
        <v/>
      </c>
      <c r="V904" s="8"/>
      <c r="AR904" t="str">
        <f t="shared" si="115"/>
        <v/>
      </c>
      <c r="AS904" t="str">
        <f t="shared" si="114"/>
        <v/>
      </c>
    </row>
    <row r="905" spans="1:45" x14ac:dyDescent="0.3">
      <c r="A905" s="231"/>
      <c r="B905" s="235"/>
      <c r="C905" s="214"/>
      <c r="D905" s="214"/>
      <c r="E905" s="214"/>
      <c r="F905" s="214"/>
      <c r="G905" s="222"/>
      <c r="H905" s="221"/>
      <c r="I905" s="213"/>
      <c r="J905" s="213"/>
      <c r="K905" s="215"/>
      <c r="L905" s="216"/>
      <c r="M905" s="217"/>
      <c r="O905" s="241" t="str">
        <f>IF(Q905 = "", "", COUNT(Q$4:$Q905))</f>
        <v/>
      </c>
      <c r="P905" s="241" t="str">
        <f t="shared" si="116"/>
        <v/>
      </c>
      <c r="Q905" s="242" t="str">
        <f t="shared" si="117"/>
        <v/>
      </c>
      <c r="R905" s="243" t="str">
        <f t="shared" si="120"/>
        <v/>
      </c>
      <c r="S905" s="244" t="str">
        <f t="shared" si="118"/>
        <v/>
      </c>
      <c r="T905" s="245" t="str">
        <f t="shared" si="121"/>
        <v/>
      </c>
      <c r="U905" s="246" t="str">
        <f t="shared" si="119"/>
        <v/>
      </c>
      <c r="V905" s="8"/>
      <c r="AR905" t="str">
        <f t="shared" si="115"/>
        <v/>
      </c>
      <c r="AS905" t="str">
        <f t="shared" si="114"/>
        <v/>
      </c>
    </row>
    <row r="906" spans="1:45" x14ac:dyDescent="0.3">
      <c r="A906" s="231"/>
      <c r="B906" s="235"/>
      <c r="C906" s="214"/>
      <c r="D906" s="214"/>
      <c r="E906" s="214"/>
      <c r="F906" s="214"/>
      <c r="G906" s="222"/>
      <c r="H906" s="221"/>
      <c r="I906" s="213"/>
      <c r="J906" s="213"/>
      <c r="K906" s="215"/>
      <c r="L906" s="216"/>
      <c r="M906" s="217"/>
      <c r="O906" s="241" t="str">
        <f>IF(Q906 = "", "", COUNT(Q$4:$Q906))</f>
        <v/>
      </c>
      <c r="P906" s="241" t="str">
        <f t="shared" si="116"/>
        <v/>
      </c>
      <c r="Q906" s="242" t="str">
        <f t="shared" si="117"/>
        <v/>
      </c>
      <c r="R906" s="243" t="str">
        <f t="shared" si="120"/>
        <v/>
      </c>
      <c r="S906" s="244" t="str">
        <f t="shared" si="118"/>
        <v/>
      </c>
      <c r="T906" s="245" t="str">
        <f t="shared" si="121"/>
        <v/>
      </c>
      <c r="U906" s="246" t="str">
        <f t="shared" si="119"/>
        <v/>
      </c>
      <c r="V906" s="8"/>
      <c r="AR906" t="str">
        <f t="shared" si="115"/>
        <v/>
      </c>
      <c r="AS906" t="str">
        <f t="shared" si="114"/>
        <v/>
      </c>
    </row>
    <row r="907" spans="1:45" x14ac:dyDescent="0.3">
      <c r="A907" s="231"/>
      <c r="B907" s="235"/>
      <c r="C907" s="214"/>
      <c r="D907" s="214"/>
      <c r="E907" s="214"/>
      <c r="F907" s="214"/>
      <c r="G907" s="222"/>
      <c r="H907" s="221"/>
      <c r="I907" s="213"/>
      <c r="J907" s="213"/>
      <c r="K907" s="215"/>
      <c r="L907" s="216"/>
      <c r="M907" s="217"/>
      <c r="O907" s="241" t="str">
        <f>IF(Q907 = "", "", COUNT(Q$4:$Q907))</f>
        <v/>
      </c>
      <c r="P907" s="241" t="str">
        <f t="shared" si="116"/>
        <v/>
      </c>
      <c r="Q907" s="242" t="str">
        <f t="shared" si="117"/>
        <v/>
      </c>
      <c r="R907" s="243" t="str">
        <f t="shared" si="120"/>
        <v/>
      </c>
      <c r="S907" s="244" t="str">
        <f t="shared" si="118"/>
        <v/>
      </c>
      <c r="T907" s="245" t="str">
        <f t="shared" si="121"/>
        <v/>
      </c>
      <c r="U907" s="246" t="str">
        <f t="shared" si="119"/>
        <v/>
      </c>
      <c r="V907" s="8"/>
      <c r="AR907" t="str">
        <f t="shared" si="115"/>
        <v/>
      </c>
      <c r="AS907" t="str">
        <f t="shared" si="114"/>
        <v/>
      </c>
    </row>
    <row r="908" spans="1:45" x14ac:dyDescent="0.3">
      <c r="A908" s="231"/>
      <c r="B908" s="235"/>
      <c r="C908" s="214"/>
      <c r="D908" s="214"/>
      <c r="E908" s="214"/>
      <c r="F908" s="214"/>
      <c r="G908" s="222"/>
      <c r="H908" s="221"/>
      <c r="I908" s="213"/>
      <c r="J908" s="213"/>
      <c r="K908" s="215"/>
      <c r="L908" s="216"/>
      <c r="M908" s="217"/>
      <c r="O908" s="241" t="str">
        <f>IF(Q908 = "", "", COUNT(Q$4:$Q908))</f>
        <v/>
      </c>
      <c r="P908" s="241" t="str">
        <f t="shared" si="116"/>
        <v/>
      </c>
      <c r="Q908" s="242" t="str">
        <f t="shared" si="117"/>
        <v/>
      </c>
      <c r="R908" s="243" t="str">
        <f t="shared" si="120"/>
        <v/>
      </c>
      <c r="S908" s="244" t="str">
        <f t="shared" si="118"/>
        <v/>
      </c>
      <c r="T908" s="245" t="str">
        <f t="shared" si="121"/>
        <v/>
      </c>
      <c r="U908" s="246" t="str">
        <f t="shared" si="119"/>
        <v/>
      </c>
      <c r="V908" s="8"/>
      <c r="AR908" t="str">
        <f t="shared" si="115"/>
        <v/>
      </c>
      <c r="AS908" t="str">
        <f t="shared" si="114"/>
        <v/>
      </c>
    </row>
    <row r="909" spans="1:45" x14ac:dyDescent="0.3">
      <c r="A909" s="231"/>
      <c r="B909" s="235"/>
      <c r="C909" s="214"/>
      <c r="D909" s="214"/>
      <c r="E909" s="214"/>
      <c r="F909" s="214"/>
      <c r="G909" s="222"/>
      <c r="H909" s="221"/>
      <c r="I909" s="213"/>
      <c r="J909" s="213"/>
      <c r="K909" s="215"/>
      <c r="L909" s="216"/>
      <c r="M909" s="217"/>
      <c r="O909" s="241" t="str">
        <f>IF(Q909 = "", "", COUNT(Q$4:$Q909))</f>
        <v/>
      </c>
      <c r="P909" s="241" t="str">
        <f t="shared" si="116"/>
        <v/>
      </c>
      <c r="Q909" s="242" t="str">
        <f t="shared" si="117"/>
        <v/>
      </c>
      <c r="R909" s="243" t="str">
        <f t="shared" si="120"/>
        <v/>
      </c>
      <c r="S909" s="244" t="str">
        <f t="shared" si="118"/>
        <v/>
      </c>
      <c r="T909" s="245" t="str">
        <f t="shared" si="121"/>
        <v/>
      </c>
      <c r="U909" s="246" t="str">
        <f t="shared" si="119"/>
        <v/>
      </c>
      <c r="V909" s="8"/>
      <c r="AR909" t="str">
        <f t="shared" si="115"/>
        <v/>
      </c>
      <c r="AS909" t="str">
        <f t="shared" si="114"/>
        <v/>
      </c>
    </row>
    <row r="910" spans="1:45" x14ac:dyDescent="0.3">
      <c r="A910" s="231"/>
      <c r="B910" s="235"/>
      <c r="C910" s="214"/>
      <c r="D910" s="214"/>
      <c r="E910" s="214"/>
      <c r="F910" s="214"/>
      <c r="G910" s="222"/>
      <c r="H910" s="221"/>
      <c r="I910" s="213"/>
      <c r="J910" s="213"/>
      <c r="K910" s="215"/>
      <c r="L910" s="216"/>
      <c r="M910" s="217"/>
      <c r="O910" s="241" t="str">
        <f>IF(Q910 = "", "", COUNT(Q$4:$Q910))</f>
        <v/>
      </c>
      <c r="P910" s="241" t="str">
        <f t="shared" si="116"/>
        <v/>
      </c>
      <c r="Q910" s="242" t="str">
        <f t="shared" si="117"/>
        <v/>
      </c>
      <c r="R910" s="243" t="str">
        <f t="shared" si="120"/>
        <v/>
      </c>
      <c r="S910" s="244" t="str">
        <f t="shared" si="118"/>
        <v/>
      </c>
      <c r="T910" s="245" t="str">
        <f t="shared" si="121"/>
        <v/>
      </c>
      <c r="U910" s="246" t="str">
        <f t="shared" si="119"/>
        <v/>
      </c>
      <c r="V910" s="8"/>
      <c r="AR910" t="str">
        <f t="shared" si="115"/>
        <v/>
      </c>
      <c r="AS910" t="str">
        <f t="shared" si="114"/>
        <v/>
      </c>
    </row>
    <row r="911" spans="1:45" x14ac:dyDescent="0.3">
      <c r="A911" s="231"/>
      <c r="B911" s="235"/>
      <c r="C911" s="214"/>
      <c r="D911" s="214"/>
      <c r="E911" s="214"/>
      <c r="F911" s="214"/>
      <c r="G911" s="222"/>
      <c r="H911" s="221"/>
      <c r="I911" s="213"/>
      <c r="J911" s="213"/>
      <c r="K911" s="215"/>
      <c r="L911" s="216"/>
      <c r="M911" s="217"/>
      <c r="O911" s="241" t="str">
        <f>IF(Q911 = "", "", COUNT(Q$4:$Q911))</f>
        <v/>
      </c>
      <c r="P911" s="241" t="str">
        <f t="shared" si="116"/>
        <v/>
      </c>
      <c r="Q911" s="242" t="str">
        <f t="shared" si="117"/>
        <v/>
      </c>
      <c r="R911" s="243" t="str">
        <f t="shared" si="120"/>
        <v/>
      </c>
      <c r="S911" s="244" t="str">
        <f t="shared" si="118"/>
        <v/>
      </c>
      <c r="T911" s="245" t="str">
        <f t="shared" si="121"/>
        <v/>
      </c>
      <c r="U911" s="246" t="str">
        <f t="shared" si="119"/>
        <v/>
      </c>
      <c r="V911" s="8"/>
      <c r="AR911" t="str">
        <f t="shared" si="115"/>
        <v/>
      </c>
      <c r="AS911" t="str">
        <f t="shared" si="114"/>
        <v/>
      </c>
    </row>
    <row r="912" spans="1:45" x14ac:dyDescent="0.3">
      <c r="A912" s="231"/>
      <c r="B912" s="235"/>
      <c r="C912" s="214"/>
      <c r="D912" s="214"/>
      <c r="E912" s="214"/>
      <c r="F912" s="214"/>
      <c r="G912" s="222"/>
      <c r="H912" s="221"/>
      <c r="I912" s="213"/>
      <c r="J912" s="213"/>
      <c r="K912" s="215"/>
      <c r="L912" s="216"/>
      <c r="M912" s="217"/>
      <c r="O912" s="241" t="str">
        <f>IF(Q912 = "", "", COUNT(Q$4:$Q912))</f>
        <v/>
      </c>
      <c r="P912" s="241" t="str">
        <f t="shared" si="116"/>
        <v/>
      </c>
      <c r="Q912" s="242" t="str">
        <f t="shared" si="117"/>
        <v/>
      </c>
      <c r="R912" s="243" t="str">
        <f t="shared" si="120"/>
        <v/>
      </c>
      <c r="S912" s="244" t="str">
        <f t="shared" si="118"/>
        <v/>
      </c>
      <c r="T912" s="245" t="str">
        <f t="shared" si="121"/>
        <v/>
      </c>
      <c r="U912" s="246" t="str">
        <f t="shared" si="119"/>
        <v/>
      </c>
      <c r="V912" s="8"/>
      <c r="AR912" t="str">
        <f t="shared" si="115"/>
        <v/>
      </c>
      <c r="AS912" t="str">
        <f t="shared" si="114"/>
        <v/>
      </c>
    </row>
    <row r="913" spans="1:45" x14ac:dyDescent="0.3">
      <c r="A913" s="231"/>
      <c r="B913" s="235"/>
      <c r="C913" s="214"/>
      <c r="D913" s="214"/>
      <c r="E913" s="214"/>
      <c r="F913" s="214"/>
      <c r="G913" s="222"/>
      <c r="H913" s="221"/>
      <c r="I913" s="213"/>
      <c r="J913" s="213"/>
      <c r="K913" s="215"/>
      <c r="L913" s="216"/>
      <c r="M913" s="217"/>
      <c r="O913" s="241" t="str">
        <f>IF(Q913 = "", "", COUNT(Q$4:$Q913))</f>
        <v/>
      </c>
      <c r="P913" s="241" t="str">
        <f t="shared" si="116"/>
        <v/>
      </c>
      <c r="Q913" s="242" t="str">
        <f t="shared" si="117"/>
        <v/>
      </c>
      <c r="R913" s="243" t="str">
        <f t="shared" si="120"/>
        <v/>
      </c>
      <c r="S913" s="244" t="str">
        <f t="shared" si="118"/>
        <v/>
      </c>
      <c r="T913" s="245" t="str">
        <f t="shared" si="121"/>
        <v/>
      </c>
      <c r="U913" s="246" t="str">
        <f t="shared" si="119"/>
        <v/>
      </c>
      <c r="V913" s="8"/>
      <c r="AR913" t="str">
        <f t="shared" si="115"/>
        <v/>
      </c>
      <c r="AS913" t="str">
        <f t="shared" si="114"/>
        <v/>
      </c>
    </row>
    <row r="914" spans="1:45" x14ac:dyDescent="0.3">
      <c r="A914" s="231"/>
      <c r="B914" s="235"/>
      <c r="C914" s="214"/>
      <c r="D914" s="214"/>
      <c r="E914" s="214"/>
      <c r="F914" s="214"/>
      <c r="G914" s="222"/>
      <c r="H914" s="221"/>
      <c r="I914" s="213"/>
      <c r="J914" s="213"/>
      <c r="K914" s="215"/>
      <c r="L914" s="216"/>
      <c r="M914" s="217"/>
      <c r="O914" s="241" t="str">
        <f>IF(Q914 = "", "", COUNT(Q$4:$Q914))</f>
        <v/>
      </c>
      <c r="P914" s="241" t="str">
        <f t="shared" si="116"/>
        <v/>
      </c>
      <c r="Q914" s="242" t="str">
        <f t="shared" si="117"/>
        <v/>
      </c>
      <c r="R914" s="243" t="str">
        <f t="shared" si="120"/>
        <v/>
      </c>
      <c r="S914" s="244" t="str">
        <f t="shared" si="118"/>
        <v/>
      </c>
      <c r="T914" s="245" t="str">
        <f t="shared" si="121"/>
        <v/>
      </c>
      <c r="U914" s="246" t="str">
        <f t="shared" si="119"/>
        <v/>
      </c>
      <c r="V914" s="8"/>
      <c r="AR914" t="str">
        <f t="shared" si="115"/>
        <v/>
      </c>
      <c r="AS914" t="str">
        <f t="shared" si="114"/>
        <v/>
      </c>
    </row>
    <row r="915" spans="1:45" x14ac:dyDescent="0.3">
      <c r="A915" s="231"/>
      <c r="B915" s="235"/>
      <c r="C915" s="214"/>
      <c r="D915" s="214"/>
      <c r="E915" s="214"/>
      <c r="F915" s="214"/>
      <c r="G915" s="222"/>
      <c r="H915" s="221"/>
      <c r="I915" s="213"/>
      <c r="J915" s="213"/>
      <c r="K915" s="215"/>
      <c r="L915" s="216"/>
      <c r="M915" s="217"/>
      <c r="O915" s="241" t="str">
        <f>IF(Q915 = "", "", COUNT(Q$4:$Q915))</f>
        <v/>
      </c>
      <c r="P915" s="241" t="str">
        <f t="shared" si="116"/>
        <v/>
      </c>
      <c r="Q915" s="242" t="str">
        <f t="shared" si="117"/>
        <v/>
      </c>
      <c r="R915" s="243" t="str">
        <f t="shared" si="120"/>
        <v/>
      </c>
      <c r="S915" s="244" t="str">
        <f t="shared" si="118"/>
        <v/>
      </c>
      <c r="T915" s="245" t="str">
        <f t="shared" si="121"/>
        <v/>
      </c>
      <c r="U915" s="246" t="str">
        <f t="shared" si="119"/>
        <v/>
      </c>
      <c r="V915" s="8"/>
      <c r="AR915" t="str">
        <f t="shared" si="115"/>
        <v/>
      </c>
      <c r="AS915" t="str">
        <f t="shared" si="114"/>
        <v/>
      </c>
    </row>
    <row r="916" spans="1:45" x14ac:dyDescent="0.3">
      <c r="A916" s="231"/>
      <c r="B916" s="235"/>
      <c r="C916" s="214"/>
      <c r="D916" s="214"/>
      <c r="E916" s="214"/>
      <c r="F916" s="214"/>
      <c r="G916" s="222"/>
      <c r="H916" s="221"/>
      <c r="I916" s="213"/>
      <c r="J916" s="213"/>
      <c r="K916" s="215"/>
      <c r="L916" s="216"/>
      <c r="M916" s="217"/>
      <c r="O916" s="241" t="str">
        <f>IF(Q916 = "", "", COUNT(Q$4:$Q916))</f>
        <v/>
      </c>
      <c r="P916" s="241" t="str">
        <f t="shared" si="116"/>
        <v/>
      </c>
      <c r="Q916" s="242" t="str">
        <f t="shared" si="117"/>
        <v/>
      </c>
      <c r="R916" s="243" t="str">
        <f t="shared" si="120"/>
        <v/>
      </c>
      <c r="S916" s="244" t="str">
        <f t="shared" si="118"/>
        <v/>
      </c>
      <c r="T916" s="245" t="str">
        <f t="shared" si="121"/>
        <v/>
      </c>
      <c r="U916" s="246" t="str">
        <f t="shared" si="119"/>
        <v/>
      </c>
      <c r="V916" s="8"/>
      <c r="AR916" t="str">
        <f t="shared" si="115"/>
        <v/>
      </c>
      <c r="AS916" t="str">
        <f t="shared" si="114"/>
        <v/>
      </c>
    </row>
    <row r="917" spans="1:45" x14ac:dyDescent="0.3">
      <c r="A917" s="231"/>
      <c r="B917" s="235"/>
      <c r="C917" s="214"/>
      <c r="D917" s="214"/>
      <c r="E917" s="214"/>
      <c r="F917" s="214"/>
      <c r="G917" s="222"/>
      <c r="H917" s="221"/>
      <c r="I917" s="213"/>
      <c r="J917" s="213"/>
      <c r="K917" s="215"/>
      <c r="L917" s="216"/>
      <c r="M917" s="217"/>
      <c r="O917" s="241" t="str">
        <f>IF(Q917 = "", "", COUNT(Q$4:$Q917))</f>
        <v/>
      </c>
      <c r="P917" s="241" t="str">
        <f t="shared" si="116"/>
        <v/>
      </c>
      <c r="Q917" s="242" t="str">
        <f t="shared" si="117"/>
        <v/>
      </c>
      <c r="R917" s="243" t="str">
        <f t="shared" si="120"/>
        <v/>
      </c>
      <c r="S917" s="244" t="str">
        <f t="shared" si="118"/>
        <v/>
      </c>
      <c r="T917" s="245" t="str">
        <f t="shared" si="121"/>
        <v/>
      </c>
      <c r="U917" s="246" t="str">
        <f t="shared" si="119"/>
        <v/>
      </c>
      <c r="V917" s="8"/>
      <c r="AR917" t="str">
        <f t="shared" si="115"/>
        <v/>
      </c>
      <c r="AS917" t="str">
        <f t="shared" ref="AS917:AS980" si="122">IF(OR(L917="Y",M917="Y"),"Y","")</f>
        <v/>
      </c>
    </row>
    <row r="918" spans="1:45" x14ac:dyDescent="0.3">
      <c r="A918" s="231"/>
      <c r="B918" s="235"/>
      <c r="C918" s="214"/>
      <c r="D918" s="214"/>
      <c r="E918" s="214"/>
      <c r="F918" s="214"/>
      <c r="G918" s="222"/>
      <c r="H918" s="221"/>
      <c r="I918" s="213"/>
      <c r="J918" s="213"/>
      <c r="K918" s="215"/>
      <c r="L918" s="216"/>
      <c r="M918" s="217"/>
      <c r="O918" s="241" t="str">
        <f>IF(Q918 = "", "", COUNT(Q$4:$Q918))</f>
        <v/>
      </c>
      <c r="P918" s="241" t="str">
        <f t="shared" si="116"/>
        <v/>
      </c>
      <c r="Q918" s="242" t="str">
        <f t="shared" si="117"/>
        <v/>
      </c>
      <c r="R918" s="243" t="str">
        <f t="shared" si="120"/>
        <v/>
      </c>
      <c r="S918" s="244" t="str">
        <f t="shared" si="118"/>
        <v/>
      </c>
      <c r="T918" s="245" t="str">
        <f t="shared" si="121"/>
        <v/>
      </c>
      <c r="U918" s="246" t="str">
        <f t="shared" si="119"/>
        <v/>
      </c>
      <c r="V918" s="8"/>
      <c r="AR918" t="str">
        <f t="shared" ref="AR918:AR981" si="123">IF(O918&gt;0, O918, "")</f>
        <v/>
      </c>
      <c r="AS918" t="str">
        <f t="shared" si="122"/>
        <v/>
      </c>
    </row>
    <row r="919" spans="1:45" x14ac:dyDescent="0.3">
      <c r="A919" s="231"/>
      <c r="B919" s="235"/>
      <c r="C919" s="214"/>
      <c r="D919" s="214"/>
      <c r="E919" s="214"/>
      <c r="F919" s="214"/>
      <c r="G919" s="222"/>
      <c r="H919" s="221"/>
      <c r="I919" s="213"/>
      <c r="J919" s="213"/>
      <c r="K919" s="215"/>
      <c r="L919" s="216"/>
      <c r="M919" s="217"/>
      <c r="O919" s="241" t="str">
        <f>IF(Q919 = "", "", COUNT(Q$4:$Q919))</f>
        <v/>
      </c>
      <c r="P919" s="241" t="str">
        <f t="shared" si="116"/>
        <v/>
      </c>
      <c r="Q919" s="242" t="str">
        <f t="shared" si="117"/>
        <v/>
      </c>
      <c r="R919" s="243" t="str">
        <f t="shared" si="120"/>
        <v/>
      </c>
      <c r="S919" s="244" t="str">
        <f t="shared" si="118"/>
        <v/>
      </c>
      <c r="T919" s="245" t="str">
        <f t="shared" si="121"/>
        <v/>
      </c>
      <c r="U919" s="246" t="str">
        <f t="shared" si="119"/>
        <v/>
      </c>
      <c r="V919" s="8"/>
      <c r="AR919" t="str">
        <f t="shared" si="123"/>
        <v/>
      </c>
      <c r="AS919" t="str">
        <f t="shared" si="122"/>
        <v/>
      </c>
    </row>
    <row r="920" spans="1:45" x14ac:dyDescent="0.3">
      <c r="A920" s="231"/>
      <c r="B920" s="235"/>
      <c r="C920" s="214"/>
      <c r="D920" s="214"/>
      <c r="E920" s="214"/>
      <c r="F920" s="214"/>
      <c r="G920" s="222"/>
      <c r="H920" s="221"/>
      <c r="I920" s="213"/>
      <c r="J920" s="213"/>
      <c r="K920" s="215"/>
      <c r="L920" s="216"/>
      <c r="M920" s="217"/>
      <c r="O920" s="241" t="str">
        <f>IF(Q920 = "", "", COUNT(Q$4:$Q920))</f>
        <v/>
      </c>
      <c r="P920" s="241" t="str">
        <f t="shared" si="116"/>
        <v/>
      </c>
      <c r="Q920" s="242" t="str">
        <f t="shared" si="117"/>
        <v/>
      </c>
      <c r="R920" s="243" t="str">
        <f t="shared" si="120"/>
        <v/>
      </c>
      <c r="S920" s="244" t="str">
        <f t="shared" si="118"/>
        <v/>
      </c>
      <c r="T920" s="245" t="str">
        <f t="shared" si="121"/>
        <v/>
      </c>
      <c r="U920" s="246" t="str">
        <f t="shared" si="119"/>
        <v/>
      </c>
      <c r="V920" s="8"/>
      <c r="AR920" t="str">
        <f t="shared" si="123"/>
        <v/>
      </c>
      <c r="AS920" t="str">
        <f t="shared" si="122"/>
        <v/>
      </c>
    </row>
    <row r="921" spans="1:45" x14ac:dyDescent="0.3">
      <c r="A921" s="231"/>
      <c r="B921" s="235"/>
      <c r="C921" s="214"/>
      <c r="D921" s="214"/>
      <c r="E921" s="214"/>
      <c r="F921" s="214"/>
      <c r="G921" s="222"/>
      <c r="H921" s="221"/>
      <c r="I921" s="213"/>
      <c r="J921" s="213"/>
      <c r="K921" s="215"/>
      <c r="L921" s="216"/>
      <c r="M921" s="217"/>
      <c r="O921" s="241" t="str">
        <f>IF(Q921 = "", "", COUNT(Q$4:$Q921))</f>
        <v/>
      </c>
      <c r="P921" s="241" t="str">
        <f t="shared" si="116"/>
        <v/>
      </c>
      <c r="Q921" s="242" t="str">
        <f t="shared" si="117"/>
        <v/>
      </c>
      <c r="R921" s="243" t="str">
        <f t="shared" si="120"/>
        <v/>
      </c>
      <c r="S921" s="244" t="str">
        <f t="shared" si="118"/>
        <v/>
      </c>
      <c r="T921" s="245" t="str">
        <f t="shared" si="121"/>
        <v/>
      </c>
      <c r="U921" s="246" t="str">
        <f t="shared" si="119"/>
        <v/>
      </c>
      <c r="V921" s="8"/>
      <c r="AR921" t="str">
        <f t="shared" si="123"/>
        <v/>
      </c>
      <c r="AS921" t="str">
        <f t="shared" si="122"/>
        <v/>
      </c>
    </row>
    <row r="922" spans="1:45" x14ac:dyDescent="0.3">
      <c r="A922" s="231"/>
      <c r="B922" s="235"/>
      <c r="C922" s="214"/>
      <c r="D922" s="214"/>
      <c r="E922" s="214"/>
      <c r="F922" s="214"/>
      <c r="G922" s="222"/>
      <c r="H922" s="221"/>
      <c r="I922" s="213"/>
      <c r="J922" s="213"/>
      <c r="K922" s="215"/>
      <c r="L922" s="216"/>
      <c r="M922" s="217"/>
      <c r="O922" s="241" t="str">
        <f>IF(Q922 = "", "", COUNT(Q$4:$Q922))</f>
        <v/>
      </c>
      <c r="P922" s="241" t="str">
        <f t="shared" si="116"/>
        <v/>
      </c>
      <c r="Q922" s="242" t="str">
        <f t="shared" si="117"/>
        <v/>
      </c>
      <c r="R922" s="243" t="str">
        <f t="shared" si="120"/>
        <v/>
      </c>
      <c r="S922" s="244" t="str">
        <f t="shared" si="118"/>
        <v/>
      </c>
      <c r="T922" s="245" t="str">
        <f t="shared" si="121"/>
        <v/>
      </c>
      <c r="U922" s="246" t="str">
        <f t="shared" si="119"/>
        <v/>
      </c>
      <c r="V922" s="8"/>
      <c r="AR922" t="str">
        <f t="shared" si="123"/>
        <v/>
      </c>
      <c r="AS922" t="str">
        <f t="shared" si="122"/>
        <v/>
      </c>
    </row>
    <row r="923" spans="1:45" x14ac:dyDescent="0.3">
      <c r="A923" s="231"/>
      <c r="B923" s="235"/>
      <c r="C923" s="214"/>
      <c r="D923" s="214"/>
      <c r="E923" s="214"/>
      <c r="F923" s="214"/>
      <c r="G923" s="222"/>
      <c r="H923" s="221"/>
      <c r="I923" s="213"/>
      <c r="J923" s="213"/>
      <c r="K923" s="215"/>
      <c r="L923" s="216"/>
      <c r="M923" s="217"/>
      <c r="O923" s="241" t="str">
        <f>IF(Q923 = "", "", COUNT(Q$4:$Q923))</f>
        <v/>
      </c>
      <c r="P923" s="241" t="str">
        <f t="shared" si="116"/>
        <v/>
      </c>
      <c r="Q923" s="242" t="str">
        <f t="shared" si="117"/>
        <v/>
      </c>
      <c r="R923" s="243" t="str">
        <f t="shared" si="120"/>
        <v/>
      </c>
      <c r="S923" s="244" t="str">
        <f t="shared" si="118"/>
        <v/>
      </c>
      <c r="T923" s="245" t="str">
        <f t="shared" si="121"/>
        <v/>
      </c>
      <c r="U923" s="246" t="str">
        <f t="shared" si="119"/>
        <v/>
      </c>
      <c r="V923" s="8"/>
      <c r="AR923" t="str">
        <f t="shared" si="123"/>
        <v/>
      </c>
      <c r="AS923" t="str">
        <f t="shared" si="122"/>
        <v/>
      </c>
    </row>
    <row r="924" spans="1:45" x14ac:dyDescent="0.3">
      <c r="A924" s="231"/>
      <c r="B924" s="235"/>
      <c r="C924" s="214"/>
      <c r="D924" s="214"/>
      <c r="E924" s="214"/>
      <c r="F924" s="214"/>
      <c r="G924" s="222"/>
      <c r="H924" s="221"/>
      <c r="I924" s="213"/>
      <c r="J924" s="213"/>
      <c r="K924" s="215"/>
      <c r="L924" s="216"/>
      <c r="M924" s="217"/>
      <c r="O924" s="241" t="str">
        <f>IF(Q924 = "", "", COUNT(Q$4:$Q924))</f>
        <v/>
      </c>
      <c r="P924" s="241" t="str">
        <f t="shared" si="116"/>
        <v/>
      </c>
      <c r="Q924" s="242" t="str">
        <f t="shared" si="117"/>
        <v/>
      </c>
      <c r="R924" s="243" t="str">
        <f t="shared" si="120"/>
        <v/>
      </c>
      <c r="S924" s="244" t="str">
        <f t="shared" si="118"/>
        <v/>
      </c>
      <c r="T924" s="245" t="str">
        <f t="shared" si="121"/>
        <v/>
      </c>
      <c r="U924" s="246" t="str">
        <f t="shared" si="119"/>
        <v/>
      </c>
      <c r="V924" s="8"/>
      <c r="AR924" t="str">
        <f t="shared" si="123"/>
        <v/>
      </c>
      <c r="AS924" t="str">
        <f t="shared" si="122"/>
        <v/>
      </c>
    </row>
    <row r="925" spans="1:45" x14ac:dyDescent="0.3">
      <c r="A925" s="231"/>
      <c r="B925" s="235"/>
      <c r="C925" s="214"/>
      <c r="D925" s="214"/>
      <c r="E925" s="214"/>
      <c r="F925" s="214"/>
      <c r="G925" s="222"/>
      <c r="H925" s="221"/>
      <c r="I925" s="213"/>
      <c r="J925" s="213"/>
      <c r="K925" s="215"/>
      <c r="L925" s="216"/>
      <c r="M925" s="217"/>
      <c r="O925" s="241" t="str">
        <f>IF(Q925 = "", "", COUNT(Q$4:$Q925))</f>
        <v/>
      </c>
      <c r="P925" s="241" t="str">
        <f t="shared" si="116"/>
        <v/>
      </c>
      <c r="Q925" s="242" t="str">
        <f t="shared" si="117"/>
        <v/>
      </c>
      <c r="R925" s="243" t="str">
        <f t="shared" si="120"/>
        <v/>
      </c>
      <c r="S925" s="244" t="str">
        <f t="shared" si="118"/>
        <v/>
      </c>
      <c r="T925" s="245" t="str">
        <f t="shared" si="121"/>
        <v/>
      </c>
      <c r="U925" s="246" t="str">
        <f t="shared" si="119"/>
        <v/>
      </c>
      <c r="V925" s="8"/>
      <c r="AR925" t="str">
        <f t="shared" si="123"/>
        <v/>
      </c>
      <c r="AS925" t="str">
        <f t="shared" si="122"/>
        <v/>
      </c>
    </row>
    <row r="926" spans="1:45" x14ac:dyDescent="0.3">
      <c r="A926" s="231"/>
      <c r="B926" s="235"/>
      <c r="C926" s="214"/>
      <c r="D926" s="214"/>
      <c r="E926" s="214"/>
      <c r="F926" s="214"/>
      <c r="G926" s="222"/>
      <c r="H926" s="221"/>
      <c r="I926" s="213"/>
      <c r="J926" s="213"/>
      <c r="K926" s="215"/>
      <c r="L926" s="216"/>
      <c r="M926" s="217"/>
      <c r="O926" s="241" t="str">
        <f>IF(Q926 = "", "", COUNT(Q$4:$Q926))</f>
        <v/>
      </c>
      <c r="P926" s="241" t="str">
        <f t="shared" si="116"/>
        <v/>
      </c>
      <c r="Q926" s="242" t="str">
        <f t="shared" si="117"/>
        <v/>
      </c>
      <c r="R926" s="243" t="str">
        <f t="shared" si="120"/>
        <v/>
      </c>
      <c r="S926" s="244" t="str">
        <f t="shared" si="118"/>
        <v/>
      </c>
      <c r="T926" s="245" t="str">
        <f t="shared" si="121"/>
        <v/>
      </c>
      <c r="U926" s="246" t="str">
        <f t="shared" si="119"/>
        <v/>
      </c>
      <c r="V926" s="8"/>
      <c r="AR926" t="str">
        <f t="shared" si="123"/>
        <v/>
      </c>
      <c r="AS926" t="str">
        <f t="shared" si="122"/>
        <v/>
      </c>
    </row>
    <row r="927" spans="1:45" x14ac:dyDescent="0.3">
      <c r="A927" s="231"/>
      <c r="B927" s="235"/>
      <c r="C927" s="214"/>
      <c r="D927" s="214"/>
      <c r="E927" s="214"/>
      <c r="F927" s="214"/>
      <c r="G927" s="222"/>
      <c r="H927" s="221"/>
      <c r="I927" s="213"/>
      <c r="J927" s="213"/>
      <c r="K927" s="215"/>
      <c r="L927" s="216"/>
      <c r="M927" s="217"/>
      <c r="O927" s="241" t="str">
        <f>IF(Q927 = "", "", COUNT(Q$4:$Q927))</f>
        <v/>
      </c>
      <c r="P927" s="241" t="str">
        <f t="shared" si="116"/>
        <v/>
      </c>
      <c r="Q927" s="242" t="str">
        <f t="shared" si="117"/>
        <v/>
      </c>
      <c r="R927" s="243" t="str">
        <f t="shared" si="120"/>
        <v/>
      </c>
      <c r="S927" s="244" t="str">
        <f t="shared" si="118"/>
        <v/>
      </c>
      <c r="T927" s="245" t="str">
        <f t="shared" si="121"/>
        <v/>
      </c>
      <c r="U927" s="246" t="str">
        <f t="shared" si="119"/>
        <v/>
      </c>
      <c r="V927" s="8"/>
      <c r="AR927" t="str">
        <f t="shared" si="123"/>
        <v/>
      </c>
      <c r="AS927" t="str">
        <f t="shared" si="122"/>
        <v/>
      </c>
    </row>
    <row r="928" spans="1:45" x14ac:dyDescent="0.3">
      <c r="A928" s="231"/>
      <c r="B928" s="235"/>
      <c r="C928" s="214"/>
      <c r="D928" s="214"/>
      <c r="E928" s="214"/>
      <c r="F928" s="214"/>
      <c r="G928" s="222"/>
      <c r="H928" s="221"/>
      <c r="I928" s="213"/>
      <c r="J928" s="213"/>
      <c r="K928" s="215"/>
      <c r="L928" s="216"/>
      <c r="M928" s="217"/>
      <c r="O928" s="241" t="str">
        <f>IF(Q928 = "", "", COUNT(Q$4:$Q928))</f>
        <v/>
      </c>
      <c r="P928" s="241" t="str">
        <f t="shared" si="116"/>
        <v/>
      </c>
      <c r="Q928" s="242" t="str">
        <f t="shared" si="117"/>
        <v/>
      </c>
      <c r="R928" s="243" t="str">
        <f t="shared" si="120"/>
        <v/>
      </c>
      <c r="S928" s="244" t="str">
        <f t="shared" si="118"/>
        <v/>
      </c>
      <c r="T928" s="245" t="str">
        <f t="shared" si="121"/>
        <v/>
      </c>
      <c r="U928" s="246" t="str">
        <f t="shared" si="119"/>
        <v/>
      </c>
      <c r="V928" s="8"/>
      <c r="AR928" t="str">
        <f t="shared" si="123"/>
        <v/>
      </c>
      <c r="AS928" t="str">
        <f t="shared" si="122"/>
        <v/>
      </c>
    </row>
    <row r="929" spans="1:45" x14ac:dyDescent="0.3">
      <c r="A929" s="231"/>
      <c r="B929" s="235"/>
      <c r="C929" s="214"/>
      <c r="D929" s="214"/>
      <c r="E929" s="214"/>
      <c r="F929" s="214"/>
      <c r="G929" s="222"/>
      <c r="H929" s="221"/>
      <c r="I929" s="213"/>
      <c r="J929" s="213"/>
      <c r="K929" s="215"/>
      <c r="L929" s="216"/>
      <c r="M929" s="217"/>
      <c r="O929" s="241" t="str">
        <f>IF(Q929 = "", "", COUNT(Q$4:$Q929))</f>
        <v/>
      </c>
      <c r="P929" s="241" t="str">
        <f t="shared" si="116"/>
        <v/>
      </c>
      <c r="Q929" s="242" t="str">
        <f t="shared" si="117"/>
        <v/>
      </c>
      <c r="R929" s="243" t="str">
        <f t="shared" si="120"/>
        <v/>
      </c>
      <c r="S929" s="244" t="str">
        <f t="shared" si="118"/>
        <v/>
      </c>
      <c r="T929" s="245" t="str">
        <f t="shared" si="121"/>
        <v/>
      </c>
      <c r="U929" s="246" t="str">
        <f t="shared" si="119"/>
        <v/>
      </c>
      <c r="V929" s="8"/>
      <c r="AR929" t="str">
        <f t="shared" si="123"/>
        <v/>
      </c>
      <c r="AS929" t="str">
        <f t="shared" si="122"/>
        <v/>
      </c>
    </row>
    <row r="930" spans="1:45" x14ac:dyDescent="0.3">
      <c r="A930" s="231"/>
      <c r="B930" s="235"/>
      <c r="C930" s="214"/>
      <c r="D930" s="214"/>
      <c r="E930" s="214"/>
      <c r="F930" s="214"/>
      <c r="G930" s="222"/>
      <c r="H930" s="221"/>
      <c r="I930" s="213"/>
      <c r="J930" s="213"/>
      <c r="K930" s="215"/>
      <c r="L930" s="216"/>
      <c r="M930" s="217"/>
      <c r="O930" s="241" t="str">
        <f>IF(Q930 = "", "", COUNT(Q$4:$Q930))</f>
        <v/>
      </c>
      <c r="P930" s="241" t="str">
        <f t="shared" si="116"/>
        <v/>
      </c>
      <c r="Q930" s="242" t="str">
        <f t="shared" si="117"/>
        <v/>
      </c>
      <c r="R930" s="243" t="str">
        <f t="shared" si="120"/>
        <v/>
      </c>
      <c r="S930" s="244" t="str">
        <f t="shared" si="118"/>
        <v/>
      </c>
      <c r="T930" s="245" t="str">
        <f t="shared" si="121"/>
        <v/>
      </c>
      <c r="U930" s="246" t="str">
        <f t="shared" si="119"/>
        <v/>
      </c>
      <c r="V930" s="8"/>
      <c r="AR930" t="str">
        <f t="shared" si="123"/>
        <v/>
      </c>
      <c r="AS930" t="str">
        <f t="shared" si="122"/>
        <v/>
      </c>
    </row>
    <row r="931" spans="1:45" x14ac:dyDescent="0.3">
      <c r="A931" s="231"/>
      <c r="B931" s="235"/>
      <c r="C931" s="214"/>
      <c r="D931" s="214"/>
      <c r="E931" s="214"/>
      <c r="F931" s="214"/>
      <c r="G931" s="222"/>
      <c r="H931" s="221"/>
      <c r="I931" s="213"/>
      <c r="J931" s="213"/>
      <c r="K931" s="215"/>
      <c r="L931" s="216"/>
      <c r="M931" s="217"/>
      <c r="O931" s="241" t="str">
        <f>IF(Q931 = "", "", COUNT(Q$4:$Q931))</f>
        <v/>
      </c>
      <c r="P931" s="241" t="str">
        <f t="shared" si="116"/>
        <v/>
      </c>
      <c r="Q931" s="242" t="str">
        <f t="shared" si="117"/>
        <v/>
      </c>
      <c r="R931" s="243" t="str">
        <f t="shared" si="120"/>
        <v/>
      </c>
      <c r="S931" s="244" t="str">
        <f t="shared" si="118"/>
        <v/>
      </c>
      <c r="T931" s="245" t="str">
        <f t="shared" si="121"/>
        <v/>
      </c>
      <c r="U931" s="246" t="str">
        <f t="shared" si="119"/>
        <v/>
      </c>
      <c r="V931" s="8"/>
      <c r="AR931" t="str">
        <f t="shared" si="123"/>
        <v/>
      </c>
      <c r="AS931" t="str">
        <f t="shared" si="122"/>
        <v/>
      </c>
    </row>
    <row r="932" spans="1:45" x14ac:dyDescent="0.3">
      <c r="A932" s="231"/>
      <c r="B932" s="235"/>
      <c r="C932" s="214"/>
      <c r="D932" s="214"/>
      <c r="E932" s="214"/>
      <c r="F932" s="214"/>
      <c r="G932" s="222"/>
      <c r="H932" s="221"/>
      <c r="I932" s="213"/>
      <c r="J932" s="213"/>
      <c r="K932" s="215"/>
      <c r="L932" s="216"/>
      <c r="M932" s="217"/>
      <c r="O932" s="241" t="str">
        <f>IF(Q932 = "", "", COUNT(Q$4:$Q932))</f>
        <v/>
      </c>
      <c r="P932" s="241" t="str">
        <f t="shared" si="116"/>
        <v/>
      </c>
      <c r="Q932" s="242" t="str">
        <f t="shared" si="117"/>
        <v/>
      </c>
      <c r="R932" s="243" t="str">
        <f t="shared" si="120"/>
        <v/>
      </c>
      <c r="S932" s="244" t="str">
        <f t="shared" si="118"/>
        <v/>
      </c>
      <c r="T932" s="245" t="str">
        <f t="shared" si="121"/>
        <v/>
      </c>
      <c r="U932" s="246" t="str">
        <f t="shared" si="119"/>
        <v/>
      </c>
      <c r="V932" s="8"/>
      <c r="AR932" t="str">
        <f t="shared" si="123"/>
        <v/>
      </c>
      <c r="AS932" t="str">
        <f t="shared" si="122"/>
        <v/>
      </c>
    </row>
    <row r="933" spans="1:45" x14ac:dyDescent="0.3">
      <c r="A933" s="231"/>
      <c r="B933" s="235"/>
      <c r="C933" s="214"/>
      <c r="D933" s="214"/>
      <c r="E933" s="214"/>
      <c r="F933" s="214"/>
      <c r="G933" s="222"/>
      <c r="H933" s="221"/>
      <c r="I933" s="213"/>
      <c r="J933" s="213"/>
      <c r="K933" s="215"/>
      <c r="L933" s="216"/>
      <c r="M933" s="217"/>
      <c r="O933" s="241" t="str">
        <f>IF(Q933 = "", "", COUNT(Q$4:$Q933))</f>
        <v/>
      </c>
      <c r="P933" s="241" t="str">
        <f t="shared" si="116"/>
        <v/>
      </c>
      <c r="Q933" s="242" t="str">
        <f t="shared" si="117"/>
        <v/>
      </c>
      <c r="R933" s="243" t="str">
        <f t="shared" si="120"/>
        <v/>
      </c>
      <c r="S933" s="244" t="str">
        <f t="shared" si="118"/>
        <v/>
      </c>
      <c r="T933" s="245" t="str">
        <f t="shared" si="121"/>
        <v/>
      </c>
      <c r="U933" s="246" t="str">
        <f t="shared" si="119"/>
        <v/>
      </c>
      <c r="V933" s="8"/>
      <c r="AR933" t="str">
        <f t="shared" si="123"/>
        <v/>
      </c>
      <c r="AS933" t="str">
        <f t="shared" si="122"/>
        <v/>
      </c>
    </row>
    <row r="934" spans="1:45" x14ac:dyDescent="0.3">
      <c r="A934" s="231"/>
      <c r="B934" s="235"/>
      <c r="C934" s="214"/>
      <c r="D934" s="214"/>
      <c r="E934" s="214"/>
      <c r="F934" s="214"/>
      <c r="G934" s="222"/>
      <c r="H934" s="221"/>
      <c r="I934" s="213"/>
      <c r="J934" s="213"/>
      <c r="K934" s="215"/>
      <c r="L934" s="216"/>
      <c r="M934" s="217"/>
      <c r="O934" s="241" t="str">
        <f>IF(Q934 = "", "", COUNT(Q$4:$Q934))</f>
        <v/>
      </c>
      <c r="P934" s="241" t="str">
        <f t="shared" si="116"/>
        <v/>
      </c>
      <c r="Q934" s="242" t="str">
        <f t="shared" si="117"/>
        <v/>
      </c>
      <c r="R934" s="243" t="str">
        <f t="shared" si="120"/>
        <v/>
      </c>
      <c r="S934" s="244" t="str">
        <f t="shared" si="118"/>
        <v/>
      </c>
      <c r="T934" s="245" t="str">
        <f t="shared" si="121"/>
        <v/>
      </c>
      <c r="U934" s="246" t="str">
        <f t="shared" si="119"/>
        <v/>
      </c>
      <c r="V934" s="8"/>
      <c r="AR934" t="str">
        <f t="shared" si="123"/>
        <v/>
      </c>
      <c r="AS934" t="str">
        <f t="shared" si="122"/>
        <v/>
      </c>
    </row>
    <row r="935" spans="1:45" x14ac:dyDescent="0.3">
      <c r="A935" s="231"/>
      <c r="B935" s="235"/>
      <c r="C935" s="214"/>
      <c r="D935" s="214"/>
      <c r="E935" s="214"/>
      <c r="F935" s="214"/>
      <c r="G935" s="222"/>
      <c r="H935" s="221"/>
      <c r="I935" s="213"/>
      <c r="J935" s="213"/>
      <c r="K935" s="215"/>
      <c r="L935" s="216"/>
      <c r="M935" s="217"/>
      <c r="O935" s="241" t="str">
        <f>IF(Q935 = "", "", COUNT(Q$4:$Q935))</f>
        <v/>
      </c>
      <c r="P935" s="241" t="str">
        <f t="shared" si="116"/>
        <v/>
      </c>
      <c r="Q935" s="242" t="str">
        <f t="shared" si="117"/>
        <v/>
      </c>
      <c r="R935" s="243" t="str">
        <f t="shared" si="120"/>
        <v/>
      </c>
      <c r="S935" s="244" t="str">
        <f t="shared" si="118"/>
        <v/>
      </c>
      <c r="T935" s="245" t="str">
        <f t="shared" si="121"/>
        <v/>
      </c>
      <c r="U935" s="246" t="str">
        <f t="shared" si="119"/>
        <v/>
      </c>
      <c r="V935" s="8"/>
      <c r="AR935" t="str">
        <f t="shared" si="123"/>
        <v/>
      </c>
      <c r="AS935" t="str">
        <f t="shared" si="122"/>
        <v/>
      </c>
    </row>
    <row r="936" spans="1:45" x14ac:dyDescent="0.3">
      <c r="A936" s="231"/>
      <c r="B936" s="235"/>
      <c r="C936" s="214"/>
      <c r="D936" s="214"/>
      <c r="E936" s="214"/>
      <c r="F936" s="214"/>
      <c r="G936" s="222"/>
      <c r="H936" s="221"/>
      <c r="I936" s="213"/>
      <c r="J936" s="213"/>
      <c r="K936" s="215"/>
      <c r="L936" s="216"/>
      <c r="M936" s="217"/>
      <c r="O936" s="241" t="str">
        <f>IF(Q936 = "", "", COUNT(Q$4:$Q936))</f>
        <v/>
      </c>
      <c r="P936" s="241" t="str">
        <f t="shared" si="116"/>
        <v/>
      </c>
      <c r="Q936" s="242" t="str">
        <f t="shared" si="117"/>
        <v/>
      </c>
      <c r="R936" s="243" t="str">
        <f t="shared" si="120"/>
        <v/>
      </c>
      <c r="S936" s="244" t="str">
        <f t="shared" si="118"/>
        <v/>
      </c>
      <c r="T936" s="245" t="str">
        <f t="shared" si="121"/>
        <v/>
      </c>
      <c r="U936" s="246" t="str">
        <f t="shared" si="119"/>
        <v/>
      </c>
      <c r="V936" s="8"/>
      <c r="AR936" t="str">
        <f t="shared" si="123"/>
        <v/>
      </c>
      <c r="AS936" t="str">
        <f t="shared" si="122"/>
        <v/>
      </c>
    </row>
    <row r="937" spans="1:45" x14ac:dyDescent="0.3">
      <c r="A937" s="231"/>
      <c r="B937" s="235"/>
      <c r="C937" s="214"/>
      <c r="D937" s="214"/>
      <c r="E937" s="214"/>
      <c r="F937" s="214"/>
      <c r="G937" s="222"/>
      <c r="H937" s="221"/>
      <c r="I937" s="213"/>
      <c r="J937" s="213"/>
      <c r="K937" s="215"/>
      <c r="L937" s="216"/>
      <c r="M937" s="217"/>
      <c r="O937" s="241" t="str">
        <f>IF(Q937 = "", "", COUNT(Q$4:$Q937))</f>
        <v/>
      </c>
      <c r="P937" s="241" t="str">
        <f t="shared" si="116"/>
        <v/>
      </c>
      <c r="Q937" s="242" t="str">
        <f t="shared" si="117"/>
        <v/>
      </c>
      <c r="R937" s="243" t="str">
        <f t="shared" si="120"/>
        <v/>
      </c>
      <c r="S937" s="244" t="str">
        <f t="shared" si="118"/>
        <v/>
      </c>
      <c r="T937" s="245" t="str">
        <f t="shared" si="121"/>
        <v/>
      </c>
      <c r="U937" s="246" t="str">
        <f t="shared" si="119"/>
        <v/>
      </c>
      <c r="V937" s="8"/>
      <c r="AR937" t="str">
        <f t="shared" si="123"/>
        <v/>
      </c>
      <c r="AS937" t="str">
        <f t="shared" si="122"/>
        <v/>
      </c>
    </row>
    <row r="938" spans="1:45" x14ac:dyDescent="0.3">
      <c r="A938" s="231"/>
      <c r="B938" s="235"/>
      <c r="C938" s="214"/>
      <c r="D938" s="214"/>
      <c r="E938" s="214"/>
      <c r="F938" s="214"/>
      <c r="G938" s="222"/>
      <c r="H938" s="221"/>
      <c r="I938" s="213"/>
      <c r="J938" s="213"/>
      <c r="K938" s="215"/>
      <c r="L938" s="216"/>
      <c r="M938" s="217"/>
      <c r="O938" s="241" t="str">
        <f>IF(Q938 = "", "", COUNT(Q$4:$Q938))</f>
        <v/>
      </c>
      <c r="P938" s="241" t="str">
        <f t="shared" si="116"/>
        <v/>
      </c>
      <c r="Q938" s="242" t="str">
        <f t="shared" si="117"/>
        <v/>
      </c>
      <c r="R938" s="243" t="str">
        <f t="shared" si="120"/>
        <v/>
      </c>
      <c r="S938" s="244" t="str">
        <f t="shared" si="118"/>
        <v/>
      </c>
      <c r="T938" s="245" t="str">
        <f t="shared" si="121"/>
        <v/>
      </c>
      <c r="U938" s="246" t="str">
        <f t="shared" si="119"/>
        <v/>
      </c>
      <c r="V938" s="8"/>
      <c r="AR938" t="str">
        <f t="shared" si="123"/>
        <v/>
      </c>
      <c r="AS938" t="str">
        <f t="shared" si="122"/>
        <v/>
      </c>
    </row>
    <row r="939" spans="1:45" x14ac:dyDescent="0.3">
      <c r="A939" s="231"/>
      <c r="B939" s="235"/>
      <c r="C939" s="214"/>
      <c r="D939" s="214"/>
      <c r="E939" s="214"/>
      <c r="F939" s="214"/>
      <c r="G939" s="222"/>
      <c r="H939" s="221"/>
      <c r="I939" s="213"/>
      <c r="J939" s="213"/>
      <c r="K939" s="215"/>
      <c r="L939" s="216"/>
      <c r="M939" s="217"/>
      <c r="O939" s="241" t="str">
        <f>IF(Q939 = "", "", COUNT(Q$4:$Q939))</f>
        <v/>
      </c>
      <c r="P939" s="241" t="str">
        <f t="shared" si="116"/>
        <v/>
      </c>
      <c r="Q939" s="242" t="str">
        <f t="shared" si="117"/>
        <v/>
      </c>
      <c r="R939" s="243" t="str">
        <f t="shared" si="120"/>
        <v/>
      </c>
      <c r="S939" s="244" t="str">
        <f t="shared" si="118"/>
        <v/>
      </c>
      <c r="T939" s="245" t="str">
        <f t="shared" si="121"/>
        <v/>
      </c>
      <c r="U939" s="246" t="str">
        <f t="shared" si="119"/>
        <v/>
      </c>
      <c r="V939" s="8"/>
      <c r="AR939" t="str">
        <f t="shared" si="123"/>
        <v/>
      </c>
      <c r="AS939" t="str">
        <f t="shared" si="122"/>
        <v/>
      </c>
    </row>
    <row r="940" spans="1:45" x14ac:dyDescent="0.3">
      <c r="A940" s="231"/>
      <c r="B940" s="235"/>
      <c r="C940" s="214"/>
      <c r="D940" s="214"/>
      <c r="E940" s="214"/>
      <c r="F940" s="214"/>
      <c r="G940" s="222"/>
      <c r="H940" s="221"/>
      <c r="I940" s="213"/>
      <c r="J940" s="213"/>
      <c r="K940" s="215"/>
      <c r="L940" s="216"/>
      <c r="M940" s="217"/>
      <c r="O940" s="241" t="str">
        <f>IF(Q940 = "", "", COUNT(Q$4:$Q940))</f>
        <v/>
      </c>
      <c r="P940" s="241" t="str">
        <f t="shared" si="116"/>
        <v/>
      </c>
      <c r="Q940" s="242" t="str">
        <f t="shared" si="117"/>
        <v/>
      </c>
      <c r="R940" s="243" t="str">
        <f t="shared" si="120"/>
        <v/>
      </c>
      <c r="S940" s="244" t="str">
        <f t="shared" si="118"/>
        <v/>
      </c>
      <c r="T940" s="245" t="str">
        <f t="shared" si="121"/>
        <v/>
      </c>
      <c r="U940" s="246" t="str">
        <f t="shared" si="119"/>
        <v/>
      </c>
      <c r="V940" s="8"/>
      <c r="AR940" t="str">
        <f t="shared" si="123"/>
        <v/>
      </c>
      <c r="AS940" t="str">
        <f t="shared" si="122"/>
        <v/>
      </c>
    </row>
    <row r="941" spans="1:45" x14ac:dyDescent="0.3">
      <c r="A941" s="231"/>
      <c r="B941" s="235"/>
      <c r="C941" s="214"/>
      <c r="D941" s="214"/>
      <c r="E941" s="214"/>
      <c r="F941" s="214"/>
      <c r="G941" s="222"/>
      <c r="H941" s="221"/>
      <c r="I941" s="213"/>
      <c r="J941" s="213"/>
      <c r="K941" s="215"/>
      <c r="L941" s="216"/>
      <c r="M941" s="217"/>
      <c r="O941" s="241" t="str">
        <f>IF(Q941 = "", "", COUNT(Q$4:$Q941))</f>
        <v/>
      </c>
      <c r="P941" s="241" t="str">
        <f t="shared" si="116"/>
        <v/>
      </c>
      <c r="Q941" s="242" t="str">
        <f t="shared" si="117"/>
        <v/>
      </c>
      <c r="R941" s="243" t="str">
        <f t="shared" si="120"/>
        <v/>
      </c>
      <c r="S941" s="244" t="str">
        <f t="shared" si="118"/>
        <v/>
      </c>
      <c r="T941" s="245" t="str">
        <f t="shared" si="121"/>
        <v/>
      </c>
      <c r="U941" s="246" t="str">
        <f t="shared" si="119"/>
        <v/>
      </c>
      <c r="V941" s="8"/>
      <c r="AR941" t="str">
        <f t="shared" si="123"/>
        <v/>
      </c>
      <c r="AS941" t="str">
        <f t="shared" si="122"/>
        <v/>
      </c>
    </row>
    <row r="942" spans="1:45" x14ac:dyDescent="0.3">
      <c r="A942" s="231"/>
      <c r="B942" s="235"/>
      <c r="C942" s="214"/>
      <c r="D942" s="214"/>
      <c r="E942" s="214"/>
      <c r="F942" s="214"/>
      <c r="G942" s="222"/>
      <c r="H942" s="221"/>
      <c r="I942" s="213"/>
      <c r="J942" s="213"/>
      <c r="K942" s="215"/>
      <c r="L942" s="216"/>
      <c r="M942" s="217"/>
      <c r="O942" s="241" t="str">
        <f>IF(Q942 = "", "", COUNT(Q$4:$Q942))</f>
        <v/>
      </c>
      <c r="P942" s="241" t="str">
        <f t="shared" si="116"/>
        <v/>
      </c>
      <c r="Q942" s="242" t="str">
        <f t="shared" si="117"/>
        <v/>
      </c>
      <c r="R942" s="243" t="str">
        <f t="shared" si="120"/>
        <v/>
      </c>
      <c r="S942" s="244" t="str">
        <f t="shared" si="118"/>
        <v/>
      </c>
      <c r="T942" s="245" t="str">
        <f t="shared" si="121"/>
        <v/>
      </c>
      <c r="U942" s="246" t="str">
        <f t="shared" si="119"/>
        <v/>
      </c>
      <c r="V942" s="8"/>
      <c r="AR942" t="str">
        <f t="shared" si="123"/>
        <v/>
      </c>
      <c r="AS942" t="str">
        <f t="shared" si="122"/>
        <v/>
      </c>
    </row>
    <row r="943" spans="1:45" x14ac:dyDescent="0.3">
      <c r="A943" s="231"/>
      <c r="B943" s="235"/>
      <c r="C943" s="214"/>
      <c r="D943" s="214"/>
      <c r="E943" s="214"/>
      <c r="F943" s="214"/>
      <c r="G943" s="222"/>
      <c r="H943" s="221"/>
      <c r="I943" s="213"/>
      <c r="J943" s="213"/>
      <c r="K943" s="215"/>
      <c r="L943" s="216"/>
      <c r="M943" s="217"/>
      <c r="O943" s="241" t="str">
        <f>IF(Q943 = "", "", COUNT(Q$4:$Q943))</f>
        <v/>
      </c>
      <c r="P943" s="241" t="str">
        <f t="shared" si="116"/>
        <v/>
      </c>
      <c r="Q943" s="242" t="str">
        <f t="shared" si="117"/>
        <v/>
      </c>
      <c r="R943" s="243" t="str">
        <f t="shared" si="120"/>
        <v/>
      </c>
      <c r="S943" s="244" t="str">
        <f t="shared" si="118"/>
        <v/>
      </c>
      <c r="T943" s="245" t="str">
        <f t="shared" si="121"/>
        <v/>
      </c>
      <c r="U943" s="246" t="str">
        <f t="shared" si="119"/>
        <v/>
      </c>
      <c r="V943" s="8"/>
      <c r="AR943" t="str">
        <f t="shared" si="123"/>
        <v/>
      </c>
      <c r="AS943" t="str">
        <f t="shared" si="122"/>
        <v/>
      </c>
    </row>
    <row r="944" spans="1:45" x14ac:dyDescent="0.3">
      <c r="A944" s="231"/>
      <c r="B944" s="235"/>
      <c r="C944" s="214"/>
      <c r="D944" s="214"/>
      <c r="E944" s="214"/>
      <c r="F944" s="214"/>
      <c r="G944" s="222"/>
      <c r="H944" s="221"/>
      <c r="I944" s="213"/>
      <c r="J944" s="213"/>
      <c r="K944" s="215"/>
      <c r="L944" s="216"/>
      <c r="M944" s="217"/>
      <c r="O944" s="241" t="str">
        <f>IF(Q944 = "", "", COUNT(Q$4:$Q944))</f>
        <v/>
      </c>
      <c r="P944" s="241" t="str">
        <f t="shared" si="116"/>
        <v/>
      </c>
      <c r="Q944" s="242" t="str">
        <f t="shared" si="117"/>
        <v/>
      </c>
      <c r="R944" s="243" t="str">
        <f t="shared" si="120"/>
        <v/>
      </c>
      <c r="S944" s="244" t="str">
        <f t="shared" si="118"/>
        <v/>
      </c>
      <c r="T944" s="245" t="str">
        <f t="shared" si="121"/>
        <v/>
      </c>
      <c r="U944" s="246" t="str">
        <f t="shared" si="119"/>
        <v/>
      </c>
      <c r="V944" s="8"/>
      <c r="AR944" t="str">
        <f t="shared" si="123"/>
        <v/>
      </c>
      <c r="AS944" t="str">
        <f t="shared" si="122"/>
        <v/>
      </c>
    </row>
    <row r="945" spans="1:45" x14ac:dyDescent="0.3">
      <c r="A945" s="231"/>
      <c r="B945" s="235"/>
      <c r="C945" s="214"/>
      <c r="D945" s="214"/>
      <c r="E945" s="214"/>
      <c r="F945" s="214"/>
      <c r="G945" s="222"/>
      <c r="H945" s="221"/>
      <c r="I945" s="213"/>
      <c r="J945" s="213"/>
      <c r="K945" s="215"/>
      <c r="L945" s="216"/>
      <c r="M945" s="217"/>
      <c r="O945" s="241" t="str">
        <f>IF(Q945 = "", "", COUNT(Q$4:$Q945))</f>
        <v/>
      </c>
      <c r="P945" s="241" t="str">
        <f t="shared" si="116"/>
        <v/>
      </c>
      <c r="Q945" s="242" t="str">
        <f t="shared" si="117"/>
        <v/>
      </c>
      <c r="R945" s="243" t="str">
        <f t="shared" si="120"/>
        <v/>
      </c>
      <c r="S945" s="244" t="str">
        <f t="shared" si="118"/>
        <v/>
      </c>
      <c r="T945" s="245" t="str">
        <f t="shared" si="121"/>
        <v/>
      </c>
      <c r="U945" s="246" t="str">
        <f t="shared" si="119"/>
        <v/>
      </c>
      <c r="V945" s="8"/>
      <c r="AR945" t="str">
        <f t="shared" si="123"/>
        <v/>
      </c>
      <c r="AS945" t="str">
        <f t="shared" si="122"/>
        <v/>
      </c>
    </row>
    <row r="946" spans="1:45" x14ac:dyDescent="0.3">
      <c r="A946" s="231"/>
      <c r="B946" s="235"/>
      <c r="C946" s="214"/>
      <c r="D946" s="214"/>
      <c r="E946" s="214"/>
      <c r="F946" s="214"/>
      <c r="G946" s="222"/>
      <c r="H946" s="221"/>
      <c r="I946" s="213"/>
      <c r="J946" s="213"/>
      <c r="K946" s="215"/>
      <c r="L946" s="216"/>
      <c r="M946" s="217"/>
      <c r="O946" s="241" t="str">
        <f>IF(Q946 = "", "", COUNT(Q$4:$Q946))</f>
        <v/>
      </c>
      <c r="P946" s="241" t="str">
        <f t="shared" si="116"/>
        <v/>
      </c>
      <c r="Q946" s="242" t="str">
        <f t="shared" si="117"/>
        <v/>
      </c>
      <c r="R946" s="243" t="str">
        <f t="shared" si="120"/>
        <v/>
      </c>
      <c r="S946" s="244" t="str">
        <f t="shared" si="118"/>
        <v/>
      </c>
      <c r="T946" s="245" t="str">
        <f t="shared" si="121"/>
        <v/>
      </c>
      <c r="U946" s="246" t="str">
        <f t="shared" si="119"/>
        <v/>
      </c>
      <c r="V946" s="8"/>
      <c r="AR946" t="str">
        <f t="shared" si="123"/>
        <v/>
      </c>
      <c r="AS946" t="str">
        <f t="shared" si="122"/>
        <v/>
      </c>
    </row>
    <row r="947" spans="1:45" x14ac:dyDescent="0.3">
      <c r="A947" s="231"/>
      <c r="B947" s="235"/>
      <c r="C947" s="214"/>
      <c r="D947" s="214"/>
      <c r="E947" s="214"/>
      <c r="F947" s="214"/>
      <c r="G947" s="222"/>
      <c r="H947" s="221"/>
      <c r="I947" s="213"/>
      <c r="J947" s="213"/>
      <c r="K947" s="215"/>
      <c r="L947" s="216"/>
      <c r="M947" s="217"/>
      <c r="O947" s="241" t="str">
        <f>IF(Q947 = "", "", COUNT(Q$4:$Q947))</f>
        <v/>
      </c>
      <c r="P947" s="241" t="str">
        <f t="shared" si="116"/>
        <v/>
      </c>
      <c r="Q947" s="242" t="str">
        <f t="shared" si="117"/>
        <v/>
      </c>
      <c r="R947" s="243" t="str">
        <f t="shared" si="120"/>
        <v/>
      </c>
      <c r="S947" s="244" t="str">
        <f t="shared" si="118"/>
        <v/>
      </c>
      <c r="T947" s="245" t="str">
        <f t="shared" si="121"/>
        <v/>
      </c>
      <c r="U947" s="246" t="str">
        <f t="shared" si="119"/>
        <v/>
      </c>
      <c r="V947" s="8"/>
      <c r="AR947" t="str">
        <f t="shared" si="123"/>
        <v/>
      </c>
      <c r="AS947" t="str">
        <f t="shared" si="122"/>
        <v/>
      </c>
    </row>
    <row r="948" spans="1:45" x14ac:dyDescent="0.3">
      <c r="A948" s="231"/>
      <c r="B948" s="235"/>
      <c r="C948" s="214"/>
      <c r="D948" s="214"/>
      <c r="E948" s="214"/>
      <c r="F948" s="214"/>
      <c r="G948" s="222"/>
      <c r="H948" s="221"/>
      <c r="I948" s="213"/>
      <c r="J948" s="213"/>
      <c r="K948" s="215"/>
      <c r="L948" s="216"/>
      <c r="M948" s="217"/>
      <c r="O948" s="241" t="str">
        <f>IF(Q948 = "", "", COUNT(Q$4:$Q948))</f>
        <v/>
      </c>
      <c r="P948" s="241" t="str">
        <f t="shared" si="116"/>
        <v/>
      </c>
      <c r="Q948" s="242" t="str">
        <f t="shared" si="117"/>
        <v/>
      </c>
      <c r="R948" s="243" t="str">
        <f t="shared" si="120"/>
        <v/>
      </c>
      <c r="S948" s="244" t="str">
        <f t="shared" si="118"/>
        <v/>
      </c>
      <c r="T948" s="245" t="str">
        <f t="shared" si="121"/>
        <v/>
      </c>
      <c r="U948" s="246" t="str">
        <f t="shared" si="119"/>
        <v/>
      </c>
      <c r="V948" s="8"/>
      <c r="AR948" t="str">
        <f t="shared" si="123"/>
        <v/>
      </c>
      <c r="AS948" t="str">
        <f t="shared" si="122"/>
        <v/>
      </c>
    </row>
    <row r="949" spans="1:45" x14ac:dyDescent="0.3">
      <c r="A949" s="231"/>
      <c r="B949" s="235"/>
      <c r="C949" s="214"/>
      <c r="D949" s="214"/>
      <c r="E949" s="214"/>
      <c r="F949" s="214"/>
      <c r="G949" s="222"/>
      <c r="H949" s="221"/>
      <c r="I949" s="213"/>
      <c r="J949" s="213"/>
      <c r="K949" s="215"/>
      <c r="L949" s="216"/>
      <c r="M949" s="217"/>
      <c r="O949" s="241" t="str">
        <f>IF(Q949 = "", "", COUNT(Q$4:$Q949))</f>
        <v/>
      </c>
      <c r="P949" s="241" t="str">
        <f t="shared" si="116"/>
        <v/>
      </c>
      <c r="Q949" s="242" t="str">
        <f t="shared" si="117"/>
        <v/>
      </c>
      <c r="R949" s="243" t="str">
        <f t="shared" si="120"/>
        <v/>
      </c>
      <c r="S949" s="244" t="str">
        <f t="shared" si="118"/>
        <v/>
      </c>
      <c r="T949" s="245" t="str">
        <f t="shared" si="121"/>
        <v/>
      </c>
      <c r="U949" s="246" t="str">
        <f t="shared" si="119"/>
        <v/>
      </c>
      <c r="V949" s="8"/>
      <c r="AR949" t="str">
        <f t="shared" si="123"/>
        <v/>
      </c>
      <c r="AS949" t="str">
        <f t="shared" si="122"/>
        <v/>
      </c>
    </row>
    <row r="950" spans="1:45" x14ac:dyDescent="0.3">
      <c r="A950" s="231"/>
      <c r="B950" s="235"/>
      <c r="C950" s="214"/>
      <c r="D950" s="214"/>
      <c r="E950" s="214"/>
      <c r="F950" s="214"/>
      <c r="G950" s="222"/>
      <c r="H950" s="221"/>
      <c r="I950" s="213"/>
      <c r="J950" s="213"/>
      <c r="K950" s="215"/>
      <c r="L950" s="216"/>
      <c r="M950" s="217"/>
      <c r="O950" s="241" t="str">
        <f>IF(Q950 = "", "", COUNT(Q$4:$Q950))</f>
        <v/>
      </c>
      <c r="P950" s="241" t="str">
        <f t="shared" si="116"/>
        <v/>
      </c>
      <c r="Q950" s="242" t="str">
        <f t="shared" si="117"/>
        <v/>
      </c>
      <c r="R950" s="243" t="str">
        <f t="shared" si="120"/>
        <v/>
      </c>
      <c r="S950" s="244" t="str">
        <f t="shared" si="118"/>
        <v/>
      </c>
      <c r="T950" s="245" t="str">
        <f t="shared" si="121"/>
        <v/>
      </c>
      <c r="U950" s="246" t="str">
        <f t="shared" si="119"/>
        <v/>
      </c>
      <c r="V950" s="8"/>
      <c r="AR950" t="str">
        <f t="shared" si="123"/>
        <v/>
      </c>
      <c r="AS950" t="str">
        <f t="shared" si="122"/>
        <v/>
      </c>
    </row>
    <row r="951" spans="1:45" x14ac:dyDescent="0.3">
      <c r="A951" s="231"/>
      <c r="B951" s="235"/>
      <c r="C951" s="214"/>
      <c r="D951" s="214"/>
      <c r="E951" s="214"/>
      <c r="F951" s="214"/>
      <c r="G951" s="222"/>
      <c r="H951" s="221"/>
      <c r="I951" s="213"/>
      <c r="J951" s="213"/>
      <c r="K951" s="215"/>
      <c r="L951" s="216"/>
      <c r="M951" s="217"/>
      <c r="O951" s="241" t="str">
        <f>IF(Q951 = "", "", COUNT(Q$4:$Q951))</f>
        <v/>
      </c>
      <c r="P951" s="241" t="str">
        <f t="shared" si="116"/>
        <v/>
      </c>
      <c r="Q951" s="242" t="str">
        <f t="shared" si="117"/>
        <v/>
      </c>
      <c r="R951" s="243" t="str">
        <f t="shared" si="120"/>
        <v/>
      </c>
      <c r="S951" s="244" t="str">
        <f t="shared" si="118"/>
        <v/>
      </c>
      <c r="T951" s="245" t="str">
        <f t="shared" si="121"/>
        <v/>
      </c>
      <c r="U951" s="246" t="str">
        <f t="shared" si="119"/>
        <v/>
      </c>
      <c r="V951" s="8"/>
      <c r="AR951" t="str">
        <f t="shared" si="123"/>
        <v/>
      </c>
      <c r="AS951" t="str">
        <f t="shared" si="122"/>
        <v/>
      </c>
    </row>
    <row r="952" spans="1:45" x14ac:dyDescent="0.3">
      <c r="A952" s="231"/>
      <c r="B952" s="235"/>
      <c r="C952" s="214"/>
      <c r="D952" s="214"/>
      <c r="E952" s="214"/>
      <c r="F952" s="214"/>
      <c r="G952" s="222"/>
      <c r="H952" s="221"/>
      <c r="I952" s="213"/>
      <c r="J952" s="213"/>
      <c r="K952" s="215"/>
      <c r="L952" s="216"/>
      <c r="M952" s="217"/>
      <c r="O952" s="241" t="str">
        <f>IF(Q952 = "", "", COUNT(Q$4:$Q952))</f>
        <v/>
      </c>
      <c r="P952" s="241" t="str">
        <f t="shared" si="116"/>
        <v/>
      </c>
      <c r="Q952" s="242" t="str">
        <f t="shared" si="117"/>
        <v/>
      </c>
      <c r="R952" s="243" t="str">
        <f t="shared" si="120"/>
        <v/>
      </c>
      <c r="S952" s="244" t="str">
        <f t="shared" si="118"/>
        <v/>
      </c>
      <c r="T952" s="245" t="str">
        <f t="shared" si="121"/>
        <v/>
      </c>
      <c r="U952" s="246" t="str">
        <f t="shared" si="119"/>
        <v/>
      </c>
      <c r="V952" s="8"/>
      <c r="AR952" t="str">
        <f t="shared" si="123"/>
        <v/>
      </c>
      <c r="AS952" t="str">
        <f t="shared" si="122"/>
        <v/>
      </c>
    </row>
    <row r="953" spans="1:45" x14ac:dyDescent="0.3">
      <c r="A953" s="231"/>
      <c r="B953" s="235"/>
      <c r="C953" s="214"/>
      <c r="D953" s="214"/>
      <c r="E953" s="214"/>
      <c r="F953" s="214"/>
      <c r="G953" s="222"/>
      <c r="H953" s="221"/>
      <c r="I953" s="213"/>
      <c r="J953" s="213"/>
      <c r="K953" s="215"/>
      <c r="L953" s="216"/>
      <c r="M953" s="217"/>
      <c r="O953" s="241" t="str">
        <f>IF(Q953 = "", "", COUNT(Q$4:$Q953))</f>
        <v/>
      </c>
      <c r="P953" s="241" t="str">
        <f t="shared" si="116"/>
        <v/>
      </c>
      <c r="Q953" s="242" t="str">
        <f t="shared" si="117"/>
        <v/>
      </c>
      <c r="R953" s="243" t="str">
        <f t="shared" si="120"/>
        <v/>
      </c>
      <c r="S953" s="244" t="str">
        <f t="shared" si="118"/>
        <v/>
      </c>
      <c r="T953" s="245" t="str">
        <f t="shared" si="121"/>
        <v/>
      </c>
      <c r="U953" s="246" t="str">
        <f t="shared" si="119"/>
        <v/>
      </c>
      <c r="V953" s="8"/>
      <c r="AR953" t="str">
        <f t="shared" si="123"/>
        <v/>
      </c>
      <c r="AS953" t="str">
        <f t="shared" si="122"/>
        <v/>
      </c>
    </row>
    <row r="954" spans="1:45" x14ac:dyDescent="0.3">
      <c r="A954" s="231"/>
      <c r="B954" s="235"/>
      <c r="C954" s="214"/>
      <c r="D954" s="214"/>
      <c r="E954" s="214"/>
      <c r="F954" s="214"/>
      <c r="G954" s="222"/>
      <c r="H954" s="221"/>
      <c r="I954" s="213"/>
      <c r="J954" s="213"/>
      <c r="K954" s="215"/>
      <c r="L954" s="216"/>
      <c r="M954" s="217"/>
      <c r="O954" s="241" t="str">
        <f>IF(Q954 = "", "", COUNT(Q$4:$Q954))</f>
        <v/>
      </c>
      <c r="P954" s="241" t="str">
        <f t="shared" si="116"/>
        <v/>
      </c>
      <c r="Q954" s="242" t="str">
        <f t="shared" si="117"/>
        <v/>
      </c>
      <c r="R954" s="243" t="str">
        <f t="shared" si="120"/>
        <v/>
      </c>
      <c r="S954" s="244" t="str">
        <f t="shared" si="118"/>
        <v/>
      </c>
      <c r="T954" s="245" t="str">
        <f t="shared" si="121"/>
        <v/>
      </c>
      <c r="U954" s="246" t="str">
        <f t="shared" si="119"/>
        <v/>
      </c>
      <c r="V954" s="8"/>
      <c r="AR954" t="str">
        <f t="shared" si="123"/>
        <v/>
      </c>
      <c r="AS954" t="str">
        <f t="shared" si="122"/>
        <v/>
      </c>
    </row>
    <row r="955" spans="1:45" x14ac:dyDescent="0.3">
      <c r="A955" s="231"/>
      <c r="B955" s="235"/>
      <c r="C955" s="214"/>
      <c r="D955" s="214"/>
      <c r="E955" s="214"/>
      <c r="F955" s="214"/>
      <c r="G955" s="222"/>
      <c r="H955" s="221"/>
      <c r="I955" s="213"/>
      <c r="J955" s="213"/>
      <c r="K955" s="215"/>
      <c r="L955" s="216"/>
      <c r="M955" s="217"/>
      <c r="O955" s="241" t="str">
        <f>IF(Q955 = "", "", COUNT(Q$4:$Q955))</f>
        <v/>
      </c>
      <c r="P955" s="241" t="str">
        <f t="shared" si="116"/>
        <v/>
      </c>
      <c r="Q955" s="242" t="str">
        <f t="shared" si="117"/>
        <v/>
      </c>
      <c r="R955" s="243" t="str">
        <f t="shared" si="120"/>
        <v/>
      </c>
      <c r="S955" s="244" t="str">
        <f t="shared" si="118"/>
        <v/>
      </c>
      <c r="T955" s="245" t="str">
        <f t="shared" si="121"/>
        <v/>
      </c>
      <c r="U955" s="246" t="str">
        <f t="shared" si="119"/>
        <v/>
      </c>
      <c r="V955" s="8"/>
      <c r="AR955" t="str">
        <f t="shared" si="123"/>
        <v/>
      </c>
      <c r="AS955" t="str">
        <f t="shared" si="122"/>
        <v/>
      </c>
    </row>
    <row r="956" spans="1:45" x14ac:dyDescent="0.3">
      <c r="A956" s="231"/>
      <c r="B956" s="235"/>
      <c r="C956" s="214"/>
      <c r="D956" s="214"/>
      <c r="E956" s="214"/>
      <c r="F956" s="214"/>
      <c r="G956" s="222"/>
      <c r="H956" s="221"/>
      <c r="I956" s="213"/>
      <c r="J956" s="213"/>
      <c r="K956" s="215"/>
      <c r="L956" s="216"/>
      <c r="M956" s="217"/>
      <c r="O956" s="241" t="str">
        <f>IF(Q956 = "", "", COUNT(Q$4:$Q956))</f>
        <v/>
      </c>
      <c r="P956" s="241" t="str">
        <f t="shared" si="116"/>
        <v/>
      </c>
      <c r="Q956" s="242" t="str">
        <f t="shared" si="117"/>
        <v/>
      </c>
      <c r="R956" s="243" t="str">
        <f t="shared" si="120"/>
        <v/>
      </c>
      <c r="S956" s="244" t="str">
        <f t="shared" si="118"/>
        <v/>
      </c>
      <c r="T956" s="245" t="str">
        <f t="shared" si="121"/>
        <v/>
      </c>
      <c r="U956" s="246" t="str">
        <f t="shared" si="119"/>
        <v/>
      </c>
      <c r="V956" s="8"/>
      <c r="AR956" t="str">
        <f t="shared" si="123"/>
        <v/>
      </c>
      <c r="AS956" t="str">
        <f t="shared" si="122"/>
        <v/>
      </c>
    </row>
    <row r="957" spans="1:45" x14ac:dyDescent="0.3">
      <c r="A957" s="231"/>
      <c r="B957" s="235"/>
      <c r="C957" s="214"/>
      <c r="D957" s="214"/>
      <c r="E957" s="214"/>
      <c r="F957" s="214"/>
      <c r="G957" s="222"/>
      <c r="H957" s="221"/>
      <c r="I957" s="213"/>
      <c r="J957" s="213"/>
      <c r="K957" s="215"/>
      <c r="L957" s="216"/>
      <c r="M957" s="217"/>
      <c r="O957" s="241" t="str">
        <f>IF(Q957 = "", "", COUNT(Q$4:$Q957))</f>
        <v/>
      </c>
      <c r="P957" s="241" t="str">
        <f t="shared" si="116"/>
        <v/>
      </c>
      <c r="Q957" s="242" t="str">
        <f t="shared" si="117"/>
        <v/>
      </c>
      <c r="R957" s="243" t="str">
        <f t="shared" si="120"/>
        <v/>
      </c>
      <c r="S957" s="244" t="str">
        <f t="shared" si="118"/>
        <v/>
      </c>
      <c r="T957" s="245" t="str">
        <f t="shared" si="121"/>
        <v/>
      </c>
      <c r="U957" s="246" t="str">
        <f t="shared" si="119"/>
        <v/>
      </c>
      <c r="V957" s="8"/>
      <c r="AR957" t="str">
        <f t="shared" si="123"/>
        <v/>
      </c>
      <c r="AS957" t="str">
        <f t="shared" si="122"/>
        <v/>
      </c>
    </row>
    <row r="958" spans="1:45" x14ac:dyDescent="0.3">
      <c r="A958" s="231"/>
      <c r="B958" s="235"/>
      <c r="C958" s="214"/>
      <c r="D958" s="214"/>
      <c r="E958" s="214"/>
      <c r="F958" s="214"/>
      <c r="G958" s="222"/>
      <c r="H958" s="221"/>
      <c r="I958" s="213"/>
      <c r="J958" s="213"/>
      <c r="K958" s="215"/>
      <c r="L958" s="216"/>
      <c r="M958" s="217"/>
      <c r="O958" s="241" t="str">
        <f>IF(Q958 = "", "", COUNT(Q$4:$Q958))</f>
        <v/>
      </c>
      <c r="P958" s="241" t="str">
        <f t="shared" si="116"/>
        <v/>
      </c>
      <c r="Q958" s="242" t="str">
        <f t="shared" si="117"/>
        <v/>
      </c>
      <c r="R958" s="243" t="str">
        <f t="shared" si="120"/>
        <v/>
      </c>
      <c r="S958" s="244" t="str">
        <f t="shared" si="118"/>
        <v/>
      </c>
      <c r="T958" s="245" t="str">
        <f t="shared" si="121"/>
        <v/>
      </c>
      <c r="U958" s="246" t="str">
        <f t="shared" si="119"/>
        <v/>
      </c>
      <c r="V958" s="8"/>
      <c r="AR958" t="str">
        <f t="shared" si="123"/>
        <v/>
      </c>
      <c r="AS958" t="str">
        <f t="shared" si="122"/>
        <v/>
      </c>
    </row>
    <row r="959" spans="1:45" x14ac:dyDescent="0.3">
      <c r="A959" s="231"/>
      <c r="B959" s="235"/>
      <c r="C959" s="214"/>
      <c r="D959" s="214"/>
      <c r="E959" s="214"/>
      <c r="F959" s="214"/>
      <c r="G959" s="222"/>
      <c r="H959" s="221"/>
      <c r="I959" s="213"/>
      <c r="J959" s="213"/>
      <c r="K959" s="215"/>
      <c r="L959" s="216"/>
      <c r="M959" s="217"/>
      <c r="O959" s="241" t="str">
        <f>IF(Q959 = "", "", COUNT(Q$4:$Q959))</f>
        <v/>
      </c>
      <c r="P959" s="241" t="str">
        <f t="shared" si="116"/>
        <v/>
      </c>
      <c r="Q959" s="242" t="str">
        <f t="shared" si="117"/>
        <v/>
      </c>
      <c r="R959" s="243" t="str">
        <f t="shared" si="120"/>
        <v/>
      </c>
      <c r="S959" s="244" t="str">
        <f t="shared" si="118"/>
        <v/>
      </c>
      <c r="T959" s="245" t="str">
        <f t="shared" si="121"/>
        <v/>
      </c>
      <c r="U959" s="246" t="str">
        <f t="shared" si="119"/>
        <v/>
      </c>
      <c r="V959" s="8"/>
      <c r="AR959" t="str">
        <f t="shared" si="123"/>
        <v/>
      </c>
      <c r="AS959" t="str">
        <f t="shared" si="122"/>
        <v/>
      </c>
    </row>
    <row r="960" spans="1:45" x14ac:dyDescent="0.3">
      <c r="A960" s="231"/>
      <c r="B960" s="235"/>
      <c r="C960" s="214"/>
      <c r="D960" s="214"/>
      <c r="E960" s="214"/>
      <c r="F960" s="214"/>
      <c r="G960" s="222"/>
      <c r="H960" s="221"/>
      <c r="I960" s="213"/>
      <c r="J960" s="213"/>
      <c r="K960" s="215"/>
      <c r="L960" s="216"/>
      <c r="M960" s="217"/>
      <c r="O960" s="241" t="str">
        <f>IF(Q960 = "", "", COUNT(Q$4:$Q960))</f>
        <v/>
      </c>
      <c r="P960" s="241" t="str">
        <f t="shared" si="116"/>
        <v/>
      </c>
      <c r="Q960" s="242" t="str">
        <f t="shared" si="117"/>
        <v/>
      </c>
      <c r="R960" s="243" t="str">
        <f t="shared" si="120"/>
        <v/>
      </c>
      <c r="S960" s="244" t="str">
        <f t="shared" si="118"/>
        <v/>
      </c>
      <c r="T960" s="245" t="str">
        <f t="shared" si="121"/>
        <v/>
      </c>
      <c r="U960" s="246" t="str">
        <f t="shared" si="119"/>
        <v/>
      </c>
      <c r="V960" s="8"/>
      <c r="AR960" t="str">
        <f t="shared" si="123"/>
        <v/>
      </c>
      <c r="AS960" t="str">
        <f t="shared" si="122"/>
        <v/>
      </c>
    </row>
    <row r="961" spans="1:45" x14ac:dyDescent="0.3">
      <c r="A961" s="231"/>
      <c r="B961" s="235"/>
      <c r="C961" s="214"/>
      <c r="D961" s="214"/>
      <c r="E961" s="214"/>
      <c r="F961" s="214"/>
      <c r="G961" s="222"/>
      <c r="H961" s="221"/>
      <c r="I961" s="213"/>
      <c r="J961" s="213"/>
      <c r="K961" s="215"/>
      <c r="L961" s="216"/>
      <c r="M961" s="217"/>
      <c r="O961" s="241" t="str">
        <f>IF(Q961 = "", "", COUNT(Q$4:$Q961))</f>
        <v/>
      </c>
      <c r="P961" s="241" t="str">
        <f t="shared" si="116"/>
        <v/>
      </c>
      <c r="Q961" s="242" t="str">
        <f t="shared" si="117"/>
        <v/>
      </c>
      <c r="R961" s="243" t="str">
        <f t="shared" si="120"/>
        <v/>
      </c>
      <c r="S961" s="244" t="str">
        <f t="shared" si="118"/>
        <v/>
      </c>
      <c r="T961" s="245" t="str">
        <f t="shared" si="121"/>
        <v/>
      </c>
      <c r="U961" s="246" t="str">
        <f t="shared" si="119"/>
        <v/>
      </c>
      <c r="V961" s="8"/>
      <c r="AR961" t="str">
        <f t="shared" si="123"/>
        <v/>
      </c>
      <c r="AS961" t="str">
        <f t="shared" si="122"/>
        <v/>
      </c>
    </row>
    <row r="962" spans="1:45" x14ac:dyDescent="0.3">
      <c r="A962" s="231"/>
      <c r="B962" s="235"/>
      <c r="C962" s="214"/>
      <c r="D962" s="214"/>
      <c r="E962" s="214"/>
      <c r="F962" s="214"/>
      <c r="G962" s="222"/>
      <c r="H962" s="221"/>
      <c r="I962" s="213"/>
      <c r="J962" s="213"/>
      <c r="K962" s="215"/>
      <c r="L962" s="216"/>
      <c r="M962" s="217"/>
      <c r="O962" s="241" t="str">
        <f>IF(Q962 = "", "", COUNT(Q$4:$Q962))</f>
        <v/>
      </c>
      <c r="P962" s="241" t="str">
        <f t="shared" si="116"/>
        <v/>
      </c>
      <c r="Q962" s="242" t="str">
        <f t="shared" si="117"/>
        <v/>
      </c>
      <c r="R962" s="243" t="str">
        <f t="shared" si="120"/>
        <v/>
      </c>
      <c r="S962" s="244" t="str">
        <f t="shared" si="118"/>
        <v/>
      </c>
      <c r="T962" s="245" t="str">
        <f t="shared" si="121"/>
        <v/>
      </c>
      <c r="U962" s="246" t="str">
        <f t="shared" si="119"/>
        <v/>
      </c>
      <c r="V962" s="8"/>
      <c r="AR962" t="str">
        <f t="shared" si="123"/>
        <v/>
      </c>
      <c r="AS962" t="str">
        <f t="shared" si="122"/>
        <v/>
      </c>
    </row>
    <row r="963" spans="1:45" x14ac:dyDescent="0.3">
      <c r="A963" s="231"/>
      <c r="B963" s="235"/>
      <c r="C963" s="214"/>
      <c r="D963" s="214"/>
      <c r="E963" s="214"/>
      <c r="F963" s="214"/>
      <c r="G963" s="222"/>
      <c r="H963" s="221"/>
      <c r="I963" s="213"/>
      <c r="J963" s="213"/>
      <c r="K963" s="215"/>
      <c r="L963" s="216"/>
      <c r="M963" s="217"/>
      <c r="O963" s="241" t="str">
        <f>IF(Q963 = "", "", COUNT(Q$4:$Q963))</f>
        <v/>
      </c>
      <c r="P963" s="241" t="str">
        <f t="shared" si="116"/>
        <v/>
      </c>
      <c r="Q963" s="242" t="str">
        <f t="shared" si="117"/>
        <v/>
      </c>
      <c r="R963" s="243" t="str">
        <f t="shared" si="120"/>
        <v/>
      </c>
      <c r="S963" s="244" t="str">
        <f t="shared" si="118"/>
        <v/>
      </c>
      <c r="T963" s="245" t="str">
        <f t="shared" si="121"/>
        <v/>
      </c>
      <c r="U963" s="246" t="str">
        <f t="shared" si="119"/>
        <v/>
      </c>
      <c r="V963" s="8"/>
      <c r="AR963" t="str">
        <f t="shared" si="123"/>
        <v/>
      </c>
      <c r="AS963" t="str">
        <f t="shared" si="122"/>
        <v/>
      </c>
    </row>
    <row r="964" spans="1:45" x14ac:dyDescent="0.3">
      <c r="A964" s="231"/>
      <c r="B964" s="235"/>
      <c r="C964" s="214"/>
      <c r="D964" s="214"/>
      <c r="E964" s="214"/>
      <c r="F964" s="214"/>
      <c r="G964" s="222"/>
      <c r="H964" s="221"/>
      <c r="I964" s="213"/>
      <c r="J964" s="213"/>
      <c r="K964" s="215"/>
      <c r="L964" s="216"/>
      <c r="M964" s="217"/>
      <c r="O964" s="241" t="str">
        <f>IF(Q964 = "", "", COUNT(Q$4:$Q964))</f>
        <v/>
      </c>
      <c r="P964" s="241" t="str">
        <f t="shared" ref="P964:P1003" si="124">IF(C964 &gt; 0, YEAR(B964), "")</f>
        <v/>
      </c>
      <c r="Q964" s="242" t="str">
        <f t="shared" ref="Q964:Q1003" si="125">IF(A964="", "", IF(G964="",1,IF(G964="O",1,IF(G964="C",8.4,IF(G964="B",8.4,IF(G964="A",76.8,IF(G964="K",76.8,"ERR")))))))</f>
        <v/>
      </c>
      <c r="R964" s="243" t="str">
        <f t="shared" si="120"/>
        <v/>
      </c>
      <c r="S964" s="244" t="str">
        <f t="shared" ref="S964:S1003" si="126">IF(IF(L964&lt;&gt;"",G964,"")=0, "O", IF(L964&lt;&gt;"",G964,""))</f>
        <v/>
      </c>
      <c r="T964" s="245" t="str">
        <f t="shared" si="121"/>
        <v/>
      </c>
      <c r="U964" s="246" t="str">
        <f t="shared" ref="U964:U1003" si="127">IF(IF(M964&lt;&gt;"",G964,"")=0, "O", IF(M964&lt;&gt;"",G964,""))</f>
        <v/>
      </c>
      <c r="V964" s="8"/>
      <c r="AR964" t="str">
        <f t="shared" si="123"/>
        <v/>
      </c>
      <c r="AS964" t="str">
        <f t="shared" si="122"/>
        <v/>
      </c>
    </row>
    <row r="965" spans="1:45" x14ac:dyDescent="0.3">
      <c r="A965" s="231"/>
      <c r="B965" s="235"/>
      <c r="C965" s="214"/>
      <c r="D965" s="214"/>
      <c r="E965" s="214"/>
      <c r="F965" s="214"/>
      <c r="G965" s="222"/>
      <c r="H965" s="221"/>
      <c r="I965" s="213"/>
      <c r="J965" s="213"/>
      <c r="K965" s="215"/>
      <c r="L965" s="216"/>
      <c r="M965" s="217"/>
      <c r="O965" s="241" t="str">
        <f>IF(Q965 = "", "", COUNT(Q$4:$Q965))</f>
        <v/>
      </c>
      <c r="P965" s="241" t="str">
        <f t="shared" si="124"/>
        <v/>
      </c>
      <c r="Q965" s="242" t="str">
        <f t="shared" si="125"/>
        <v/>
      </c>
      <c r="R965" s="243" t="str">
        <f t="shared" ref="R965:R1003" si="128">IF(L965&lt;&gt;"",Q965,"")</f>
        <v/>
      </c>
      <c r="S965" s="244" t="str">
        <f t="shared" si="126"/>
        <v/>
      </c>
      <c r="T965" s="245" t="str">
        <f t="shared" ref="T965:T1003" si="129">IF(M965&lt;&gt;"",Q965,"")</f>
        <v/>
      </c>
      <c r="U965" s="246" t="str">
        <f t="shared" si="127"/>
        <v/>
      </c>
      <c r="V965" s="8"/>
      <c r="AR965" t="str">
        <f t="shared" si="123"/>
        <v/>
      </c>
      <c r="AS965" t="str">
        <f t="shared" si="122"/>
        <v/>
      </c>
    </row>
    <row r="966" spans="1:45" x14ac:dyDescent="0.3">
      <c r="A966" s="231"/>
      <c r="B966" s="235"/>
      <c r="C966" s="214"/>
      <c r="D966" s="214"/>
      <c r="E966" s="214"/>
      <c r="F966" s="214"/>
      <c r="G966" s="222"/>
      <c r="H966" s="221"/>
      <c r="I966" s="213"/>
      <c r="J966" s="213"/>
      <c r="K966" s="215"/>
      <c r="L966" s="216"/>
      <c r="M966" s="217"/>
      <c r="O966" s="241" t="str">
        <f>IF(Q966 = "", "", COUNT(Q$4:$Q966))</f>
        <v/>
      </c>
      <c r="P966" s="241" t="str">
        <f t="shared" si="124"/>
        <v/>
      </c>
      <c r="Q966" s="242" t="str">
        <f t="shared" si="125"/>
        <v/>
      </c>
      <c r="R966" s="243" t="str">
        <f t="shared" si="128"/>
        <v/>
      </c>
      <c r="S966" s="244" t="str">
        <f t="shared" si="126"/>
        <v/>
      </c>
      <c r="T966" s="245" t="str">
        <f t="shared" si="129"/>
        <v/>
      </c>
      <c r="U966" s="246" t="str">
        <f t="shared" si="127"/>
        <v/>
      </c>
      <c r="V966" s="8"/>
      <c r="AR966" t="str">
        <f t="shared" si="123"/>
        <v/>
      </c>
      <c r="AS966" t="str">
        <f t="shared" si="122"/>
        <v/>
      </c>
    </row>
    <row r="967" spans="1:45" x14ac:dyDescent="0.3">
      <c r="A967" s="231"/>
      <c r="B967" s="235"/>
      <c r="C967" s="214"/>
      <c r="D967" s="214"/>
      <c r="E967" s="214"/>
      <c r="F967" s="214"/>
      <c r="G967" s="222"/>
      <c r="H967" s="221"/>
      <c r="I967" s="213"/>
      <c r="J967" s="213"/>
      <c r="K967" s="215"/>
      <c r="L967" s="216"/>
      <c r="M967" s="217"/>
      <c r="O967" s="241" t="str">
        <f>IF(Q967 = "", "", COUNT(Q$4:$Q967))</f>
        <v/>
      </c>
      <c r="P967" s="241" t="str">
        <f t="shared" si="124"/>
        <v/>
      </c>
      <c r="Q967" s="242" t="str">
        <f t="shared" si="125"/>
        <v/>
      </c>
      <c r="R967" s="243" t="str">
        <f t="shared" si="128"/>
        <v/>
      </c>
      <c r="S967" s="244" t="str">
        <f t="shared" si="126"/>
        <v/>
      </c>
      <c r="T967" s="245" t="str">
        <f t="shared" si="129"/>
        <v/>
      </c>
      <c r="U967" s="246" t="str">
        <f t="shared" si="127"/>
        <v/>
      </c>
      <c r="V967" s="8"/>
      <c r="AR967" t="str">
        <f t="shared" si="123"/>
        <v/>
      </c>
      <c r="AS967" t="str">
        <f t="shared" si="122"/>
        <v/>
      </c>
    </row>
    <row r="968" spans="1:45" x14ac:dyDescent="0.3">
      <c r="A968" s="231"/>
      <c r="B968" s="235"/>
      <c r="C968" s="214"/>
      <c r="D968" s="214"/>
      <c r="E968" s="214"/>
      <c r="F968" s="214"/>
      <c r="G968" s="222"/>
      <c r="H968" s="221"/>
      <c r="I968" s="213"/>
      <c r="J968" s="213"/>
      <c r="K968" s="215"/>
      <c r="L968" s="216"/>
      <c r="M968" s="217"/>
      <c r="O968" s="241" t="str">
        <f>IF(Q968 = "", "", COUNT(Q$4:$Q968))</f>
        <v/>
      </c>
      <c r="P968" s="241" t="str">
        <f t="shared" si="124"/>
        <v/>
      </c>
      <c r="Q968" s="242" t="str">
        <f t="shared" si="125"/>
        <v/>
      </c>
      <c r="R968" s="243" t="str">
        <f t="shared" si="128"/>
        <v/>
      </c>
      <c r="S968" s="244" t="str">
        <f t="shared" si="126"/>
        <v/>
      </c>
      <c r="T968" s="245" t="str">
        <f t="shared" si="129"/>
        <v/>
      </c>
      <c r="U968" s="246" t="str">
        <f t="shared" si="127"/>
        <v/>
      </c>
      <c r="V968" s="8"/>
      <c r="AR968" t="str">
        <f t="shared" si="123"/>
        <v/>
      </c>
      <c r="AS968" t="str">
        <f t="shared" si="122"/>
        <v/>
      </c>
    </row>
    <row r="969" spans="1:45" x14ac:dyDescent="0.3">
      <c r="A969" s="231"/>
      <c r="B969" s="235"/>
      <c r="C969" s="214"/>
      <c r="D969" s="214"/>
      <c r="E969" s="214"/>
      <c r="F969" s="214"/>
      <c r="G969" s="222"/>
      <c r="H969" s="221"/>
      <c r="I969" s="213"/>
      <c r="J969" s="213"/>
      <c r="K969" s="215"/>
      <c r="L969" s="216"/>
      <c r="M969" s="217"/>
      <c r="O969" s="241" t="str">
        <f>IF(Q969 = "", "", COUNT(Q$4:$Q969))</f>
        <v/>
      </c>
      <c r="P969" s="241" t="str">
        <f t="shared" si="124"/>
        <v/>
      </c>
      <c r="Q969" s="242" t="str">
        <f t="shared" si="125"/>
        <v/>
      </c>
      <c r="R969" s="243" t="str">
        <f t="shared" si="128"/>
        <v/>
      </c>
      <c r="S969" s="244" t="str">
        <f t="shared" si="126"/>
        <v/>
      </c>
      <c r="T969" s="245" t="str">
        <f t="shared" si="129"/>
        <v/>
      </c>
      <c r="U969" s="246" t="str">
        <f t="shared" si="127"/>
        <v/>
      </c>
      <c r="V969" s="8"/>
      <c r="AR969" t="str">
        <f t="shared" si="123"/>
        <v/>
      </c>
      <c r="AS969" t="str">
        <f t="shared" si="122"/>
        <v/>
      </c>
    </row>
    <row r="970" spans="1:45" x14ac:dyDescent="0.3">
      <c r="A970" s="231"/>
      <c r="B970" s="235"/>
      <c r="C970" s="214"/>
      <c r="D970" s="214"/>
      <c r="E970" s="214"/>
      <c r="F970" s="214"/>
      <c r="G970" s="222"/>
      <c r="H970" s="221"/>
      <c r="I970" s="213"/>
      <c r="J970" s="213"/>
      <c r="K970" s="215"/>
      <c r="L970" s="216"/>
      <c r="M970" s="217"/>
      <c r="O970" s="241" t="str">
        <f>IF(Q970 = "", "", COUNT(Q$4:$Q970))</f>
        <v/>
      </c>
      <c r="P970" s="241" t="str">
        <f t="shared" si="124"/>
        <v/>
      </c>
      <c r="Q970" s="242" t="str">
        <f t="shared" si="125"/>
        <v/>
      </c>
      <c r="R970" s="243" t="str">
        <f t="shared" si="128"/>
        <v/>
      </c>
      <c r="S970" s="244" t="str">
        <f t="shared" si="126"/>
        <v/>
      </c>
      <c r="T970" s="245" t="str">
        <f t="shared" si="129"/>
        <v/>
      </c>
      <c r="U970" s="246" t="str">
        <f t="shared" si="127"/>
        <v/>
      </c>
      <c r="V970" s="8"/>
      <c r="AR970" t="str">
        <f t="shared" si="123"/>
        <v/>
      </c>
      <c r="AS970" t="str">
        <f t="shared" si="122"/>
        <v/>
      </c>
    </row>
    <row r="971" spans="1:45" x14ac:dyDescent="0.3">
      <c r="A971" s="231"/>
      <c r="B971" s="235"/>
      <c r="C971" s="214"/>
      <c r="D971" s="214"/>
      <c r="E971" s="214"/>
      <c r="F971" s="214"/>
      <c r="G971" s="222"/>
      <c r="H971" s="221"/>
      <c r="I971" s="213"/>
      <c r="J971" s="213"/>
      <c r="K971" s="215"/>
      <c r="L971" s="216"/>
      <c r="M971" s="217"/>
      <c r="O971" s="241" t="str">
        <f>IF(Q971 = "", "", COUNT(Q$4:$Q971))</f>
        <v/>
      </c>
      <c r="P971" s="241" t="str">
        <f t="shared" si="124"/>
        <v/>
      </c>
      <c r="Q971" s="242" t="str">
        <f t="shared" si="125"/>
        <v/>
      </c>
      <c r="R971" s="243" t="str">
        <f t="shared" si="128"/>
        <v/>
      </c>
      <c r="S971" s="244" t="str">
        <f t="shared" si="126"/>
        <v/>
      </c>
      <c r="T971" s="245" t="str">
        <f t="shared" si="129"/>
        <v/>
      </c>
      <c r="U971" s="246" t="str">
        <f t="shared" si="127"/>
        <v/>
      </c>
      <c r="V971" s="8"/>
      <c r="AR971" t="str">
        <f t="shared" si="123"/>
        <v/>
      </c>
      <c r="AS971" t="str">
        <f t="shared" si="122"/>
        <v/>
      </c>
    </row>
    <row r="972" spans="1:45" x14ac:dyDescent="0.3">
      <c r="A972" s="231"/>
      <c r="B972" s="235"/>
      <c r="C972" s="214"/>
      <c r="D972" s="214"/>
      <c r="E972" s="214"/>
      <c r="F972" s="214"/>
      <c r="G972" s="222"/>
      <c r="H972" s="221"/>
      <c r="I972" s="213"/>
      <c r="J972" s="213"/>
      <c r="K972" s="215"/>
      <c r="L972" s="216"/>
      <c r="M972" s="217"/>
      <c r="O972" s="241" t="str">
        <f>IF(Q972 = "", "", COUNT(Q$4:$Q972))</f>
        <v/>
      </c>
      <c r="P972" s="241" t="str">
        <f t="shared" si="124"/>
        <v/>
      </c>
      <c r="Q972" s="242" t="str">
        <f t="shared" si="125"/>
        <v/>
      </c>
      <c r="R972" s="243" t="str">
        <f t="shared" si="128"/>
        <v/>
      </c>
      <c r="S972" s="244" t="str">
        <f t="shared" si="126"/>
        <v/>
      </c>
      <c r="T972" s="245" t="str">
        <f t="shared" si="129"/>
        <v/>
      </c>
      <c r="U972" s="246" t="str">
        <f t="shared" si="127"/>
        <v/>
      </c>
      <c r="V972" s="8"/>
      <c r="AR972" t="str">
        <f t="shared" si="123"/>
        <v/>
      </c>
      <c r="AS972" t="str">
        <f t="shared" si="122"/>
        <v/>
      </c>
    </row>
    <row r="973" spans="1:45" x14ac:dyDescent="0.3">
      <c r="A973" s="231"/>
      <c r="B973" s="235"/>
      <c r="C973" s="214"/>
      <c r="D973" s="214"/>
      <c r="E973" s="214"/>
      <c r="F973" s="214"/>
      <c r="G973" s="222"/>
      <c r="H973" s="221"/>
      <c r="I973" s="213"/>
      <c r="J973" s="213"/>
      <c r="K973" s="215"/>
      <c r="L973" s="216"/>
      <c r="M973" s="217"/>
      <c r="O973" s="241" t="str">
        <f>IF(Q973 = "", "", COUNT(Q$4:$Q973))</f>
        <v/>
      </c>
      <c r="P973" s="241" t="str">
        <f t="shared" si="124"/>
        <v/>
      </c>
      <c r="Q973" s="242" t="str">
        <f t="shared" si="125"/>
        <v/>
      </c>
      <c r="R973" s="243" t="str">
        <f t="shared" si="128"/>
        <v/>
      </c>
      <c r="S973" s="244" t="str">
        <f t="shared" si="126"/>
        <v/>
      </c>
      <c r="T973" s="245" t="str">
        <f t="shared" si="129"/>
        <v/>
      </c>
      <c r="U973" s="246" t="str">
        <f t="shared" si="127"/>
        <v/>
      </c>
      <c r="V973" s="8"/>
      <c r="AR973" t="str">
        <f t="shared" si="123"/>
        <v/>
      </c>
      <c r="AS973" t="str">
        <f t="shared" si="122"/>
        <v/>
      </c>
    </row>
    <row r="974" spans="1:45" x14ac:dyDescent="0.3">
      <c r="A974" s="231"/>
      <c r="B974" s="235"/>
      <c r="C974" s="214"/>
      <c r="D974" s="214"/>
      <c r="E974" s="214"/>
      <c r="F974" s="214"/>
      <c r="G974" s="222"/>
      <c r="H974" s="221"/>
      <c r="I974" s="213"/>
      <c r="J974" s="213"/>
      <c r="K974" s="215"/>
      <c r="L974" s="216"/>
      <c r="M974" s="217"/>
      <c r="O974" s="241" t="str">
        <f>IF(Q974 = "", "", COUNT(Q$4:$Q974))</f>
        <v/>
      </c>
      <c r="P974" s="241" t="str">
        <f t="shared" si="124"/>
        <v/>
      </c>
      <c r="Q974" s="242" t="str">
        <f t="shared" si="125"/>
        <v/>
      </c>
      <c r="R974" s="243" t="str">
        <f t="shared" si="128"/>
        <v/>
      </c>
      <c r="S974" s="244" t="str">
        <f t="shared" si="126"/>
        <v/>
      </c>
      <c r="T974" s="245" t="str">
        <f t="shared" si="129"/>
        <v/>
      </c>
      <c r="U974" s="246" t="str">
        <f t="shared" si="127"/>
        <v/>
      </c>
      <c r="V974" s="8"/>
      <c r="AR974" t="str">
        <f t="shared" si="123"/>
        <v/>
      </c>
      <c r="AS974" t="str">
        <f t="shared" si="122"/>
        <v/>
      </c>
    </row>
    <row r="975" spans="1:45" x14ac:dyDescent="0.3">
      <c r="A975" s="231"/>
      <c r="B975" s="235"/>
      <c r="C975" s="214"/>
      <c r="D975" s="214"/>
      <c r="E975" s="214"/>
      <c r="F975" s="214"/>
      <c r="G975" s="222"/>
      <c r="H975" s="221"/>
      <c r="I975" s="213"/>
      <c r="J975" s="213"/>
      <c r="K975" s="215"/>
      <c r="L975" s="216"/>
      <c r="M975" s="217"/>
      <c r="O975" s="241" t="str">
        <f>IF(Q975 = "", "", COUNT(Q$4:$Q975))</f>
        <v/>
      </c>
      <c r="P975" s="241" t="str">
        <f t="shared" si="124"/>
        <v/>
      </c>
      <c r="Q975" s="242" t="str">
        <f t="shared" si="125"/>
        <v/>
      </c>
      <c r="R975" s="243" t="str">
        <f t="shared" si="128"/>
        <v/>
      </c>
      <c r="S975" s="244" t="str">
        <f t="shared" si="126"/>
        <v/>
      </c>
      <c r="T975" s="245" t="str">
        <f t="shared" si="129"/>
        <v/>
      </c>
      <c r="U975" s="246" t="str">
        <f t="shared" si="127"/>
        <v/>
      </c>
      <c r="V975" s="8"/>
      <c r="AR975" t="str">
        <f t="shared" si="123"/>
        <v/>
      </c>
      <c r="AS975" t="str">
        <f t="shared" si="122"/>
        <v/>
      </c>
    </row>
    <row r="976" spans="1:45" x14ac:dyDescent="0.3">
      <c r="A976" s="231"/>
      <c r="B976" s="235"/>
      <c r="C976" s="214"/>
      <c r="D976" s="214"/>
      <c r="E976" s="214"/>
      <c r="F976" s="214"/>
      <c r="G976" s="222"/>
      <c r="H976" s="221"/>
      <c r="I976" s="213"/>
      <c r="J976" s="213"/>
      <c r="K976" s="215"/>
      <c r="L976" s="216"/>
      <c r="M976" s="217"/>
      <c r="O976" s="241" t="str">
        <f>IF(Q976 = "", "", COUNT(Q$4:$Q976))</f>
        <v/>
      </c>
      <c r="P976" s="241" t="str">
        <f t="shared" si="124"/>
        <v/>
      </c>
      <c r="Q976" s="242" t="str">
        <f t="shared" si="125"/>
        <v/>
      </c>
      <c r="R976" s="243" t="str">
        <f t="shared" si="128"/>
        <v/>
      </c>
      <c r="S976" s="244" t="str">
        <f t="shared" si="126"/>
        <v/>
      </c>
      <c r="T976" s="245" t="str">
        <f t="shared" si="129"/>
        <v/>
      </c>
      <c r="U976" s="246" t="str">
        <f t="shared" si="127"/>
        <v/>
      </c>
      <c r="V976" s="8"/>
      <c r="AR976" t="str">
        <f t="shared" si="123"/>
        <v/>
      </c>
      <c r="AS976" t="str">
        <f t="shared" si="122"/>
        <v/>
      </c>
    </row>
    <row r="977" spans="1:45" x14ac:dyDescent="0.3">
      <c r="A977" s="231"/>
      <c r="B977" s="235"/>
      <c r="C977" s="214"/>
      <c r="D977" s="214"/>
      <c r="E977" s="214"/>
      <c r="F977" s="214"/>
      <c r="G977" s="222"/>
      <c r="H977" s="221"/>
      <c r="I977" s="213"/>
      <c r="J977" s="213"/>
      <c r="K977" s="215"/>
      <c r="L977" s="216"/>
      <c r="M977" s="217"/>
      <c r="O977" s="241" t="str">
        <f>IF(Q977 = "", "", COUNT(Q$4:$Q977))</f>
        <v/>
      </c>
      <c r="P977" s="241" t="str">
        <f t="shared" si="124"/>
        <v/>
      </c>
      <c r="Q977" s="242" t="str">
        <f t="shared" si="125"/>
        <v/>
      </c>
      <c r="R977" s="243" t="str">
        <f t="shared" si="128"/>
        <v/>
      </c>
      <c r="S977" s="244" t="str">
        <f t="shared" si="126"/>
        <v/>
      </c>
      <c r="T977" s="245" t="str">
        <f t="shared" si="129"/>
        <v/>
      </c>
      <c r="U977" s="246" t="str">
        <f t="shared" si="127"/>
        <v/>
      </c>
      <c r="V977" s="8"/>
      <c r="AR977" t="str">
        <f t="shared" si="123"/>
        <v/>
      </c>
      <c r="AS977" t="str">
        <f t="shared" si="122"/>
        <v/>
      </c>
    </row>
    <row r="978" spans="1:45" x14ac:dyDescent="0.3">
      <c r="A978" s="231"/>
      <c r="B978" s="235"/>
      <c r="C978" s="214"/>
      <c r="D978" s="214"/>
      <c r="E978" s="214"/>
      <c r="F978" s="214"/>
      <c r="G978" s="222"/>
      <c r="H978" s="221"/>
      <c r="I978" s="213"/>
      <c r="J978" s="213"/>
      <c r="K978" s="215"/>
      <c r="L978" s="216"/>
      <c r="M978" s="217"/>
      <c r="O978" s="241" t="str">
        <f>IF(Q978 = "", "", COUNT(Q$4:$Q978))</f>
        <v/>
      </c>
      <c r="P978" s="241" t="str">
        <f t="shared" si="124"/>
        <v/>
      </c>
      <c r="Q978" s="242" t="str">
        <f t="shared" si="125"/>
        <v/>
      </c>
      <c r="R978" s="243" t="str">
        <f t="shared" si="128"/>
        <v/>
      </c>
      <c r="S978" s="244" t="str">
        <f t="shared" si="126"/>
        <v/>
      </c>
      <c r="T978" s="245" t="str">
        <f t="shared" si="129"/>
        <v/>
      </c>
      <c r="U978" s="246" t="str">
        <f t="shared" si="127"/>
        <v/>
      </c>
      <c r="V978" s="8"/>
      <c r="AR978" t="str">
        <f t="shared" si="123"/>
        <v/>
      </c>
      <c r="AS978" t="str">
        <f t="shared" si="122"/>
        <v/>
      </c>
    </row>
    <row r="979" spans="1:45" x14ac:dyDescent="0.3">
      <c r="A979" s="231"/>
      <c r="B979" s="235"/>
      <c r="C979" s="214"/>
      <c r="D979" s="214"/>
      <c r="E979" s="214"/>
      <c r="F979" s="214"/>
      <c r="G979" s="222"/>
      <c r="H979" s="221"/>
      <c r="I979" s="213"/>
      <c r="J979" s="213"/>
      <c r="K979" s="215"/>
      <c r="L979" s="216"/>
      <c r="M979" s="217"/>
      <c r="O979" s="241" t="str">
        <f>IF(Q979 = "", "", COUNT(Q$4:$Q979))</f>
        <v/>
      </c>
      <c r="P979" s="241" t="str">
        <f t="shared" si="124"/>
        <v/>
      </c>
      <c r="Q979" s="242" t="str">
        <f t="shared" si="125"/>
        <v/>
      </c>
      <c r="R979" s="243" t="str">
        <f t="shared" si="128"/>
        <v/>
      </c>
      <c r="S979" s="244" t="str">
        <f t="shared" si="126"/>
        <v/>
      </c>
      <c r="T979" s="245" t="str">
        <f t="shared" si="129"/>
        <v/>
      </c>
      <c r="U979" s="246" t="str">
        <f t="shared" si="127"/>
        <v/>
      </c>
      <c r="V979" s="8"/>
      <c r="AR979" t="str">
        <f t="shared" si="123"/>
        <v/>
      </c>
      <c r="AS979" t="str">
        <f t="shared" si="122"/>
        <v/>
      </c>
    </row>
    <row r="980" spans="1:45" x14ac:dyDescent="0.3">
      <c r="A980" s="231"/>
      <c r="B980" s="235"/>
      <c r="C980" s="214"/>
      <c r="D980" s="214"/>
      <c r="E980" s="214"/>
      <c r="F980" s="214"/>
      <c r="G980" s="222"/>
      <c r="H980" s="221"/>
      <c r="I980" s="213"/>
      <c r="J980" s="213"/>
      <c r="K980" s="215"/>
      <c r="L980" s="216"/>
      <c r="M980" s="217"/>
      <c r="O980" s="241" t="str">
        <f>IF(Q980 = "", "", COUNT(Q$4:$Q980))</f>
        <v/>
      </c>
      <c r="P980" s="241" t="str">
        <f t="shared" si="124"/>
        <v/>
      </c>
      <c r="Q980" s="242" t="str">
        <f t="shared" si="125"/>
        <v/>
      </c>
      <c r="R980" s="243" t="str">
        <f t="shared" si="128"/>
        <v/>
      </c>
      <c r="S980" s="244" t="str">
        <f t="shared" si="126"/>
        <v/>
      </c>
      <c r="T980" s="245" t="str">
        <f t="shared" si="129"/>
        <v/>
      </c>
      <c r="U980" s="246" t="str">
        <f t="shared" si="127"/>
        <v/>
      </c>
      <c r="V980" s="8"/>
      <c r="AR980" t="str">
        <f t="shared" si="123"/>
        <v/>
      </c>
      <c r="AS980" t="str">
        <f t="shared" si="122"/>
        <v/>
      </c>
    </row>
    <row r="981" spans="1:45" x14ac:dyDescent="0.3">
      <c r="A981" s="231"/>
      <c r="B981" s="235"/>
      <c r="C981" s="214"/>
      <c r="D981" s="214"/>
      <c r="E981" s="214"/>
      <c r="F981" s="214"/>
      <c r="G981" s="222"/>
      <c r="H981" s="221"/>
      <c r="I981" s="213"/>
      <c r="J981" s="213"/>
      <c r="K981" s="215"/>
      <c r="L981" s="216"/>
      <c r="M981" s="217"/>
      <c r="O981" s="241" t="str">
        <f>IF(Q981 = "", "", COUNT(Q$4:$Q981))</f>
        <v/>
      </c>
      <c r="P981" s="241" t="str">
        <f t="shared" si="124"/>
        <v/>
      </c>
      <c r="Q981" s="242" t="str">
        <f t="shared" si="125"/>
        <v/>
      </c>
      <c r="R981" s="243" t="str">
        <f t="shared" si="128"/>
        <v/>
      </c>
      <c r="S981" s="244" t="str">
        <f t="shared" si="126"/>
        <v/>
      </c>
      <c r="T981" s="245" t="str">
        <f t="shared" si="129"/>
        <v/>
      </c>
      <c r="U981" s="246" t="str">
        <f t="shared" si="127"/>
        <v/>
      </c>
      <c r="V981" s="8"/>
      <c r="AR981" t="str">
        <f t="shared" si="123"/>
        <v/>
      </c>
      <c r="AS981" t="str">
        <f t="shared" ref="AS981:AS1002" si="130">IF(OR(L981="Y",M981="Y"),"Y","")</f>
        <v/>
      </c>
    </row>
    <row r="982" spans="1:45" x14ac:dyDescent="0.3">
      <c r="A982" s="231"/>
      <c r="B982" s="235"/>
      <c r="C982" s="214"/>
      <c r="D982" s="214"/>
      <c r="E982" s="214"/>
      <c r="F982" s="214"/>
      <c r="G982" s="222"/>
      <c r="H982" s="221"/>
      <c r="I982" s="213"/>
      <c r="J982" s="213"/>
      <c r="K982" s="215"/>
      <c r="L982" s="216"/>
      <c r="M982" s="217"/>
      <c r="O982" s="241" t="str">
        <f>IF(Q982 = "", "", COUNT(Q$4:$Q982))</f>
        <v/>
      </c>
      <c r="P982" s="241" t="str">
        <f t="shared" si="124"/>
        <v/>
      </c>
      <c r="Q982" s="242" t="str">
        <f t="shared" si="125"/>
        <v/>
      </c>
      <c r="R982" s="243" t="str">
        <f t="shared" si="128"/>
        <v/>
      </c>
      <c r="S982" s="244" t="str">
        <f t="shared" si="126"/>
        <v/>
      </c>
      <c r="T982" s="245" t="str">
        <f t="shared" si="129"/>
        <v/>
      </c>
      <c r="U982" s="246" t="str">
        <f t="shared" si="127"/>
        <v/>
      </c>
      <c r="V982" s="8"/>
      <c r="AR982" t="str">
        <f t="shared" ref="AR982:AR1002" si="131">IF(O982&gt;0, O982, "")</f>
        <v/>
      </c>
      <c r="AS982" t="str">
        <f t="shared" si="130"/>
        <v/>
      </c>
    </row>
    <row r="983" spans="1:45" x14ac:dyDescent="0.3">
      <c r="A983" s="231"/>
      <c r="B983" s="235"/>
      <c r="C983" s="214"/>
      <c r="D983" s="214"/>
      <c r="E983" s="214"/>
      <c r="F983" s="214"/>
      <c r="G983" s="222"/>
      <c r="H983" s="221"/>
      <c r="I983" s="213"/>
      <c r="J983" s="213"/>
      <c r="K983" s="215"/>
      <c r="L983" s="216"/>
      <c r="M983" s="217"/>
      <c r="O983" s="241" t="str">
        <f>IF(Q983 = "", "", COUNT(Q$4:$Q983))</f>
        <v/>
      </c>
      <c r="P983" s="241" t="str">
        <f t="shared" si="124"/>
        <v/>
      </c>
      <c r="Q983" s="242" t="str">
        <f t="shared" si="125"/>
        <v/>
      </c>
      <c r="R983" s="243" t="str">
        <f t="shared" si="128"/>
        <v/>
      </c>
      <c r="S983" s="244" t="str">
        <f t="shared" si="126"/>
        <v/>
      </c>
      <c r="T983" s="245" t="str">
        <f t="shared" si="129"/>
        <v/>
      </c>
      <c r="U983" s="246" t="str">
        <f t="shared" si="127"/>
        <v/>
      </c>
      <c r="V983" s="8"/>
      <c r="AR983" t="str">
        <f t="shared" si="131"/>
        <v/>
      </c>
      <c r="AS983" t="str">
        <f t="shared" si="130"/>
        <v/>
      </c>
    </row>
    <row r="984" spans="1:45" x14ac:dyDescent="0.3">
      <c r="A984" s="231"/>
      <c r="B984" s="235"/>
      <c r="C984" s="214"/>
      <c r="D984" s="214"/>
      <c r="E984" s="214"/>
      <c r="F984" s="214"/>
      <c r="G984" s="222"/>
      <c r="H984" s="221"/>
      <c r="I984" s="213"/>
      <c r="J984" s="213"/>
      <c r="K984" s="215"/>
      <c r="L984" s="216"/>
      <c r="M984" s="217"/>
      <c r="O984" s="241" t="str">
        <f>IF(Q984 = "", "", COUNT(Q$4:$Q984))</f>
        <v/>
      </c>
      <c r="P984" s="241" t="str">
        <f t="shared" si="124"/>
        <v/>
      </c>
      <c r="Q984" s="242" t="str">
        <f t="shared" si="125"/>
        <v/>
      </c>
      <c r="R984" s="243" t="str">
        <f t="shared" si="128"/>
        <v/>
      </c>
      <c r="S984" s="244" t="str">
        <f t="shared" si="126"/>
        <v/>
      </c>
      <c r="T984" s="245" t="str">
        <f t="shared" si="129"/>
        <v/>
      </c>
      <c r="U984" s="246" t="str">
        <f t="shared" si="127"/>
        <v/>
      </c>
      <c r="V984" s="8"/>
      <c r="AR984" t="str">
        <f t="shared" si="131"/>
        <v/>
      </c>
      <c r="AS984" t="str">
        <f t="shared" si="130"/>
        <v/>
      </c>
    </row>
    <row r="985" spans="1:45" x14ac:dyDescent="0.3">
      <c r="A985" s="231"/>
      <c r="B985" s="235"/>
      <c r="C985" s="214"/>
      <c r="D985" s="214"/>
      <c r="E985" s="214"/>
      <c r="F985" s="214"/>
      <c r="G985" s="222"/>
      <c r="H985" s="221"/>
      <c r="I985" s="213"/>
      <c r="J985" s="213"/>
      <c r="K985" s="215"/>
      <c r="L985" s="216"/>
      <c r="M985" s="217"/>
      <c r="O985" s="241" t="str">
        <f>IF(Q985 = "", "", COUNT(Q$4:$Q985))</f>
        <v/>
      </c>
      <c r="P985" s="241" t="str">
        <f t="shared" si="124"/>
        <v/>
      </c>
      <c r="Q985" s="242" t="str">
        <f t="shared" si="125"/>
        <v/>
      </c>
      <c r="R985" s="243" t="str">
        <f t="shared" si="128"/>
        <v/>
      </c>
      <c r="S985" s="244" t="str">
        <f t="shared" si="126"/>
        <v/>
      </c>
      <c r="T985" s="245" t="str">
        <f t="shared" si="129"/>
        <v/>
      </c>
      <c r="U985" s="246" t="str">
        <f t="shared" si="127"/>
        <v/>
      </c>
      <c r="V985" s="8"/>
      <c r="AR985" t="str">
        <f t="shared" si="131"/>
        <v/>
      </c>
      <c r="AS985" t="str">
        <f t="shared" si="130"/>
        <v/>
      </c>
    </row>
    <row r="986" spans="1:45" x14ac:dyDescent="0.3">
      <c r="A986" s="231"/>
      <c r="B986" s="235"/>
      <c r="C986" s="214"/>
      <c r="D986" s="214"/>
      <c r="E986" s="214"/>
      <c r="F986" s="214"/>
      <c r="G986" s="222"/>
      <c r="H986" s="221"/>
      <c r="I986" s="213"/>
      <c r="J986" s="213"/>
      <c r="K986" s="215"/>
      <c r="L986" s="216"/>
      <c r="M986" s="217"/>
      <c r="O986" s="241" t="str">
        <f>IF(Q986 = "", "", COUNT(Q$4:$Q986))</f>
        <v/>
      </c>
      <c r="P986" s="241" t="str">
        <f t="shared" si="124"/>
        <v/>
      </c>
      <c r="Q986" s="242" t="str">
        <f t="shared" si="125"/>
        <v/>
      </c>
      <c r="R986" s="243" t="str">
        <f t="shared" si="128"/>
        <v/>
      </c>
      <c r="S986" s="244" t="str">
        <f t="shared" si="126"/>
        <v/>
      </c>
      <c r="T986" s="245" t="str">
        <f t="shared" si="129"/>
        <v/>
      </c>
      <c r="U986" s="246" t="str">
        <f t="shared" si="127"/>
        <v/>
      </c>
      <c r="V986" s="8"/>
      <c r="AR986" t="str">
        <f t="shared" si="131"/>
        <v/>
      </c>
      <c r="AS986" t="str">
        <f t="shared" si="130"/>
        <v/>
      </c>
    </row>
    <row r="987" spans="1:45" x14ac:dyDescent="0.3">
      <c r="A987" s="231"/>
      <c r="B987" s="235"/>
      <c r="C987" s="214"/>
      <c r="D987" s="214"/>
      <c r="E987" s="214"/>
      <c r="F987" s="214"/>
      <c r="G987" s="222"/>
      <c r="H987" s="221"/>
      <c r="I987" s="213"/>
      <c r="J987" s="213"/>
      <c r="K987" s="215"/>
      <c r="L987" s="216"/>
      <c r="M987" s="217"/>
      <c r="O987" s="241" t="str">
        <f>IF(Q987 = "", "", COUNT(Q$4:$Q987))</f>
        <v/>
      </c>
      <c r="P987" s="241" t="str">
        <f t="shared" si="124"/>
        <v/>
      </c>
      <c r="Q987" s="242" t="str">
        <f t="shared" si="125"/>
        <v/>
      </c>
      <c r="R987" s="243" t="str">
        <f t="shared" si="128"/>
        <v/>
      </c>
      <c r="S987" s="244" t="str">
        <f t="shared" si="126"/>
        <v/>
      </c>
      <c r="T987" s="245" t="str">
        <f t="shared" si="129"/>
        <v/>
      </c>
      <c r="U987" s="246" t="str">
        <f t="shared" si="127"/>
        <v/>
      </c>
      <c r="V987" s="8"/>
      <c r="AR987" t="str">
        <f t="shared" si="131"/>
        <v/>
      </c>
      <c r="AS987" t="str">
        <f t="shared" si="130"/>
        <v/>
      </c>
    </row>
    <row r="988" spans="1:45" x14ac:dyDescent="0.3">
      <c r="A988" s="231"/>
      <c r="B988" s="235"/>
      <c r="C988" s="214"/>
      <c r="D988" s="214"/>
      <c r="E988" s="214"/>
      <c r="F988" s="214"/>
      <c r="G988" s="222"/>
      <c r="H988" s="221"/>
      <c r="I988" s="213"/>
      <c r="J988" s="213"/>
      <c r="K988" s="215"/>
      <c r="L988" s="216"/>
      <c r="M988" s="217"/>
      <c r="O988" s="241" t="str">
        <f>IF(Q988 = "", "", COUNT(Q$4:$Q988))</f>
        <v/>
      </c>
      <c r="P988" s="241" t="str">
        <f t="shared" si="124"/>
        <v/>
      </c>
      <c r="Q988" s="242" t="str">
        <f t="shared" si="125"/>
        <v/>
      </c>
      <c r="R988" s="243" t="str">
        <f t="shared" si="128"/>
        <v/>
      </c>
      <c r="S988" s="244" t="str">
        <f t="shared" si="126"/>
        <v/>
      </c>
      <c r="T988" s="245" t="str">
        <f t="shared" si="129"/>
        <v/>
      </c>
      <c r="U988" s="246" t="str">
        <f t="shared" si="127"/>
        <v/>
      </c>
      <c r="V988" s="8"/>
      <c r="AR988" t="str">
        <f t="shared" si="131"/>
        <v/>
      </c>
      <c r="AS988" t="str">
        <f t="shared" si="130"/>
        <v/>
      </c>
    </row>
    <row r="989" spans="1:45" x14ac:dyDescent="0.3">
      <c r="A989" s="231"/>
      <c r="B989" s="235"/>
      <c r="C989" s="214"/>
      <c r="D989" s="214"/>
      <c r="E989" s="214"/>
      <c r="F989" s="214"/>
      <c r="G989" s="222"/>
      <c r="H989" s="221"/>
      <c r="I989" s="213"/>
      <c r="J989" s="213"/>
      <c r="K989" s="215"/>
      <c r="L989" s="216"/>
      <c r="M989" s="217"/>
      <c r="O989" s="241" t="str">
        <f>IF(Q989 = "", "", COUNT(Q$4:$Q989))</f>
        <v/>
      </c>
      <c r="P989" s="241" t="str">
        <f t="shared" si="124"/>
        <v/>
      </c>
      <c r="Q989" s="242" t="str">
        <f t="shared" si="125"/>
        <v/>
      </c>
      <c r="R989" s="243" t="str">
        <f t="shared" si="128"/>
        <v/>
      </c>
      <c r="S989" s="244" t="str">
        <f t="shared" si="126"/>
        <v/>
      </c>
      <c r="T989" s="245" t="str">
        <f t="shared" si="129"/>
        <v/>
      </c>
      <c r="U989" s="246" t="str">
        <f t="shared" si="127"/>
        <v/>
      </c>
      <c r="V989" s="8"/>
      <c r="AR989" t="str">
        <f t="shared" si="131"/>
        <v/>
      </c>
      <c r="AS989" t="str">
        <f t="shared" si="130"/>
        <v/>
      </c>
    </row>
    <row r="990" spans="1:45" x14ac:dyDescent="0.3">
      <c r="A990" s="231"/>
      <c r="B990" s="235"/>
      <c r="C990" s="214"/>
      <c r="D990" s="214"/>
      <c r="E990" s="214"/>
      <c r="F990" s="214"/>
      <c r="G990" s="222"/>
      <c r="H990" s="221"/>
      <c r="I990" s="213"/>
      <c r="J990" s="213"/>
      <c r="K990" s="215"/>
      <c r="L990" s="216"/>
      <c r="M990" s="217"/>
      <c r="O990" s="241" t="str">
        <f>IF(Q990 = "", "", COUNT(Q$4:$Q990))</f>
        <v/>
      </c>
      <c r="P990" s="241" t="str">
        <f t="shared" si="124"/>
        <v/>
      </c>
      <c r="Q990" s="242" t="str">
        <f t="shared" si="125"/>
        <v/>
      </c>
      <c r="R990" s="243" t="str">
        <f t="shared" si="128"/>
        <v/>
      </c>
      <c r="S990" s="244" t="str">
        <f t="shared" si="126"/>
        <v/>
      </c>
      <c r="T990" s="245" t="str">
        <f t="shared" si="129"/>
        <v/>
      </c>
      <c r="U990" s="246" t="str">
        <f t="shared" si="127"/>
        <v/>
      </c>
      <c r="V990" s="8"/>
      <c r="AR990" t="str">
        <f t="shared" si="131"/>
        <v/>
      </c>
      <c r="AS990" t="str">
        <f t="shared" si="130"/>
        <v/>
      </c>
    </row>
    <row r="991" spans="1:45" x14ac:dyDescent="0.3">
      <c r="A991" s="231"/>
      <c r="B991" s="235"/>
      <c r="C991" s="214"/>
      <c r="D991" s="214"/>
      <c r="E991" s="214"/>
      <c r="F991" s="214"/>
      <c r="G991" s="222"/>
      <c r="H991" s="221"/>
      <c r="I991" s="213"/>
      <c r="J991" s="213"/>
      <c r="K991" s="215"/>
      <c r="L991" s="216"/>
      <c r="M991" s="217"/>
      <c r="O991" s="241" t="str">
        <f>IF(Q991 = "", "", COUNT(Q$4:$Q991))</f>
        <v/>
      </c>
      <c r="P991" s="241" t="str">
        <f t="shared" si="124"/>
        <v/>
      </c>
      <c r="Q991" s="242" t="str">
        <f t="shared" si="125"/>
        <v/>
      </c>
      <c r="R991" s="243" t="str">
        <f t="shared" si="128"/>
        <v/>
      </c>
      <c r="S991" s="244" t="str">
        <f t="shared" si="126"/>
        <v/>
      </c>
      <c r="T991" s="245" t="str">
        <f t="shared" si="129"/>
        <v/>
      </c>
      <c r="U991" s="246" t="str">
        <f t="shared" si="127"/>
        <v/>
      </c>
      <c r="V991" s="8"/>
      <c r="AR991" t="str">
        <f t="shared" si="131"/>
        <v/>
      </c>
      <c r="AS991" t="str">
        <f t="shared" si="130"/>
        <v/>
      </c>
    </row>
    <row r="992" spans="1:45" x14ac:dyDescent="0.3">
      <c r="A992" s="231"/>
      <c r="B992" s="235"/>
      <c r="C992" s="214"/>
      <c r="D992" s="214"/>
      <c r="E992" s="214"/>
      <c r="F992" s="214"/>
      <c r="G992" s="222"/>
      <c r="H992" s="221"/>
      <c r="I992" s="213"/>
      <c r="J992" s="213"/>
      <c r="K992" s="215"/>
      <c r="L992" s="216"/>
      <c r="M992" s="217"/>
      <c r="O992" s="241" t="str">
        <f>IF(Q992 = "", "", COUNT(Q$4:$Q992))</f>
        <v/>
      </c>
      <c r="P992" s="241" t="str">
        <f t="shared" si="124"/>
        <v/>
      </c>
      <c r="Q992" s="242" t="str">
        <f t="shared" si="125"/>
        <v/>
      </c>
      <c r="R992" s="243" t="str">
        <f t="shared" si="128"/>
        <v/>
      </c>
      <c r="S992" s="244" t="str">
        <f t="shared" si="126"/>
        <v/>
      </c>
      <c r="T992" s="245" t="str">
        <f t="shared" si="129"/>
        <v/>
      </c>
      <c r="U992" s="246" t="str">
        <f t="shared" si="127"/>
        <v/>
      </c>
      <c r="V992" s="8"/>
      <c r="AR992" t="str">
        <f t="shared" si="131"/>
        <v/>
      </c>
      <c r="AS992" t="str">
        <f t="shared" si="130"/>
        <v/>
      </c>
    </row>
    <row r="993" spans="1:45" x14ac:dyDescent="0.3">
      <c r="A993" s="231"/>
      <c r="B993" s="235"/>
      <c r="C993" s="214"/>
      <c r="D993" s="214"/>
      <c r="E993" s="214"/>
      <c r="F993" s="214"/>
      <c r="G993" s="222"/>
      <c r="H993" s="221"/>
      <c r="I993" s="213"/>
      <c r="J993" s="213"/>
      <c r="K993" s="215"/>
      <c r="L993" s="216"/>
      <c r="M993" s="217"/>
      <c r="O993" s="241" t="str">
        <f>IF(Q993 = "", "", COUNT(Q$4:$Q993))</f>
        <v/>
      </c>
      <c r="P993" s="241" t="str">
        <f t="shared" si="124"/>
        <v/>
      </c>
      <c r="Q993" s="242" t="str">
        <f t="shared" si="125"/>
        <v/>
      </c>
      <c r="R993" s="243" t="str">
        <f t="shared" si="128"/>
        <v/>
      </c>
      <c r="S993" s="244" t="str">
        <f t="shared" si="126"/>
        <v/>
      </c>
      <c r="T993" s="245" t="str">
        <f t="shared" si="129"/>
        <v/>
      </c>
      <c r="U993" s="246" t="str">
        <f t="shared" si="127"/>
        <v/>
      </c>
      <c r="V993" s="8"/>
      <c r="AR993" t="str">
        <f t="shared" si="131"/>
        <v/>
      </c>
      <c r="AS993" t="str">
        <f t="shared" si="130"/>
        <v/>
      </c>
    </row>
    <row r="994" spans="1:45" x14ac:dyDescent="0.3">
      <c r="A994" s="231"/>
      <c r="B994" s="235"/>
      <c r="C994" s="214"/>
      <c r="D994" s="214"/>
      <c r="E994" s="214"/>
      <c r="F994" s="214"/>
      <c r="G994" s="222"/>
      <c r="H994" s="221"/>
      <c r="I994" s="213"/>
      <c r="J994" s="213"/>
      <c r="K994" s="215"/>
      <c r="L994" s="216"/>
      <c r="M994" s="217"/>
      <c r="O994" s="241" t="str">
        <f>IF(Q994 = "", "", COUNT(Q$4:$Q994))</f>
        <v/>
      </c>
      <c r="P994" s="241" t="str">
        <f t="shared" si="124"/>
        <v/>
      </c>
      <c r="Q994" s="242" t="str">
        <f t="shared" si="125"/>
        <v/>
      </c>
      <c r="R994" s="243" t="str">
        <f t="shared" si="128"/>
        <v/>
      </c>
      <c r="S994" s="244" t="str">
        <f t="shared" si="126"/>
        <v/>
      </c>
      <c r="T994" s="245" t="str">
        <f t="shared" si="129"/>
        <v/>
      </c>
      <c r="U994" s="246" t="str">
        <f t="shared" si="127"/>
        <v/>
      </c>
      <c r="V994" s="8"/>
      <c r="AR994" t="str">
        <f t="shared" si="131"/>
        <v/>
      </c>
      <c r="AS994" t="str">
        <f t="shared" si="130"/>
        <v/>
      </c>
    </row>
    <row r="995" spans="1:45" x14ac:dyDescent="0.3">
      <c r="A995" s="231"/>
      <c r="B995" s="235"/>
      <c r="C995" s="214"/>
      <c r="D995" s="214"/>
      <c r="E995" s="214"/>
      <c r="F995" s="214"/>
      <c r="G995" s="222"/>
      <c r="H995" s="221"/>
      <c r="I995" s="213"/>
      <c r="J995" s="213"/>
      <c r="K995" s="215"/>
      <c r="L995" s="216"/>
      <c r="M995" s="217"/>
      <c r="O995" s="241" t="str">
        <f>IF(Q995 = "", "", COUNT(Q$4:$Q995))</f>
        <v/>
      </c>
      <c r="P995" s="241" t="str">
        <f t="shared" si="124"/>
        <v/>
      </c>
      <c r="Q995" s="242" t="str">
        <f t="shared" si="125"/>
        <v/>
      </c>
      <c r="R995" s="243" t="str">
        <f t="shared" si="128"/>
        <v/>
      </c>
      <c r="S995" s="244" t="str">
        <f t="shared" si="126"/>
        <v/>
      </c>
      <c r="T995" s="245" t="str">
        <f t="shared" si="129"/>
        <v/>
      </c>
      <c r="U995" s="246" t="str">
        <f t="shared" si="127"/>
        <v/>
      </c>
      <c r="V995" s="8"/>
      <c r="AR995" t="str">
        <f t="shared" si="131"/>
        <v/>
      </c>
      <c r="AS995" t="str">
        <f t="shared" si="130"/>
        <v/>
      </c>
    </row>
    <row r="996" spans="1:45" x14ac:dyDescent="0.3">
      <c r="A996" s="231"/>
      <c r="B996" s="235"/>
      <c r="C996" s="214"/>
      <c r="D996" s="214"/>
      <c r="E996" s="214"/>
      <c r="F996" s="214"/>
      <c r="G996" s="222"/>
      <c r="H996" s="221"/>
      <c r="I996" s="213"/>
      <c r="J996" s="213"/>
      <c r="K996" s="215"/>
      <c r="L996" s="216"/>
      <c r="M996" s="217"/>
      <c r="O996" s="241" t="str">
        <f>IF(Q996 = "", "", COUNT(Q$4:$Q996))</f>
        <v/>
      </c>
      <c r="P996" s="241" t="str">
        <f t="shared" si="124"/>
        <v/>
      </c>
      <c r="Q996" s="242" t="str">
        <f t="shared" si="125"/>
        <v/>
      </c>
      <c r="R996" s="243" t="str">
        <f t="shared" si="128"/>
        <v/>
      </c>
      <c r="S996" s="244" t="str">
        <f t="shared" si="126"/>
        <v/>
      </c>
      <c r="T996" s="245" t="str">
        <f t="shared" si="129"/>
        <v/>
      </c>
      <c r="U996" s="246" t="str">
        <f t="shared" si="127"/>
        <v/>
      </c>
      <c r="V996" s="8"/>
      <c r="AR996" t="str">
        <f t="shared" si="131"/>
        <v/>
      </c>
      <c r="AS996" t="str">
        <f t="shared" si="130"/>
        <v/>
      </c>
    </row>
    <row r="997" spans="1:45" x14ac:dyDescent="0.3">
      <c r="A997" s="231"/>
      <c r="B997" s="235"/>
      <c r="C997" s="214"/>
      <c r="D997" s="214"/>
      <c r="E997" s="214"/>
      <c r="F997" s="214"/>
      <c r="G997" s="222"/>
      <c r="H997" s="221"/>
      <c r="I997" s="213"/>
      <c r="J997" s="213"/>
      <c r="K997" s="215"/>
      <c r="L997" s="216"/>
      <c r="M997" s="217"/>
      <c r="O997" s="241" t="str">
        <f>IF(Q997 = "", "", COUNT(Q$4:$Q997))</f>
        <v/>
      </c>
      <c r="P997" s="241" t="str">
        <f t="shared" si="124"/>
        <v/>
      </c>
      <c r="Q997" s="242" t="str">
        <f t="shared" si="125"/>
        <v/>
      </c>
      <c r="R997" s="243" t="str">
        <f t="shared" si="128"/>
        <v/>
      </c>
      <c r="S997" s="244" t="str">
        <f t="shared" si="126"/>
        <v/>
      </c>
      <c r="T997" s="245" t="str">
        <f t="shared" si="129"/>
        <v/>
      </c>
      <c r="U997" s="246" t="str">
        <f t="shared" si="127"/>
        <v/>
      </c>
      <c r="V997" s="8"/>
      <c r="AR997" t="str">
        <f t="shared" si="131"/>
        <v/>
      </c>
      <c r="AS997" t="str">
        <f t="shared" si="130"/>
        <v/>
      </c>
    </row>
    <row r="998" spans="1:45" x14ac:dyDescent="0.3">
      <c r="A998" s="231"/>
      <c r="B998" s="235"/>
      <c r="C998" s="214"/>
      <c r="D998" s="214"/>
      <c r="E998" s="214"/>
      <c r="F998" s="214"/>
      <c r="G998" s="222"/>
      <c r="H998" s="221"/>
      <c r="I998" s="213"/>
      <c r="J998" s="213"/>
      <c r="K998" s="215"/>
      <c r="L998" s="216"/>
      <c r="M998" s="217"/>
      <c r="O998" s="241" t="str">
        <f>IF(Q998 = "", "", COUNT(Q$4:$Q998))</f>
        <v/>
      </c>
      <c r="P998" s="241" t="str">
        <f t="shared" si="124"/>
        <v/>
      </c>
      <c r="Q998" s="242" t="str">
        <f t="shared" si="125"/>
        <v/>
      </c>
      <c r="R998" s="243" t="str">
        <f t="shared" si="128"/>
        <v/>
      </c>
      <c r="S998" s="244" t="str">
        <f t="shared" si="126"/>
        <v/>
      </c>
      <c r="T998" s="245" t="str">
        <f t="shared" si="129"/>
        <v/>
      </c>
      <c r="U998" s="246" t="str">
        <f t="shared" si="127"/>
        <v/>
      </c>
      <c r="V998" s="8"/>
      <c r="AR998" t="str">
        <f t="shared" si="131"/>
        <v/>
      </c>
      <c r="AS998" t="str">
        <f t="shared" si="130"/>
        <v/>
      </c>
    </row>
    <row r="999" spans="1:45" x14ac:dyDescent="0.3">
      <c r="A999" s="231"/>
      <c r="B999" s="235"/>
      <c r="C999" s="214"/>
      <c r="D999" s="214"/>
      <c r="E999" s="214"/>
      <c r="F999" s="214"/>
      <c r="G999" s="222"/>
      <c r="H999" s="221"/>
      <c r="I999" s="213"/>
      <c r="J999" s="213"/>
      <c r="K999" s="215"/>
      <c r="L999" s="216"/>
      <c r="M999" s="217"/>
      <c r="O999" s="241" t="str">
        <f>IF(Q999 = "", "", COUNT(Q$4:$Q999))</f>
        <v/>
      </c>
      <c r="P999" s="241" t="str">
        <f t="shared" si="124"/>
        <v/>
      </c>
      <c r="Q999" s="242" t="str">
        <f t="shared" si="125"/>
        <v/>
      </c>
      <c r="R999" s="243" t="str">
        <f t="shared" si="128"/>
        <v/>
      </c>
      <c r="S999" s="244" t="str">
        <f t="shared" si="126"/>
        <v/>
      </c>
      <c r="T999" s="245" t="str">
        <f t="shared" si="129"/>
        <v/>
      </c>
      <c r="U999" s="246" t="str">
        <f t="shared" si="127"/>
        <v/>
      </c>
      <c r="V999" s="8"/>
      <c r="AR999" t="str">
        <f t="shared" si="131"/>
        <v/>
      </c>
      <c r="AS999" t="str">
        <f t="shared" si="130"/>
        <v/>
      </c>
    </row>
    <row r="1000" spans="1:45" x14ac:dyDescent="0.3">
      <c r="A1000" s="231"/>
      <c r="B1000" s="235"/>
      <c r="C1000" s="214"/>
      <c r="D1000" s="214"/>
      <c r="E1000" s="214"/>
      <c r="F1000" s="214"/>
      <c r="G1000" s="222"/>
      <c r="H1000" s="221"/>
      <c r="I1000" s="213"/>
      <c r="J1000" s="213"/>
      <c r="K1000" s="215"/>
      <c r="L1000" s="216"/>
      <c r="M1000" s="217"/>
      <c r="O1000" s="241" t="str">
        <f>IF(Q1000 = "", "", COUNT(Q$4:$Q1000))</f>
        <v/>
      </c>
      <c r="P1000" s="241" t="str">
        <f t="shared" si="124"/>
        <v/>
      </c>
      <c r="Q1000" s="242" t="str">
        <f t="shared" si="125"/>
        <v/>
      </c>
      <c r="R1000" s="243" t="str">
        <f t="shared" si="128"/>
        <v/>
      </c>
      <c r="S1000" s="244" t="str">
        <f t="shared" si="126"/>
        <v/>
      </c>
      <c r="T1000" s="245" t="str">
        <f t="shared" si="129"/>
        <v/>
      </c>
      <c r="U1000" s="246" t="str">
        <f t="shared" si="127"/>
        <v/>
      </c>
      <c r="V1000" s="8"/>
      <c r="AR1000" t="str">
        <f t="shared" si="131"/>
        <v/>
      </c>
      <c r="AS1000" t="str">
        <f t="shared" si="130"/>
        <v/>
      </c>
    </row>
    <row r="1001" spans="1:45" x14ac:dyDescent="0.3">
      <c r="A1001" s="231"/>
      <c r="B1001" s="235"/>
      <c r="C1001" s="214"/>
      <c r="D1001" s="214"/>
      <c r="E1001" s="214"/>
      <c r="F1001" s="214"/>
      <c r="G1001" s="222"/>
      <c r="H1001" s="221"/>
      <c r="I1001" s="213"/>
      <c r="J1001" s="213"/>
      <c r="K1001" s="215"/>
      <c r="L1001" s="216"/>
      <c r="M1001" s="217"/>
      <c r="O1001" s="241" t="str">
        <f>IF(Q1001 = "", "", COUNT(Q$4:$Q1001))</f>
        <v/>
      </c>
      <c r="P1001" s="241" t="str">
        <f t="shared" si="124"/>
        <v/>
      </c>
      <c r="Q1001" s="242" t="str">
        <f t="shared" si="125"/>
        <v/>
      </c>
      <c r="R1001" s="243" t="str">
        <f t="shared" si="128"/>
        <v/>
      </c>
      <c r="S1001" s="244" t="str">
        <f t="shared" si="126"/>
        <v/>
      </c>
      <c r="T1001" s="245" t="str">
        <f t="shared" si="129"/>
        <v/>
      </c>
      <c r="U1001" s="246" t="str">
        <f t="shared" si="127"/>
        <v/>
      </c>
      <c r="V1001" s="8"/>
      <c r="AR1001" t="str">
        <f t="shared" si="131"/>
        <v/>
      </c>
      <c r="AS1001" t="str">
        <f t="shared" si="130"/>
        <v/>
      </c>
    </row>
    <row r="1002" spans="1:45" x14ac:dyDescent="0.3">
      <c r="A1002" s="231"/>
      <c r="B1002" s="235"/>
      <c r="C1002" s="214"/>
      <c r="D1002" s="214"/>
      <c r="E1002" s="214"/>
      <c r="F1002" s="214"/>
      <c r="G1002" s="222"/>
      <c r="H1002" s="221"/>
      <c r="I1002" s="213"/>
      <c r="J1002" s="213"/>
      <c r="K1002" s="215"/>
      <c r="L1002" s="216"/>
      <c r="M1002" s="217"/>
      <c r="O1002" s="241" t="str">
        <f>IF(Q1002 = "", "", COUNT(Q$4:$Q1002))</f>
        <v/>
      </c>
      <c r="P1002" s="241" t="str">
        <f t="shared" si="124"/>
        <v/>
      </c>
      <c r="Q1002" s="242" t="str">
        <f t="shared" si="125"/>
        <v/>
      </c>
      <c r="R1002" s="243" t="str">
        <f t="shared" si="128"/>
        <v/>
      </c>
      <c r="S1002" s="244" t="str">
        <f t="shared" si="126"/>
        <v/>
      </c>
      <c r="T1002" s="245" t="str">
        <f t="shared" si="129"/>
        <v/>
      </c>
      <c r="U1002" s="246" t="str">
        <f t="shared" si="127"/>
        <v/>
      </c>
      <c r="V1002" s="8"/>
      <c r="AR1002" t="str">
        <f t="shared" si="131"/>
        <v/>
      </c>
      <c r="AS1002" t="str">
        <f t="shared" si="130"/>
        <v/>
      </c>
    </row>
    <row r="1003" spans="1:45" ht="15" thickBot="1" x14ac:dyDescent="0.35">
      <c r="A1003" s="232"/>
      <c r="B1003" s="236"/>
      <c r="C1003" s="223"/>
      <c r="D1003" s="223"/>
      <c r="E1003" s="223"/>
      <c r="F1003" s="223"/>
      <c r="G1003" s="224"/>
      <c r="H1003" s="221"/>
      <c r="I1003" s="213"/>
      <c r="J1003" s="213"/>
      <c r="K1003" s="215"/>
      <c r="L1003" s="218"/>
      <c r="M1003" s="219"/>
      <c r="O1003" s="241" t="str">
        <f>IF(Q1003 = "", "", COUNT(Q$4:$Q1003))</f>
        <v/>
      </c>
      <c r="P1003" s="241" t="str">
        <f t="shared" si="124"/>
        <v/>
      </c>
      <c r="Q1003" s="242" t="str">
        <f t="shared" si="125"/>
        <v/>
      </c>
      <c r="R1003" s="243" t="str">
        <f t="shared" si="128"/>
        <v/>
      </c>
      <c r="S1003" s="244" t="str">
        <f t="shared" si="126"/>
        <v/>
      </c>
      <c r="T1003" s="245" t="str">
        <f t="shared" si="129"/>
        <v/>
      </c>
      <c r="U1003" s="246" t="str">
        <f t="shared" si="127"/>
        <v/>
      </c>
      <c r="V1003" s="8"/>
      <c r="AR1003" t="str">
        <f t="shared" ref="AR1003" si="132">IF(O1003&gt;0, O1003, "")</f>
        <v/>
      </c>
      <c r="AS1003" t="str">
        <f t="shared" ref="AS1003" si="133">IF(OR(L1003="Y",M1003="Y"),"Y","")</f>
        <v/>
      </c>
    </row>
    <row r="1004" spans="1:45" s="82" customFormat="1" x14ac:dyDescent="0.3">
      <c r="A1004" s="83"/>
      <c r="B1004" s="237"/>
      <c r="C1004" s="83"/>
      <c r="D1004" s="83"/>
      <c r="E1004" s="83"/>
      <c r="F1004" s="83"/>
      <c r="G1004" s="83"/>
      <c r="H1004" s="83"/>
      <c r="I1004" s="83"/>
      <c r="J1004" s="83"/>
      <c r="K1004" s="83"/>
      <c r="L1004" s="84"/>
      <c r="M1004" s="85"/>
      <c r="N1004" s="176"/>
      <c r="O1004" s="83"/>
      <c r="P1004" s="83"/>
      <c r="Q1004" s="83"/>
      <c r="R1004" s="83"/>
      <c r="S1004" s="83"/>
      <c r="T1004" s="83"/>
      <c r="U1004" s="83"/>
      <c r="V1004" s="83"/>
    </row>
    <row r="1005" spans="1:45" x14ac:dyDescent="0.3">
      <c r="H1005" s="2"/>
      <c r="I1005" s="2"/>
      <c r="J1005" s="2"/>
      <c r="K1005" s="2"/>
      <c r="R1005" s="2"/>
      <c r="S1005" s="2"/>
      <c r="T1005" s="2"/>
      <c r="U1005" s="2"/>
      <c r="V1005" s="2"/>
    </row>
    <row r="1006" spans="1:45" x14ac:dyDescent="0.3">
      <c r="H1006" s="2"/>
      <c r="I1006" s="2"/>
      <c r="J1006" s="2"/>
      <c r="K1006" s="2"/>
      <c r="R1006" s="2"/>
      <c r="S1006" s="2"/>
      <c r="T1006" s="2"/>
      <c r="U1006" s="2"/>
      <c r="V1006" s="2"/>
    </row>
    <row r="1007" spans="1:45" x14ac:dyDescent="0.3">
      <c r="H1007" s="2"/>
      <c r="I1007" s="2"/>
      <c r="J1007" s="2"/>
      <c r="K1007" s="2"/>
      <c r="R1007" s="2"/>
      <c r="S1007" s="2"/>
      <c r="T1007" s="2"/>
      <c r="U1007" s="2"/>
      <c r="V1007" s="2"/>
    </row>
    <row r="1008" spans="1:45" x14ac:dyDescent="0.3">
      <c r="H1008" s="2"/>
      <c r="I1008" s="2"/>
      <c r="J1008" s="2"/>
      <c r="K1008" s="2"/>
      <c r="R1008" s="2"/>
      <c r="S1008" s="2"/>
      <c r="T1008" s="2"/>
      <c r="U1008" s="2"/>
      <c r="V1008" s="2"/>
    </row>
    <row r="1009" spans="8:26" x14ac:dyDescent="0.3">
      <c r="H1009" s="2"/>
      <c r="I1009" s="2"/>
      <c r="J1009" s="2"/>
      <c r="K1009" s="2"/>
      <c r="R1009" s="2"/>
      <c r="S1009" s="2"/>
      <c r="T1009" s="2"/>
      <c r="U1009" s="2"/>
      <c r="V1009" s="2"/>
    </row>
    <row r="1010" spans="8:26" x14ac:dyDescent="0.3">
      <c r="H1010" s="2"/>
      <c r="I1010" s="2"/>
      <c r="J1010" s="2"/>
      <c r="K1010" s="2"/>
      <c r="R1010" s="2"/>
      <c r="S1010" s="2"/>
      <c r="T1010" s="2"/>
      <c r="U1010" s="2"/>
      <c r="V1010" s="2"/>
    </row>
    <row r="1011" spans="8:26" x14ac:dyDescent="0.3">
      <c r="W1011" s="2"/>
      <c r="X1011" s="2"/>
      <c r="Y1011" s="2"/>
      <c r="Z1011" s="2"/>
    </row>
    <row r="1012" spans="8:26" x14ac:dyDescent="0.3">
      <c r="W1012" s="2"/>
      <c r="X1012" s="2"/>
    </row>
    <row r="1013" spans="8:26" x14ac:dyDescent="0.3">
      <c r="W1013" s="2"/>
      <c r="X1013" s="2"/>
    </row>
    <row r="1014" spans="8:26" x14ac:dyDescent="0.3">
      <c r="W1014" s="2"/>
      <c r="X1014" s="2"/>
    </row>
    <row r="1015" spans="8:26" x14ac:dyDescent="0.3">
      <c r="W1015" s="2"/>
      <c r="X1015" s="2"/>
    </row>
    <row r="1016" spans="8:26" x14ac:dyDescent="0.3">
      <c r="W1016" s="2"/>
      <c r="X1016" s="2"/>
    </row>
    <row r="1017" spans="8:26" x14ac:dyDescent="0.3">
      <c r="W1017" s="2"/>
      <c r="X1017" s="2"/>
    </row>
  </sheetData>
  <mergeCells count="24">
    <mergeCell ref="X33:AD33"/>
    <mergeCell ref="W41:W42"/>
    <mergeCell ref="X41:AD42"/>
    <mergeCell ref="S2:S3"/>
    <mergeCell ref="T2:T3"/>
    <mergeCell ref="U2:U3"/>
    <mergeCell ref="W30:W32"/>
    <mergeCell ref="X30:AD32"/>
    <mergeCell ref="Y37:AD40"/>
    <mergeCell ref="W33:W40"/>
    <mergeCell ref="A2:M2"/>
    <mergeCell ref="A1:M1"/>
    <mergeCell ref="Y20:AD24"/>
    <mergeCell ref="Y25:AD26"/>
    <mergeCell ref="Y27:AD29"/>
    <mergeCell ref="W15:W29"/>
    <mergeCell ref="X15:AD17"/>
    <mergeCell ref="Y18:AD19"/>
    <mergeCell ref="O1:AD1"/>
    <mergeCell ref="W14:AD14"/>
    <mergeCell ref="O2:O3"/>
    <mergeCell ref="P2:P3"/>
    <mergeCell ref="Q2:Q3"/>
    <mergeCell ref="R2:R3"/>
  </mergeCells>
  <conditionalFormatting sqref="D4:D1003">
    <cfRule type="cellIs" dxfId="18" priority="12" operator="between">
      <formula>4</formula>
      <formula>6</formula>
    </cfRule>
    <cfRule type="cellIs" dxfId="17" priority="13" operator="between">
      <formula>2</formula>
      <formula>3</formula>
    </cfRule>
  </conditionalFormatting>
  <conditionalFormatting sqref="F4:F1003">
    <cfRule type="cellIs" dxfId="16" priority="11" operator="between">
      <formula>4</formula>
      <formula>6</formula>
    </cfRule>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3CE95-186C-43BE-B639-843E26C47CE2}">
  <dimension ref="A1:AS1004"/>
  <sheetViews>
    <sheetView zoomScaleNormal="100" workbookViewId="0">
      <selection activeCell="A4" sqref="A4"/>
    </sheetView>
  </sheetViews>
  <sheetFormatPr defaultRowHeight="14.4" x14ac:dyDescent="0.3"/>
  <cols>
    <col min="1" max="1" width="10" bestFit="1" customWidth="1"/>
    <col min="2" max="2" width="10.6640625" style="5" bestFit="1" customWidth="1"/>
    <col min="3" max="7" width="3.5546875" style="2" customWidth="1"/>
    <col min="8" max="11" width="15.109375" customWidth="1"/>
    <col min="12" max="12" width="9.109375" style="46"/>
    <col min="13" max="13" width="9.109375" style="78"/>
    <col min="14" max="14" width="2.21875" style="179" customWidth="1"/>
    <col min="15" max="15" width="7.33203125" style="2" bestFit="1" customWidth="1"/>
    <col min="16" max="16" width="5.88671875" style="2" bestFit="1" customWidth="1"/>
    <col min="17" max="19" width="9.109375" style="2"/>
    <col min="20" max="21" width="9.109375" style="79"/>
    <col min="22" max="22" width="2.21875" customWidth="1"/>
    <col min="23" max="23" width="5.44140625" bestFit="1" customWidth="1"/>
    <col min="24" max="24" width="5.5546875" customWidth="1"/>
    <col min="28" max="28" width="10.33203125" customWidth="1"/>
    <col min="29" max="30" width="11.77734375" customWidth="1"/>
    <col min="33" max="45" width="9.109375" customWidth="1"/>
  </cols>
  <sheetData>
    <row r="1" spans="1:45" ht="37.5" customHeight="1" thickBot="1" x14ac:dyDescent="0.35">
      <c r="A1" s="379" t="s">
        <v>136</v>
      </c>
      <c r="B1" s="380"/>
      <c r="C1" s="380"/>
      <c r="D1" s="380"/>
      <c r="E1" s="380"/>
      <c r="F1" s="380"/>
      <c r="G1" s="380"/>
      <c r="H1" s="380"/>
      <c r="I1" s="380"/>
      <c r="J1" s="380"/>
      <c r="K1" s="380"/>
      <c r="L1" s="380"/>
      <c r="M1" s="381"/>
      <c r="N1" s="173"/>
      <c r="O1" s="392" t="s">
        <v>137</v>
      </c>
      <c r="P1" s="393"/>
      <c r="Q1" s="393"/>
      <c r="R1" s="393"/>
      <c r="S1" s="393"/>
      <c r="T1" s="393"/>
      <c r="U1" s="393"/>
      <c r="V1" s="393"/>
      <c r="W1" s="393"/>
      <c r="X1" s="393"/>
      <c r="Y1" s="393"/>
      <c r="Z1" s="393"/>
      <c r="AA1" s="393"/>
      <c r="AB1" s="393"/>
      <c r="AC1" s="393"/>
      <c r="AD1" s="394"/>
    </row>
    <row r="2" spans="1:45" s="1" customFormat="1" ht="18" customHeight="1" thickBot="1" x14ac:dyDescent="0.35">
      <c r="A2" s="427" t="str">
        <f>"After Period ("&amp;TEXT('Evaluation Set-up'!D11, "mm/dd/yy")&amp;" - "&amp;TEXT('Evaluation Set-up'!E11, "mm/dd/yy")&amp;")"</f>
        <v>After Period (07/01/21 - 06/30/26)</v>
      </c>
      <c r="B2" s="428"/>
      <c r="C2" s="428"/>
      <c r="D2" s="428"/>
      <c r="E2" s="428"/>
      <c r="F2" s="428"/>
      <c r="G2" s="428"/>
      <c r="H2" s="428"/>
      <c r="I2" s="428"/>
      <c r="J2" s="428"/>
      <c r="K2" s="428"/>
      <c r="L2" s="428"/>
      <c r="M2" s="429"/>
      <c r="N2" s="177"/>
      <c r="O2" s="398" t="s">
        <v>11</v>
      </c>
      <c r="P2" s="400" t="s">
        <v>31</v>
      </c>
      <c r="Q2" s="402" t="s">
        <v>12</v>
      </c>
      <c r="R2" s="400" t="s">
        <v>52</v>
      </c>
      <c r="S2" s="402" t="s">
        <v>53</v>
      </c>
      <c r="T2" s="400" t="s">
        <v>54</v>
      </c>
      <c r="U2" s="413" t="s">
        <v>55</v>
      </c>
      <c r="V2" s="9"/>
    </row>
    <row r="3" spans="1:45" ht="29.4" thickBot="1" x14ac:dyDescent="0.35">
      <c r="A3" s="182" t="s">
        <v>0</v>
      </c>
      <c r="B3" s="233" t="s">
        <v>1</v>
      </c>
      <c r="C3" s="183" t="s">
        <v>2</v>
      </c>
      <c r="D3" s="183" t="s">
        <v>3</v>
      </c>
      <c r="E3" s="183" t="s">
        <v>4</v>
      </c>
      <c r="F3" s="183" t="s">
        <v>5</v>
      </c>
      <c r="G3" s="220" t="s">
        <v>6</v>
      </c>
      <c r="H3" s="255" t="s">
        <v>140</v>
      </c>
      <c r="I3" s="255" t="s">
        <v>141</v>
      </c>
      <c r="J3" s="255" t="s">
        <v>142</v>
      </c>
      <c r="K3" s="81" t="s">
        <v>143</v>
      </c>
      <c r="L3" s="256" t="s">
        <v>59</v>
      </c>
      <c r="M3" s="257" t="s">
        <v>60</v>
      </c>
      <c r="N3" s="178"/>
      <c r="O3" s="399"/>
      <c r="P3" s="401"/>
      <c r="Q3" s="403"/>
      <c r="R3" s="401"/>
      <c r="S3" s="403"/>
      <c r="T3" s="401"/>
      <c r="U3" s="414"/>
      <c r="V3" s="8"/>
      <c r="Y3" s="11" t="s">
        <v>13</v>
      </c>
      <c r="Z3" s="36" t="s">
        <v>49</v>
      </c>
      <c r="AA3" s="41" t="s">
        <v>51</v>
      </c>
      <c r="AB3" s="10" t="s">
        <v>62</v>
      </c>
      <c r="AR3" t="s">
        <v>11</v>
      </c>
      <c r="AS3" t="s">
        <v>64</v>
      </c>
    </row>
    <row r="4" spans="1:45" x14ac:dyDescent="0.3">
      <c r="A4" s="228">
        <v>106743409</v>
      </c>
      <c r="B4" s="234">
        <v>44494</v>
      </c>
      <c r="C4" s="229">
        <v>30</v>
      </c>
      <c r="D4" s="229">
        <v>1</v>
      </c>
      <c r="E4" s="229">
        <v>7</v>
      </c>
      <c r="F4" s="229">
        <v>5</v>
      </c>
      <c r="G4" s="230" t="inlineStr">
        <is>
          <t>O</t>
        </is>
      </c>
      <c r="H4" s="226"/>
      <c r="I4" s="225"/>
      <c r="J4" s="225"/>
      <c r="K4" s="227"/>
      <c r="L4" s="239" t="inlineStr">
        <is>
          <t>Y</t>
        </is>
      </c>
      <c r="M4" s="240"/>
      <c r="N4" s="176"/>
      <c r="O4" s="241" t="n">
        <f>IF(Q4 = "", "", COUNT(Q$4:$Q4))</f>
        <v>1</v>
      </c>
      <c r="P4" s="241" t="n">
        <f t="shared" ref="P4:P67" si="0">IF(C4 &gt; 0, YEAR(B4), "")</f>
        <v>2021</v>
      </c>
      <c r="Q4" s="242" t="n">
        <f t="shared" ref="Q4:Q67" si="1">IF(A4="", "", IF(G4="",1,IF(G4="O",1,IF(G4="C",8.4,IF(G4="B",8.4,IF(G4="A",76.8,IF(G4="K",76.8,"ERR")))))))</f>
        <v>1</v>
      </c>
      <c r="R4" s="243" t="n">
        <f>IF(L4&lt;&gt;"",Q4,"")</f>
        <v>1</v>
      </c>
      <c r="S4" s="244" t="str">
        <f t="shared" ref="S4" si="2">IF(IF(L4&lt;&gt;"",G4,"")=0, "O", IF(L4&lt;&gt;"",G4,""))</f>
        <v>O</v>
      </c>
      <c r="T4" s="245" t="str">
        <f>IF(M4&lt;&gt;"",Q4,"")</f>
        <v/>
      </c>
      <c r="U4" s="246" t="str">
        <f t="shared" ref="U4" si="3">IF(IF(M4&lt;&gt;"",G4,"")=0, "O", IF(M4&lt;&gt;"",G4,""))</f>
        <v/>
      </c>
      <c r="V4" s="8"/>
      <c r="X4" s="3" t="s">
        <v>9</v>
      </c>
      <c r="Y4" s="247" t="n">
        <f>COUNTIF($G$4:$G$1048576,$X4)</f>
        <v>0</v>
      </c>
      <c r="Z4" s="248" t="n">
        <f>COUNTIF($S$4:$S$1048576,$X4)</f>
        <v>0</v>
      </c>
      <c r="AA4" s="249" t="n">
        <f>COUNTIF($U$4:$U$1048576,$X4)</f>
        <v>0</v>
      </c>
      <c r="AB4" s="250" t="n">
        <f>COUNTIF($S:$S, X4)+COUNTIF($U:$U, X4)-COUNTIFS($S:$S, X4, $U:$U, X4)</f>
        <v>0</v>
      </c>
      <c r="AR4" t="n">
        <f>IF(O4&gt;0, O4, "")</f>
        <v>1</v>
      </c>
      <c r="AS4" t="str">
        <f t="shared" ref="AS4:AS67" si="4">IF(OR(L4="Y",M4="Y"),"Y","")</f>
        <v>Y</v>
      </c>
    </row>
    <row r="5" spans="1:45" x14ac:dyDescent="0.3">
      <c r="A5" s="231">
        <v>106772984</v>
      </c>
      <c r="B5" s="235">
        <v>44519</v>
      </c>
      <c r="C5" s="214">
        <v>30</v>
      </c>
      <c r="D5" s="214">
        <v>1</v>
      </c>
      <c r="E5" s="214">
        <v>7</v>
      </c>
      <c r="F5" s="214">
        <v>1</v>
      </c>
      <c r="G5" s="222" t="inlineStr">
        <is>
          <t>O</t>
        </is>
      </c>
      <c r="H5" s="221"/>
      <c r="I5" s="213"/>
      <c r="J5" s="213"/>
      <c r="K5" s="215"/>
      <c r="L5" s="216" t="inlineStr">
        <is>
          <t>Y</t>
        </is>
      </c>
      <c r="M5" s="217"/>
      <c r="N5" s="176"/>
      <c r="O5" s="241" t="n">
        <f>IF(Q5 = "", "", COUNT(Q$4:$Q5))</f>
        <v>2</v>
      </c>
      <c r="P5" s="241" t="n">
        <f t="shared" si="0"/>
        <v>2021</v>
      </c>
      <c r="Q5" s="242" t="n">
        <f t="shared" si="1"/>
        <v>1</v>
      </c>
      <c r="R5" s="243" t="n">
        <f t="shared" ref="R5:R68" si="5">IF(L5&lt;&gt;"",Q5,"")</f>
        <v>1</v>
      </c>
      <c r="S5" s="244" t="str">
        <f t="shared" ref="S5:S68" si="6">IF(IF(L5&lt;&gt;"",G5,"")=0, "O", IF(L5&lt;&gt;"",G5,""))</f>
        <v>O</v>
      </c>
      <c r="T5" s="245" t="str">
        <f t="shared" ref="T5:T68" si="7">IF(M5&lt;&gt;"",Q5,"")</f>
        <v/>
      </c>
      <c r="U5" s="246" t="str">
        <f t="shared" ref="U5:U68" si="8">IF(IF(M5&lt;&gt;"",G5,"")=0, "O", IF(M5&lt;&gt;"",G5,""))</f>
        <v/>
      </c>
      <c r="V5" s="8"/>
      <c r="X5" s="3" t="s">
        <v>10</v>
      </c>
      <c r="Y5" s="247" t="n">
        <f>COUNTIF($G$4:$G$1048576,$X5)</f>
        <v>0</v>
      </c>
      <c r="Z5" s="248" t="n">
        <f>COUNTIF($S$4:$S$1048576,$X5)</f>
        <v>0</v>
      </c>
      <c r="AA5" s="249" t="n">
        <f>COUNTIF($U$4:$U$1048576,$X5)</f>
        <v>0</v>
      </c>
      <c r="AB5" s="250" t="n">
        <f>COUNTIF($S:$S, X5)+COUNTIF($U:$U, X5)-COUNTIFS($S:$S, X5, $U:$U, X5)</f>
        <v>0</v>
      </c>
      <c r="AR5" t="n">
        <f t="shared" ref="AR5:AR14" si="9">IF(O5&gt;0, O5, "")</f>
        <v>2</v>
      </c>
      <c r="AS5" t="str">
        <f t="shared" si="4"/>
        <v>Y</v>
      </c>
    </row>
    <row r="6" spans="1:45" x14ac:dyDescent="0.3">
      <c r="A6" s="231">
        <v>107601791</v>
      </c>
      <c r="B6" s="235">
        <v>45314</v>
      </c>
      <c r="C6" s="214">
        <v>30</v>
      </c>
      <c r="D6" s="214">
        <v>2</v>
      </c>
      <c r="E6" s="214">
        <v>7</v>
      </c>
      <c r="F6" s="214">
        <v>1</v>
      </c>
      <c r="G6" s="222" t="inlineStr">
        <is>
          <t>O</t>
        </is>
      </c>
      <c r="H6" s="221"/>
      <c r="I6" s="213"/>
      <c r="J6" s="213"/>
      <c r="K6" s="215"/>
      <c r="L6" s="216" t="inlineStr">
        <is>
          <t>Y</t>
        </is>
      </c>
      <c r="M6" s="217"/>
      <c r="N6" s="176"/>
      <c r="O6" s="241" t="n">
        <f>IF(Q6 = "", "", COUNT(Q$4:$Q6))</f>
        <v>3</v>
      </c>
      <c r="P6" s="241" t="n">
        <f t="shared" si="0"/>
        <v>2024</v>
      </c>
      <c r="Q6" s="242" t="n">
        <f t="shared" si="1"/>
        <v>1</v>
      </c>
      <c r="R6" s="243" t="n">
        <f t="shared" si="5"/>
        <v>1</v>
      </c>
      <c r="S6" s="244" t="str">
        <f t="shared" si="6"/>
        <v>O</v>
      </c>
      <c r="T6" s="245" t="str">
        <f t="shared" si="7"/>
        <v/>
      </c>
      <c r="U6" s="246" t="str">
        <f t="shared" si="8"/>
        <v/>
      </c>
      <c r="V6" s="8"/>
      <c r="X6" s="3" t="s">
        <v>8</v>
      </c>
      <c r="Y6" s="247" t="n">
        <f>COUNTIF($G$4:$G$1048576,$X6)</f>
        <v>0</v>
      </c>
      <c r="Z6" s="248" t="n">
        <f>COUNTIF($S$4:$S$1048576,$X6)</f>
        <v>0</v>
      </c>
      <c r="AA6" s="249" t="n">
        <f>COUNTIF($U$4:$U$1048576,$X6)</f>
        <v>0</v>
      </c>
      <c r="AB6" s="250" t="n">
        <f>COUNTIF($S:$S, X6)+COUNTIF($U:$U, X6)-COUNTIFS($S:$S, X6, $U:$U, X6)</f>
        <v>0</v>
      </c>
      <c r="AR6" t="n">
        <f t="shared" si="9"/>
        <v>3</v>
      </c>
      <c r="AS6" t="str">
        <f t="shared" si="4"/>
        <v>Y</v>
      </c>
    </row>
    <row r="7" spans="1:45" x14ac:dyDescent="0.3">
      <c r="A7" s="231">
        <v>107870118</v>
      </c>
      <c r="B7" s="235">
        <v>45568</v>
      </c>
      <c r="C7" s="214">
        <v>30</v>
      </c>
      <c r="D7" s="214">
        <v>1</v>
      </c>
      <c r="E7" s="214">
        <v>7</v>
      </c>
      <c r="F7" s="214">
        <v>1</v>
      </c>
      <c r="G7" s="222" t="inlineStr">
        <is>
          <t>O</t>
        </is>
      </c>
      <c r="H7" s="221"/>
      <c r="I7" s="213"/>
      <c r="J7" s="213"/>
      <c r="K7" s="215"/>
      <c r="L7" s="216" t="inlineStr">
        <is>
          <t>Y</t>
        </is>
      </c>
      <c r="M7" s="217"/>
      <c r="N7" s="176"/>
      <c r="O7" s="241" t="n">
        <f>IF(Q7 = "", "", COUNT(Q$4:$Q7))</f>
        <v>4</v>
      </c>
      <c r="P7" s="241" t="n">
        <f t="shared" si="0"/>
        <v>2024</v>
      </c>
      <c r="Q7" s="242" t="n">
        <f t="shared" si="1"/>
        <v>1</v>
      </c>
      <c r="R7" s="243" t="n">
        <f>IF(L7&lt;&gt;"",Q7,"")</f>
        <v>1</v>
      </c>
      <c r="S7" s="244" t="str">
        <f t="shared" si="6"/>
        <v>O</v>
      </c>
      <c r="T7" s="245" t="str">
        <f t="shared" si="7"/>
        <v/>
      </c>
      <c r="U7" s="246" t="str">
        <f t="shared" si="8"/>
        <v/>
      </c>
      <c r="V7" s="8"/>
      <c r="X7" s="3" t="s">
        <v>3</v>
      </c>
      <c r="Y7" s="247" t="n">
        <f>COUNTIF($G$4:$G$1048576,$X7)</f>
        <v>2</v>
      </c>
      <c r="Z7" s="248" t="n">
        <f>COUNTIF($S$4:$S$1048576,$X7)</f>
        <v>1</v>
      </c>
      <c r="AA7" s="249" t="n">
        <f>COUNTIF($U$4:$U$1048576,$X7)</f>
        <v>0</v>
      </c>
      <c r="AB7" s="250" t="n">
        <f>COUNTIF($S:$S, X7)+COUNTIF($U:$U, X7)-COUNTIFS($S:$S, X7, $U:$U, X7)</f>
        <v>1</v>
      </c>
      <c r="AR7" t="n">
        <f t="shared" si="9"/>
        <v>4</v>
      </c>
      <c r="AS7" t="str">
        <f t="shared" si="4"/>
        <v>Y</v>
      </c>
    </row>
    <row r="8" spans="1:45" x14ac:dyDescent="0.3">
      <c r="A8" s="231">
        <v>107902086</v>
      </c>
      <c r="B8" s="235">
        <v>45593</v>
      </c>
      <c r="C8" s="214">
        <v>30</v>
      </c>
      <c r="D8" s="214">
        <v>1</v>
      </c>
      <c r="E8" s="214">
        <v>7</v>
      </c>
      <c r="F8" s="214">
        <v>1</v>
      </c>
      <c r="G8" s="222" t="inlineStr">
        <is>
          <t>O</t>
        </is>
      </c>
      <c r="H8" s="221"/>
      <c r="I8" s="213"/>
      <c r="J8" s="213"/>
      <c r="K8" s="215"/>
      <c r="L8" s="216" t="inlineStr">
        <is>
          <t>Y</t>
        </is>
      </c>
      <c r="M8" s="217"/>
      <c r="N8" s="176"/>
      <c r="O8" s="241" t="n">
        <f>IF(Q8 = "", "", COUNT(Q$4:$Q8))</f>
        <v>5</v>
      </c>
      <c r="P8" s="241" t="n">
        <f t="shared" si="0"/>
        <v>2024</v>
      </c>
      <c r="Q8" s="242" t="n">
        <f t="shared" si="1"/>
        <v>1</v>
      </c>
      <c r="R8" s="243" t="n">
        <f t="shared" si="5"/>
        <v>1</v>
      </c>
      <c r="S8" s="244" t="str">
        <f t="shared" si="6"/>
        <v>O</v>
      </c>
      <c r="T8" s="245" t="str">
        <f t="shared" si="7"/>
        <v/>
      </c>
      <c r="U8" s="246" t="str">
        <f t="shared" si="8"/>
        <v/>
      </c>
      <c r="V8" s="8"/>
      <c r="X8" s="3" t="s">
        <v>7</v>
      </c>
      <c r="Y8" s="247" t="n">
        <f>COUNTIF($G$4:$G$1048576,$X8)+COUNTIFS($G$4:$G$1048576, "", $O$4:$O$1048576, "&gt;0")</f>
        <v>6</v>
      </c>
      <c r="Z8" s="248" t="n">
        <f>COUNTIF($S$4:$S$1048576,$X8)</f>
        <v>6</v>
      </c>
      <c r="AA8" s="249" t="n">
        <f>COUNTIF($U$4:$U$1048576,$X8)</f>
        <v>0</v>
      </c>
      <c r="AB8" s="250" t="n">
        <f>COUNTIF($S:$S, X8)+COUNTIF($U:$U, X8)-COUNTIFS($S:$S, X8, $U:$U, X8)</f>
        <v>6</v>
      </c>
      <c r="AR8" t="n">
        <f t="shared" si="9"/>
        <v>5</v>
      </c>
      <c r="AS8" t="str">
        <f t="shared" si="4"/>
        <v>Y</v>
      </c>
    </row>
    <row r="9" spans="1:45" x14ac:dyDescent="0.3">
      <c r="A9" s="231">
        <v>107945637</v>
      </c>
      <c r="B9" s="235">
        <v>45630</v>
      </c>
      <c r="C9" s="214">
        <v>21</v>
      </c>
      <c r="D9" s="214">
        <v>1</v>
      </c>
      <c r="E9" s="214">
        <v>7</v>
      </c>
      <c r="F9" s="214">
        <v>1</v>
      </c>
      <c r="G9" s="222" t="inlineStr">
        <is>
          <t>C</t>
        </is>
      </c>
      <c r="H9" s="221"/>
      <c r="I9" s="213"/>
      <c r="J9" s="213"/>
      <c r="K9" s="215"/>
      <c r="L9" s="216"/>
      <c r="M9" s="217"/>
      <c r="N9" s="176"/>
      <c r="O9" s="241" t="n">
        <f>IF(Q9 = "", "", COUNT(Q$4:$Q9))</f>
        <v>6</v>
      </c>
      <c r="P9" s="241" t="n">
        <f t="shared" si="0"/>
        <v>2024</v>
      </c>
      <c r="Q9" s="242" t="n">
        <f t="shared" si="1"/>
        <v>8.4</v>
      </c>
      <c r="R9" s="243" t="str">
        <f t="shared" si="5"/>
        <v/>
      </c>
      <c r="S9" s="244" t="str">
        <f t="shared" si="6"/>
        <v/>
      </c>
      <c r="T9" s="245" t="str">
        <f t="shared" si="7"/>
        <v/>
      </c>
      <c r="U9" s="246" t="str">
        <f t="shared" si="8"/>
        <v/>
      </c>
      <c r="V9" s="8"/>
      <c r="X9" s="3" t="s">
        <v>13</v>
      </c>
      <c r="Y9" s="247" t="n">
        <f>COUNTIF(O4:O1048576, "&gt;0")</f>
        <v>8</v>
      </c>
      <c r="Z9" s="248" t="n">
        <f>COUNT(R4:R1048576)</f>
        <v>7</v>
      </c>
      <c r="AA9" s="249" t="n">
        <f>COUNT(T4:T1048576)</f>
        <v>0</v>
      </c>
      <c r="AB9" s="250" t="n">
        <f>SUM(AB4:AB8)</f>
        <v>7</v>
      </c>
      <c r="AR9" t="n">
        <f t="shared" si="9"/>
        <v>6</v>
      </c>
      <c r="AS9" t="str">
        <f t="shared" si="4"/>
        <v/>
      </c>
    </row>
    <row r="10" spans="1:45" x14ac:dyDescent="0.3">
      <c r="A10" s="231">
        <v>108250468</v>
      </c>
      <c r="B10" s="235">
        <v>45931</v>
      </c>
      <c r="C10" s="214">
        <v>30</v>
      </c>
      <c r="D10" s="214">
        <v>1</v>
      </c>
      <c r="E10" s="214">
        <v>7</v>
      </c>
      <c r="F10" s="214">
        <v>5</v>
      </c>
      <c r="G10" s="222" t="inlineStr">
        <is>
          <t>O</t>
        </is>
      </c>
      <c r="H10" s="221"/>
      <c r="I10" s="213"/>
      <c r="J10" s="213"/>
      <c r="K10" s="215"/>
      <c r="L10" s="216" t="inlineStr">
        <is>
          <t>Y</t>
        </is>
      </c>
      <c r="M10" s="217"/>
      <c r="N10" s="176"/>
      <c r="O10" s="241" t="n">
        <f>IF(Q10 = "", "", COUNT(Q$4:$Q10))</f>
        <v>7</v>
      </c>
      <c r="P10" s="241" t="n">
        <f t="shared" si="0"/>
        <v>2025</v>
      </c>
      <c r="Q10" s="242" t="n">
        <f t="shared" si="1"/>
        <v>1</v>
      </c>
      <c r="R10" s="243" t="n">
        <f t="shared" si="5"/>
        <v>1</v>
      </c>
      <c r="S10" s="244" t="str">
        <f t="shared" si="6"/>
        <v>O</v>
      </c>
      <c r="T10" s="245" t="str">
        <f t="shared" si="7"/>
        <v/>
      </c>
      <c r="U10" s="246" t="str">
        <f t="shared" si="8"/>
        <v/>
      </c>
      <c r="V10" s="8"/>
      <c r="X10" s="3" t="s">
        <v>14</v>
      </c>
      <c r="Y10" s="251" t="n">
        <f>IFERROR(AVERAGE(Q4:Q1048576), 0)</f>
        <v>2.85</v>
      </c>
      <c r="Z10" s="252" t="n">
        <f>IFERROR(AVERAGE(R4:R1048576),0)</f>
        <v>2.05714285714286</v>
      </c>
      <c r="AA10" s="253" t="n">
        <f>IFERROR(AVERAGE(T4:T1048576),0)</f>
        <v>0</v>
      </c>
      <c r="AB10" s="254" t="n">
        <f>IFERROR(AVERAGEIF($AS$4:$AS$1048576,"Y", Q4:Q1048576 ),0)</f>
        <v>2.05714285714286</v>
      </c>
      <c r="AR10" t="n">
        <f t="shared" si="9"/>
        <v>7</v>
      </c>
      <c r="AS10" t="str">
        <f t="shared" si="4"/>
        <v>Y</v>
      </c>
    </row>
    <row r="11" spans="1:45" x14ac:dyDescent="0.3">
      <c r="A11" s="231">
        <v>108279485</v>
      </c>
      <c r="B11" s="235">
        <v>45953</v>
      </c>
      <c r="C11" s="214">
        <v>30</v>
      </c>
      <c r="D11" s="214">
        <v>1</v>
      </c>
      <c r="E11" s="214">
        <v>7</v>
      </c>
      <c r="F11" s="214">
        <v>1</v>
      </c>
      <c r="G11" s="222" t="inlineStr">
        <is>
          <t>C</t>
        </is>
      </c>
      <c r="H11" s="221"/>
      <c r="I11" s="213"/>
      <c r="J11" s="213"/>
      <c r="K11" s="215"/>
      <c r="L11" s="216" t="inlineStr">
        <is>
          <t>Y</t>
        </is>
      </c>
      <c r="M11" s="217"/>
      <c r="N11" s="176"/>
      <c r="O11" s="241" t="n">
        <f>IF(Q11 = "", "", COUNT(Q$4:$Q11))</f>
        <v>8</v>
      </c>
      <c r="P11" s="241" t="n">
        <f t="shared" si="0"/>
        <v>2025</v>
      </c>
      <c r="Q11" s="242" t="n">
        <f t="shared" si="1"/>
        <v>8.4</v>
      </c>
      <c r="R11" s="243" t="n">
        <f t="shared" si="5"/>
        <v>8.4</v>
      </c>
      <c r="S11" s="244" t="str">
        <f t="shared" si="6"/>
        <v>C</v>
      </c>
      <c r="T11" s="245" t="str">
        <f t="shared" si="7"/>
        <v/>
      </c>
      <c r="U11" s="246" t="str">
        <f t="shared" si="8"/>
        <v/>
      </c>
      <c r="V11" s="8"/>
      <c r="AR11" t="n">
        <f t="shared" si="9"/>
        <v>8</v>
      </c>
      <c r="AS11" t="str">
        <f t="shared" si="4"/>
        <v>Y</v>
      </c>
    </row>
    <row r="12" spans="1:45" x14ac:dyDescent="0.3">
      <c r="A12" s="231"/>
      <c r="B12" s="235"/>
      <c r="C12" s="214"/>
      <c r="D12" s="214"/>
      <c r="E12" s="214"/>
      <c r="F12" s="214"/>
      <c r="G12" s="222"/>
      <c r="H12" s="221"/>
      <c r="I12" s="213"/>
      <c r="J12" s="213"/>
      <c r="K12" s="215"/>
      <c r="L12" s="216"/>
      <c r="M12" s="217"/>
      <c r="N12" s="176"/>
      <c r="O12" s="241" t="str">
        <f>IF(Q12 = "", "", COUNT(Q$4:$Q12))</f>
        <v/>
      </c>
      <c r="P12" s="241" t="str">
        <f t="shared" si="0"/>
        <v/>
      </c>
      <c r="Q12" s="242" t="str">
        <f t="shared" si="1"/>
        <v/>
      </c>
      <c r="R12" s="243" t="str">
        <f t="shared" si="5"/>
        <v/>
      </c>
      <c r="S12" s="244" t="str">
        <f t="shared" si="6"/>
        <v/>
      </c>
      <c r="T12" s="245" t="str">
        <f t="shared" si="7"/>
        <v/>
      </c>
      <c r="U12" s="246" t="str">
        <f t="shared" si="8"/>
        <v/>
      </c>
      <c r="V12" s="8"/>
      <c r="AR12" t="str">
        <f t="shared" si="9"/>
        <v/>
      </c>
      <c r="AS12" t="str">
        <f t="shared" si="4"/>
        <v/>
      </c>
    </row>
    <row r="13" spans="1:45" ht="15" thickBot="1" x14ac:dyDescent="0.35">
      <c r="A13" s="231"/>
      <c r="B13" s="235"/>
      <c r="C13" s="214"/>
      <c r="D13" s="214"/>
      <c r="E13" s="214"/>
      <c r="F13" s="214"/>
      <c r="G13" s="222"/>
      <c r="H13" s="221"/>
      <c r="I13" s="213"/>
      <c r="J13" s="213"/>
      <c r="K13" s="215"/>
      <c r="L13" s="216"/>
      <c r="M13" s="217"/>
      <c r="N13" s="176"/>
      <c r="O13" s="241" t="str">
        <f>IF(Q13 = "", "", COUNT(Q$4:$Q13))</f>
        <v/>
      </c>
      <c r="P13" s="241" t="str">
        <f t="shared" si="0"/>
        <v/>
      </c>
      <c r="Q13" s="242" t="str">
        <f t="shared" si="1"/>
        <v/>
      </c>
      <c r="R13" s="243" t="str">
        <f t="shared" si="5"/>
        <v/>
      </c>
      <c r="S13" s="244" t="str">
        <f t="shared" si="6"/>
        <v/>
      </c>
      <c r="T13" s="245" t="str">
        <f t="shared" si="7"/>
        <v/>
      </c>
      <c r="U13" s="246" t="str">
        <f t="shared" si="8"/>
        <v/>
      </c>
      <c r="V13" s="8"/>
      <c r="AR13" t="str">
        <f t="shared" si="9"/>
        <v/>
      </c>
      <c r="AS13" t="str">
        <f t="shared" si="4"/>
        <v/>
      </c>
    </row>
    <row r="14" spans="1:45" ht="15" thickBot="1" x14ac:dyDescent="0.35">
      <c r="A14" s="231"/>
      <c r="B14" s="235"/>
      <c r="C14" s="214"/>
      <c r="D14" s="214"/>
      <c r="E14" s="214"/>
      <c r="F14" s="214"/>
      <c r="G14" s="222"/>
      <c r="H14" s="221"/>
      <c r="I14" s="213"/>
      <c r="J14" s="213"/>
      <c r="K14" s="215"/>
      <c r="L14" s="216"/>
      <c r="M14" s="217"/>
      <c r="N14" s="176"/>
      <c r="O14" s="241" t="str">
        <f>IF(Q14 = "", "", COUNT(Q$4:$Q14))</f>
        <v/>
      </c>
      <c r="P14" s="241" t="str">
        <f t="shared" si="0"/>
        <v/>
      </c>
      <c r="Q14" s="242" t="str">
        <f t="shared" si="1"/>
        <v/>
      </c>
      <c r="R14" s="243" t="str">
        <f t="shared" si="5"/>
        <v/>
      </c>
      <c r="S14" s="244" t="str">
        <f t="shared" si="6"/>
        <v/>
      </c>
      <c r="T14" s="245" t="str">
        <f t="shared" si="7"/>
        <v/>
      </c>
      <c r="U14" s="246" t="str">
        <f t="shared" si="8"/>
        <v/>
      </c>
      <c r="V14" s="8"/>
      <c r="W14" s="395" t="s">
        <v>42</v>
      </c>
      <c r="X14" s="396"/>
      <c r="Y14" s="396"/>
      <c r="Z14" s="396"/>
      <c r="AA14" s="396"/>
      <c r="AB14" s="396"/>
      <c r="AC14" s="396"/>
      <c r="AD14" s="397"/>
      <c r="AR14" t="str">
        <f t="shared" si="9"/>
        <v/>
      </c>
      <c r="AS14" t="str">
        <f t="shared" si="4"/>
        <v/>
      </c>
    </row>
    <row r="15" spans="1:45" ht="15" customHeight="1" x14ac:dyDescent="0.3">
      <c r="A15" s="231"/>
      <c r="B15" s="235"/>
      <c r="C15" s="214"/>
      <c r="D15" s="214"/>
      <c r="E15" s="214"/>
      <c r="F15" s="214"/>
      <c r="G15" s="222"/>
      <c r="H15" s="221"/>
      <c r="I15" s="213"/>
      <c r="J15" s="213"/>
      <c r="K15" s="215"/>
      <c r="L15" s="216"/>
      <c r="M15" s="217"/>
      <c r="N15" s="176"/>
      <c r="O15" s="241" t="str">
        <f>IF(Q15 = "", "", COUNT(Q$4:$Q15))</f>
        <v/>
      </c>
      <c r="P15" s="241" t="str">
        <f t="shared" si="0"/>
        <v/>
      </c>
      <c r="Q15" s="242" t="str">
        <f t="shared" si="1"/>
        <v/>
      </c>
      <c r="R15" s="243" t="str">
        <f t="shared" si="5"/>
        <v/>
      </c>
      <c r="S15" s="244" t="str">
        <f t="shared" si="6"/>
        <v/>
      </c>
      <c r="T15" s="245" t="str">
        <f t="shared" si="7"/>
        <v/>
      </c>
      <c r="U15" s="246" t="str">
        <f t="shared" si="8"/>
        <v/>
      </c>
      <c r="V15" s="8"/>
      <c r="W15" s="385">
        <v>1</v>
      </c>
      <c r="X15" s="388" t="s">
        <v>148</v>
      </c>
      <c r="Y15" s="389"/>
      <c r="Z15" s="389"/>
      <c r="AA15" s="389"/>
      <c r="AB15" s="389"/>
      <c r="AC15" s="389"/>
      <c r="AD15" s="390"/>
      <c r="AR15" t="str">
        <f t="shared" ref="AR15:AR46" si="10">IF(O15&gt;0, O15, "")</f>
        <v/>
      </c>
      <c r="AS15" t="str">
        <f t="shared" si="4"/>
        <v/>
      </c>
    </row>
    <row r="16" spans="1:45" ht="15" customHeight="1" x14ac:dyDescent="0.3">
      <c r="A16" s="231"/>
      <c r="B16" s="235"/>
      <c r="C16" s="214"/>
      <c r="D16" s="214"/>
      <c r="E16" s="214"/>
      <c r="F16" s="214"/>
      <c r="G16" s="222"/>
      <c r="H16" s="221"/>
      <c r="I16" s="213"/>
      <c r="J16" s="213"/>
      <c r="K16" s="215"/>
      <c r="L16" s="216"/>
      <c r="M16" s="217"/>
      <c r="N16" s="176"/>
      <c r="O16" s="241" t="str">
        <f>IF(Q16 = "", "", COUNT(Q$4:$Q16))</f>
        <v/>
      </c>
      <c r="P16" s="241" t="str">
        <f t="shared" si="0"/>
        <v/>
      </c>
      <c r="Q16" s="242" t="str">
        <f t="shared" si="1"/>
        <v/>
      </c>
      <c r="R16" s="243" t="str">
        <f t="shared" si="5"/>
        <v/>
      </c>
      <c r="S16" s="244" t="str">
        <f t="shared" si="6"/>
        <v/>
      </c>
      <c r="T16" s="245" t="str">
        <f t="shared" si="7"/>
        <v/>
      </c>
      <c r="U16" s="246" t="str">
        <f t="shared" si="8"/>
        <v/>
      </c>
      <c r="V16" s="8"/>
      <c r="W16" s="386"/>
      <c r="X16" s="391"/>
      <c r="Y16" s="340"/>
      <c r="Z16" s="340"/>
      <c r="AA16" s="340"/>
      <c r="AB16" s="340"/>
      <c r="AC16" s="340"/>
      <c r="AD16" s="382"/>
      <c r="AR16" t="str">
        <f t="shared" si="10"/>
        <v/>
      </c>
      <c r="AS16" t="str">
        <f t="shared" si="4"/>
        <v/>
      </c>
    </row>
    <row r="17" spans="1:45" x14ac:dyDescent="0.3">
      <c r="A17" s="231"/>
      <c r="B17" s="235"/>
      <c r="C17" s="214"/>
      <c r="D17" s="214"/>
      <c r="E17" s="214"/>
      <c r="F17" s="214"/>
      <c r="G17" s="222"/>
      <c r="H17" s="221"/>
      <c r="I17" s="213"/>
      <c r="J17" s="213"/>
      <c r="K17" s="215"/>
      <c r="L17" s="216"/>
      <c r="M17" s="217"/>
      <c r="N17" s="176"/>
      <c r="O17" s="241" t="str">
        <f>IF(Q17 = "", "", COUNT(Q$4:$Q17))</f>
        <v/>
      </c>
      <c r="P17" s="241" t="str">
        <f t="shared" si="0"/>
        <v/>
      </c>
      <c r="Q17" s="242" t="str">
        <f t="shared" si="1"/>
        <v/>
      </c>
      <c r="R17" s="243" t="str">
        <f t="shared" si="5"/>
        <v/>
      </c>
      <c r="S17" s="244" t="str">
        <f t="shared" si="6"/>
        <v/>
      </c>
      <c r="T17" s="245" t="str">
        <f t="shared" si="7"/>
        <v/>
      </c>
      <c r="U17" s="246" t="str">
        <f t="shared" si="8"/>
        <v/>
      </c>
      <c r="V17" s="8"/>
      <c r="W17" s="386"/>
      <c r="X17" s="391"/>
      <c r="Y17" s="340"/>
      <c r="Z17" s="340"/>
      <c r="AA17" s="340"/>
      <c r="AB17" s="340"/>
      <c r="AC17" s="340"/>
      <c r="AD17" s="382"/>
      <c r="AR17" t="str">
        <f t="shared" si="10"/>
        <v/>
      </c>
      <c r="AS17" t="str">
        <f t="shared" si="4"/>
        <v/>
      </c>
    </row>
    <row r="18" spans="1:45" ht="15" customHeight="1" x14ac:dyDescent="0.3">
      <c r="A18" s="231"/>
      <c r="B18" s="235"/>
      <c r="C18" s="214"/>
      <c r="D18" s="214"/>
      <c r="E18" s="214"/>
      <c r="F18" s="214"/>
      <c r="G18" s="222"/>
      <c r="H18" s="221"/>
      <c r="I18" s="213"/>
      <c r="J18" s="213"/>
      <c r="K18" s="215"/>
      <c r="L18" s="216"/>
      <c r="M18" s="217"/>
      <c r="N18" s="176"/>
      <c r="O18" s="241" t="str">
        <f>IF(Q18 = "", "", COUNT(Q$4:$Q18))</f>
        <v/>
      </c>
      <c r="P18" s="241" t="str">
        <f t="shared" si="0"/>
        <v/>
      </c>
      <c r="Q18" s="242" t="str">
        <f t="shared" si="1"/>
        <v/>
      </c>
      <c r="R18" s="243" t="str">
        <f t="shared" si="5"/>
        <v/>
      </c>
      <c r="S18" s="244" t="str">
        <f t="shared" si="6"/>
        <v/>
      </c>
      <c r="T18" s="245" t="str">
        <f t="shared" si="7"/>
        <v/>
      </c>
      <c r="U18" s="246" t="str">
        <f t="shared" si="8"/>
        <v/>
      </c>
      <c r="V18" s="8"/>
      <c r="W18" s="386"/>
      <c r="X18" s="260" t="s">
        <v>47</v>
      </c>
      <c r="Y18" s="340" t="s">
        <v>138</v>
      </c>
      <c r="Z18" s="340"/>
      <c r="AA18" s="340"/>
      <c r="AB18" s="340"/>
      <c r="AC18" s="340"/>
      <c r="AD18" s="382"/>
      <c r="AR18" t="str">
        <f t="shared" si="10"/>
        <v/>
      </c>
      <c r="AS18" t="str">
        <f t="shared" si="4"/>
        <v/>
      </c>
    </row>
    <row r="19" spans="1:45" x14ac:dyDescent="0.3">
      <c r="A19" s="231"/>
      <c r="B19" s="235"/>
      <c r="C19" s="214"/>
      <c r="D19" s="214"/>
      <c r="E19" s="214"/>
      <c r="F19" s="214"/>
      <c r="G19" s="222"/>
      <c r="H19" s="221"/>
      <c r="I19" s="213"/>
      <c r="J19" s="213"/>
      <c r="K19" s="215"/>
      <c r="L19" s="216"/>
      <c r="M19" s="217"/>
      <c r="N19" s="176"/>
      <c r="O19" s="241" t="str">
        <f>IF(Q19 = "", "", COUNT(Q$4:$Q19))</f>
        <v/>
      </c>
      <c r="P19" s="241" t="str">
        <f t="shared" si="0"/>
        <v/>
      </c>
      <c r="Q19" s="242" t="str">
        <f t="shared" si="1"/>
        <v/>
      </c>
      <c r="R19" s="243" t="str">
        <f t="shared" si="5"/>
        <v/>
      </c>
      <c r="S19" s="244" t="str">
        <f t="shared" si="6"/>
        <v/>
      </c>
      <c r="T19" s="245" t="str">
        <f t="shared" si="7"/>
        <v/>
      </c>
      <c r="U19" s="246" t="str">
        <f t="shared" si="8"/>
        <v/>
      </c>
      <c r="V19" s="8"/>
      <c r="W19" s="386"/>
      <c r="X19" s="261"/>
      <c r="Y19" s="340"/>
      <c r="Z19" s="340"/>
      <c r="AA19" s="340"/>
      <c r="AB19" s="340"/>
      <c r="AC19" s="340"/>
      <c r="AD19" s="382"/>
      <c r="AR19" t="str">
        <f t="shared" si="10"/>
        <v/>
      </c>
      <c r="AS19" t="str">
        <f t="shared" si="4"/>
        <v/>
      </c>
    </row>
    <row r="20" spans="1:45" ht="14.4" customHeight="1" x14ac:dyDescent="0.3">
      <c r="A20" s="231"/>
      <c r="B20" s="235"/>
      <c r="C20" s="214"/>
      <c r="D20" s="214"/>
      <c r="E20" s="214"/>
      <c r="F20" s="214"/>
      <c r="G20" s="222"/>
      <c r="H20" s="221"/>
      <c r="I20" s="213"/>
      <c r="J20" s="213"/>
      <c r="K20" s="215"/>
      <c r="L20" s="216"/>
      <c r="M20" s="217"/>
      <c r="N20" s="176"/>
      <c r="O20" s="241" t="str">
        <f>IF(Q20 = "", "", COUNT(Q$4:$Q20))</f>
        <v/>
      </c>
      <c r="P20" s="241" t="str">
        <f t="shared" si="0"/>
        <v/>
      </c>
      <c r="Q20" s="242" t="str">
        <f t="shared" si="1"/>
        <v/>
      </c>
      <c r="R20" s="243" t="str">
        <f t="shared" si="5"/>
        <v/>
      </c>
      <c r="S20" s="244" t="str">
        <f t="shared" si="6"/>
        <v/>
      </c>
      <c r="T20" s="245" t="str">
        <f t="shared" si="7"/>
        <v/>
      </c>
      <c r="U20" s="246" t="str">
        <f t="shared" si="8"/>
        <v/>
      </c>
      <c r="V20" s="8"/>
      <c r="W20" s="386"/>
      <c r="X20" s="260" t="s">
        <v>47</v>
      </c>
      <c r="Y20" s="340" t="s">
        <v>147</v>
      </c>
      <c r="Z20" s="340"/>
      <c r="AA20" s="340"/>
      <c r="AB20" s="340"/>
      <c r="AC20" s="340"/>
      <c r="AD20" s="382"/>
      <c r="AR20" t="str">
        <f t="shared" si="10"/>
        <v/>
      </c>
      <c r="AS20" t="str">
        <f t="shared" si="4"/>
        <v/>
      </c>
    </row>
    <row r="21" spans="1:45" ht="15" customHeight="1" x14ac:dyDescent="0.3">
      <c r="A21" s="231"/>
      <c r="B21" s="235"/>
      <c r="C21" s="214"/>
      <c r="D21" s="214"/>
      <c r="E21" s="214"/>
      <c r="F21" s="214"/>
      <c r="G21" s="222"/>
      <c r="H21" s="221"/>
      <c r="I21" s="213"/>
      <c r="J21" s="213"/>
      <c r="K21" s="215"/>
      <c r="L21" s="216"/>
      <c r="M21" s="217"/>
      <c r="N21" s="176"/>
      <c r="O21" s="241" t="str">
        <f>IF(Q21 = "", "", COUNT(Q$4:$Q21))</f>
        <v/>
      </c>
      <c r="P21" s="241" t="str">
        <f t="shared" si="0"/>
        <v/>
      </c>
      <c r="Q21" s="242" t="str">
        <f t="shared" si="1"/>
        <v/>
      </c>
      <c r="R21" s="243" t="str">
        <f t="shared" si="5"/>
        <v/>
      </c>
      <c r="S21" s="244" t="str">
        <f t="shared" si="6"/>
        <v/>
      </c>
      <c r="T21" s="245" t="str">
        <f t="shared" si="7"/>
        <v/>
      </c>
      <c r="U21" s="246" t="str">
        <f t="shared" si="8"/>
        <v/>
      </c>
      <c r="V21" s="8"/>
      <c r="W21" s="386"/>
      <c r="X21" s="261"/>
      <c r="Y21" s="340"/>
      <c r="Z21" s="340"/>
      <c r="AA21" s="340"/>
      <c r="AB21" s="340"/>
      <c r="AC21" s="340"/>
      <c r="AD21" s="382"/>
      <c r="AR21" t="str">
        <f t="shared" si="10"/>
        <v/>
      </c>
      <c r="AS21" t="str">
        <f t="shared" si="4"/>
        <v/>
      </c>
    </row>
    <row r="22" spans="1:45" x14ac:dyDescent="0.3">
      <c r="A22" s="231"/>
      <c r="B22" s="235"/>
      <c r="C22" s="214"/>
      <c r="D22" s="214"/>
      <c r="E22" s="214"/>
      <c r="F22" s="214"/>
      <c r="G22" s="222"/>
      <c r="H22" s="221"/>
      <c r="I22" s="213"/>
      <c r="J22" s="213"/>
      <c r="K22" s="215"/>
      <c r="L22" s="216"/>
      <c r="M22" s="217"/>
      <c r="N22" s="176"/>
      <c r="O22" s="241" t="str">
        <f>IF(Q22 = "", "", COUNT(Q$4:$Q22))</f>
        <v/>
      </c>
      <c r="P22" s="241" t="str">
        <f t="shared" si="0"/>
        <v/>
      </c>
      <c r="Q22" s="242" t="str">
        <f t="shared" si="1"/>
        <v/>
      </c>
      <c r="R22" s="243" t="str">
        <f t="shared" si="5"/>
        <v/>
      </c>
      <c r="S22" s="244" t="str">
        <f t="shared" si="6"/>
        <v/>
      </c>
      <c r="T22" s="245" t="str">
        <f t="shared" si="7"/>
        <v/>
      </c>
      <c r="U22" s="246" t="str">
        <f t="shared" si="8"/>
        <v/>
      </c>
      <c r="V22" s="8"/>
      <c r="W22" s="386"/>
      <c r="X22" s="262"/>
      <c r="Y22" s="340"/>
      <c r="Z22" s="340"/>
      <c r="AA22" s="340"/>
      <c r="AB22" s="340"/>
      <c r="AC22" s="340"/>
      <c r="AD22" s="382"/>
      <c r="AR22" t="str">
        <f t="shared" si="10"/>
        <v/>
      </c>
      <c r="AS22" t="str">
        <f t="shared" si="4"/>
        <v/>
      </c>
    </row>
    <row r="23" spans="1:45" ht="15" customHeight="1" x14ac:dyDescent="0.3">
      <c r="A23" s="231"/>
      <c r="B23" s="235"/>
      <c r="C23" s="214"/>
      <c r="D23" s="214"/>
      <c r="E23" s="214"/>
      <c r="F23" s="214"/>
      <c r="G23" s="222"/>
      <c r="H23" s="221"/>
      <c r="I23" s="213"/>
      <c r="J23" s="213"/>
      <c r="K23" s="215"/>
      <c r="L23" s="216"/>
      <c r="M23" s="217"/>
      <c r="N23" s="176"/>
      <c r="O23" s="241" t="str">
        <f>IF(Q23 = "", "", COUNT(Q$4:$Q23))</f>
        <v/>
      </c>
      <c r="P23" s="241" t="str">
        <f t="shared" si="0"/>
        <v/>
      </c>
      <c r="Q23" s="242" t="str">
        <f t="shared" si="1"/>
        <v/>
      </c>
      <c r="R23" s="243" t="str">
        <f t="shared" si="5"/>
        <v/>
      </c>
      <c r="S23" s="244" t="str">
        <f t="shared" si="6"/>
        <v/>
      </c>
      <c r="T23" s="245" t="str">
        <f t="shared" si="7"/>
        <v/>
      </c>
      <c r="U23" s="246" t="str">
        <f t="shared" si="8"/>
        <v/>
      </c>
      <c r="V23" s="8"/>
      <c r="W23" s="386"/>
      <c r="X23" s="262"/>
      <c r="Y23" s="340"/>
      <c r="Z23" s="340"/>
      <c r="AA23" s="340"/>
      <c r="AB23" s="340"/>
      <c r="AC23" s="340"/>
      <c r="AD23" s="382"/>
      <c r="AR23" t="str">
        <f t="shared" si="10"/>
        <v/>
      </c>
      <c r="AS23" t="str">
        <f t="shared" si="4"/>
        <v/>
      </c>
    </row>
    <row r="24" spans="1:45" x14ac:dyDescent="0.3">
      <c r="A24" s="231"/>
      <c r="B24" s="235"/>
      <c r="C24" s="214"/>
      <c r="D24" s="214"/>
      <c r="E24" s="214"/>
      <c r="F24" s="214"/>
      <c r="G24" s="222"/>
      <c r="H24" s="221"/>
      <c r="I24" s="213"/>
      <c r="J24" s="213"/>
      <c r="K24" s="215"/>
      <c r="L24" s="216"/>
      <c r="M24" s="217"/>
      <c r="N24" s="176"/>
      <c r="O24" s="241" t="str">
        <f>IF(Q24 = "", "", COUNT(Q$4:$Q24))</f>
        <v/>
      </c>
      <c r="P24" s="241" t="str">
        <f t="shared" si="0"/>
        <v/>
      </c>
      <c r="Q24" s="242" t="str">
        <f t="shared" si="1"/>
        <v/>
      </c>
      <c r="R24" s="243" t="str">
        <f t="shared" si="5"/>
        <v/>
      </c>
      <c r="S24" s="244" t="str">
        <f t="shared" si="6"/>
        <v/>
      </c>
      <c r="T24" s="245" t="str">
        <f t="shared" si="7"/>
        <v/>
      </c>
      <c r="U24" s="246" t="str">
        <f t="shared" si="8"/>
        <v/>
      </c>
      <c r="V24" s="8"/>
      <c r="W24" s="386"/>
      <c r="X24" s="262"/>
      <c r="Y24" s="340"/>
      <c r="Z24" s="340"/>
      <c r="AA24" s="340"/>
      <c r="AB24" s="340"/>
      <c r="AC24" s="340"/>
      <c r="AD24" s="382"/>
      <c r="AR24" t="str">
        <f t="shared" si="10"/>
        <v/>
      </c>
      <c r="AS24" t="str">
        <f t="shared" si="4"/>
        <v/>
      </c>
    </row>
    <row r="25" spans="1:45" ht="14.4" customHeight="1" x14ac:dyDescent="0.3">
      <c r="A25" s="231"/>
      <c r="B25" s="235"/>
      <c r="C25" s="214"/>
      <c r="D25" s="214"/>
      <c r="E25" s="214"/>
      <c r="F25" s="214"/>
      <c r="G25" s="222"/>
      <c r="H25" s="221"/>
      <c r="I25" s="213"/>
      <c r="J25" s="213"/>
      <c r="K25" s="215"/>
      <c r="L25" s="216"/>
      <c r="M25" s="217"/>
      <c r="N25" s="176"/>
      <c r="O25" s="241" t="str">
        <f>IF(Q25 = "", "", COUNT(Q$4:$Q25))</f>
        <v/>
      </c>
      <c r="P25" s="241" t="str">
        <f t="shared" si="0"/>
        <v/>
      </c>
      <c r="Q25" s="242" t="str">
        <f t="shared" si="1"/>
        <v/>
      </c>
      <c r="R25" s="243" t="str">
        <f t="shared" si="5"/>
        <v/>
      </c>
      <c r="S25" s="244" t="str">
        <f t="shared" si="6"/>
        <v/>
      </c>
      <c r="T25" s="245" t="str">
        <f t="shared" si="7"/>
        <v/>
      </c>
      <c r="U25" s="246" t="str">
        <f t="shared" si="8"/>
        <v/>
      </c>
      <c r="V25" s="8"/>
      <c r="W25" s="386"/>
      <c r="X25" s="260" t="s">
        <v>47</v>
      </c>
      <c r="Y25" s="340" t="s">
        <v>146</v>
      </c>
      <c r="Z25" s="340"/>
      <c r="AA25" s="340"/>
      <c r="AB25" s="340"/>
      <c r="AC25" s="340"/>
      <c r="AD25" s="382"/>
      <c r="AR25" t="str">
        <f t="shared" si="10"/>
        <v/>
      </c>
      <c r="AS25" t="str">
        <f t="shared" si="4"/>
        <v/>
      </c>
    </row>
    <row r="26" spans="1:45" ht="15" customHeight="1" x14ac:dyDescent="0.3">
      <c r="A26" s="231"/>
      <c r="B26" s="235"/>
      <c r="C26" s="214"/>
      <c r="D26" s="214"/>
      <c r="E26" s="214"/>
      <c r="F26" s="214"/>
      <c r="G26" s="222"/>
      <c r="H26" s="221"/>
      <c r="I26" s="213"/>
      <c r="J26" s="213"/>
      <c r="K26" s="215"/>
      <c r="L26" s="216"/>
      <c r="M26" s="217"/>
      <c r="N26" s="176"/>
      <c r="O26" s="241" t="str">
        <f>IF(Q26 = "", "", COUNT(Q$4:$Q26))</f>
        <v/>
      </c>
      <c r="P26" s="241" t="str">
        <f t="shared" si="0"/>
        <v/>
      </c>
      <c r="Q26" s="242" t="str">
        <f t="shared" si="1"/>
        <v/>
      </c>
      <c r="R26" s="243" t="str">
        <f t="shared" si="5"/>
        <v/>
      </c>
      <c r="S26" s="244" t="str">
        <f t="shared" si="6"/>
        <v/>
      </c>
      <c r="T26" s="245" t="str">
        <f t="shared" si="7"/>
        <v/>
      </c>
      <c r="U26" s="246" t="str">
        <f t="shared" si="8"/>
        <v/>
      </c>
      <c r="V26" s="8"/>
      <c r="W26" s="386"/>
      <c r="X26" s="262"/>
      <c r="Y26" s="340"/>
      <c r="Z26" s="340"/>
      <c r="AA26" s="340"/>
      <c r="AB26" s="340"/>
      <c r="AC26" s="340"/>
      <c r="AD26" s="382"/>
      <c r="AR26" t="str">
        <f t="shared" si="10"/>
        <v/>
      </c>
      <c r="AS26" t="str">
        <f t="shared" si="4"/>
        <v/>
      </c>
    </row>
    <row r="27" spans="1:45" ht="14.4" customHeight="1" x14ac:dyDescent="0.3">
      <c r="A27" s="231"/>
      <c r="B27" s="235"/>
      <c r="C27" s="214"/>
      <c r="D27" s="214"/>
      <c r="E27" s="214"/>
      <c r="F27" s="214"/>
      <c r="G27" s="222"/>
      <c r="H27" s="221"/>
      <c r="I27" s="213"/>
      <c r="J27" s="213"/>
      <c r="K27" s="215"/>
      <c r="L27" s="216"/>
      <c r="M27" s="217"/>
      <c r="N27" s="176"/>
      <c r="O27" s="241" t="str">
        <f>IF(Q27 = "", "", COUNT(Q$4:$Q27))</f>
        <v/>
      </c>
      <c r="P27" s="241" t="str">
        <f t="shared" si="0"/>
        <v/>
      </c>
      <c r="Q27" s="242" t="str">
        <f t="shared" si="1"/>
        <v/>
      </c>
      <c r="R27" s="243" t="str">
        <f t="shared" si="5"/>
        <v/>
      </c>
      <c r="S27" s="244" t="str">
        <f t="shared" si="6"/>
        <v/>
      </c>
      <c r="T27" s="245" t="str">
        <f t="shared" si="7"/>
        <v/>
      </c>
      <c r="U27" s="246" t="str">
        <f t="shared" si="8"/>
        <v/>
      </c>
      <c r="V27" s="8"/>
      <c r="W27" s="386"/>
      <c r="X27" s="260" t="s">
        <v>47</v>
      </c>
      <c r="Y27" s="340" t="s">
        <v>139</v>
      </c>
      <c r="Z27" s="340"/>
      <c r="AA27" s="340"/>
      <c r="AB27" s="340"/>
      <c r="AC27" s="340"/>
      <c r="AD27" s="382"/>
      <c r="AR27" t="str">
        <f t="shared" si="10"/>
        <v/>
      </c>
      <c r="AS27" t="str">
        <f t="shared" si="4"/>
        <v/>
      </c>
    </row>
    <row r="28" spans="1:45" ht="15" customHeight="1" x14ac:dyDescent="0.3">
      <c r="A28" s="231"/>
      <c r="B28" s="235"/>
      <c r="C28" s="214"/>
      <c r="D28" s="214"/>
      <c r="E28" s="214"/>
      <c r="F28" s="214"/>
      <c r="G28" s="222"/>
      <c r="H28" s="221"/>
      <c r="I28" s="213"/>
      <c r="J28" s="213"/>
      <c r="K28" s="215"/>
      <c r="L28" s="216"/>
      <c r="M28" s="217"/>
      <c r="N28" s="176"/>
      <c r="O28" s="241" t="str">
        <f>IF(Q28 = "", "", COUNT(Q$4:$Q28))</f>
        <v/>
      </c>
      <c r="P28" s="241" t="str">
        <f t="shared" si="0"/>
        <v/>
      </c>
      <c r="Q28" s="242" t="str">
        <f t="shared" si="1"/>
        <v/>
      </c>
      <c r="R28" s="243" t="str">
        <f t="shared" si="5"/>
        <v/>
      </c>
      <c r="S28" s="244" t="str">
        <f t="shared" si="6"/>
        <v/>
      </c>
      <c r="T28" s="245" t="str">
        <f t="shared" si="7"/>
        <v/>
      </c>
      <c r="U28" s="246" t="str">
        <f t="shared" si="8"/>
        <v/>
      </c>
      <c r="V28" s="8"/>
      <c r="W28" s="386"/>
      <c r="X28" s="262"/>
      <c r="Y28" s="340"/>
      <c r="Z28" s="340"/>
      <c r="AA28" s="340"/>
      <c r="AB28" s="340"/>
      <c r="AC28" s="340"/>
      <c r="AD28" s="382"/>
      <c r="AR28" t="str">
        <f t="shared" si="10"/>
        <v/>
      </c>
      <c r="AS28" t="str">
        <f t="shared" si="4"/>
        <v/>
      </c>
    </row>
    <row r="29" spans="1:45" x14ac:dyDescent="0.3">
      <c r="A29" s="231"/>
      <c r="B29" s="235"/>
      <c r="C29" s="214"/>
      <c r="D29" s="214"/>
      <c r="E29" s="214"/>
      <c r="F29" s="214"/>
      <c r="G29" s="222"/>
      <c r="H29" s="221"/>
      <c r="I29" s="213"/>
      <c r="J29" s="213"/>
      <c r="K29" s="215"/>
      <c r="L29" s="216"/>
      <c r="M29" s="217"/>
      <c r="N29" s="176"/>
      <c r="O29" s="241" t="str">
        <f>IF(Q29 = "", "", COUNT(Q$4:$Q29))</f>
        <v/>
      </c>
      <c r="P29" s="241" t="str">
        <f t="shared" si="0"/>
        <v/>
      </c>
      <c r="Q29" s="242" t="str">
        <f t="shared" si="1"/>
        <v/>
      </c>
      <c r="R29" s="243" t="str">
        <f t="shared" si="5"/>
        <v/>
      </c>
      <c r="S29" s="244" t="str">
        <f t="shared" si="6"/>
        <v/>
      </c>
      <c r="T29" s="245" t="str">
        <f t="shared" si="7"/>
        <v/>
      </c>
      <c r="U29" s="246" t="str">
        <f t="shared" si="8"/>
        <v/>
      </c>
      <c r="V29" s="8"/>
      <c r="W29" s="387"/>
      <c r="X29" s="262"/>
      <c r="Y29" s="383"/>
      <c r="Z29" s="383"/>
      <c r="AA29" s="383"/>
      <c r="AB29" s="383"/>
      <c r="AC29" s="383"/>
      <c r="AD29" s="384"/>
      <c r="AR29" t="str">
        <f t="shared" si="10"/>
        <v/>
      </c>
      <c r="AS29" t="str">
        <f t="shared" si="4"/>
        <v/>
      </c>
    </row>
    <row r="30" spans="1:45" ht="14.4" customHeight="1" x14ac:dyDescent="0.3">
      <c r="A30" s="231"/>
      <c r="B30" s="235"/>
      <c r="C30" s="214"/>
      <c r="D30" s="214"/>
      <c r="E30" s="214"/>
      <c r="F30" s="214"/>
      <c r="G30" s="222"/>
      <c r="H30" s="221"/>
      <c r="I30" s="213"/>
      <c r="J30" s="213"/>
      <c r="K30" s="215"/>
      <c r="L30" s="216"/>
      <c r="M30" s="217"/>
      <c r="N30" s="176"/>
      <c r="O30" s="241" t="str">
        <f>IF(Q30 = "", "", COUNT(Q$4:$Q30))</f>
        <v/>
      </c>
      <c r="P30" s="241" t="str">
        <f t="shared" si="0"/>
        <v/>
      </c>
      <c r="Q30" s="242" t="str">
        <f t="shared" si="1"/>
        <v/>
      </c>
      <c r="R30" s="243" t="str">
        <f t="shared" si="5"/>
        <v/>
      </c>
      <c r="S30" s="244" t="str">
        <f t="shared" si="6"/>
        <v/>
      </c>
      <c r="T30" s="245" t="str">
        <f t="shared" si="7"/>
        <v/>
      </c>
      <c r="U30" s="246" t="str">
        <f t="shared" si="8"/>
        <v/>
      </c>
      <c r="V30" s="8"/>
      <c r="W30" s="407">
        <v>2</v>
      </c>
      <c r="X30" s="417" t="s">
        <v>144</v>
      </c>
      <c r="Y30" s="417"/>
      <c r="Z30" s="417"/>
      <c r="AA30" s="417"/>
      <c r="AB30" s="417"/>
      <c r="AC30" s="417"/>
      <c r="AD30" s="418"/>
      <c r="AR30" t="str">
        <f t="shared" si="10"/>
        <v/>
      </c>
      <c r="AS30" t="str">
        <f t="shared" si="4"/>
        <v/>
      </c>
    </row>
    <row r="31" spans="1:45" ht="15" customHeight="1" x14ac:dyDescent="0.3">
      <c r="A31" s="231"/>
      <c r="B31" s="235"/>
      <c r="C31" s="214"/>
      <c r="D31" s="214"/>
      <c r="E31" s="214"/>
      <c r="F31" s="214"/>
      <c r="G31" s="222"/>
      <c r="H31" s="221"/>
      <c r="I31" s="213"/>
      <c r="J31" s="213"/>
      <c r="K31" s="215"/>
      <c r="L31" s="216"/>
      <c r="M31" s="217"/>
      <c r="N31" s="176"/>
      <c r="O31" s="241" t="str">
        <f>IF(Q31 = "", "", COUNT(Q$4:$Q31))</f>
        <v/>
      </c>
      <c r="P31" s="241" t="str">
        <f t="shared" si="0"/>
        <v/>
      </c>
      <c r="Q31" s="242" t="str">
        <f t="shared" si="1"/>
        <v/>
      </c>
      <c r="R31" s="243" t="str">
        <f t="shared" si="5"/>
        <v/>
      </c>
      <c r="S31" s="244" t="str">
        <f t="shared" si="6"/>
        <v/>
      </c>
      <c r="T31" s="245" t="str">
        <f t="shared" si="7"/>
        <v/>
      </c>
      <c r="U31" s="246" t="str">
        <f t="shared" si="8"/>
        <v/>
      </c>
      <c r="V31" s="8"/>
      <c r="W31" s="415"/>
      <c r="X31" s="419"/>
      <c r="Y31" s="419"/>
      <c r="Z31" s="419"/>
      <c r="AA31" s="419"/>
      <c r="AB31" s="419"/>
      <c r="AC31" s="419"/>
      <c r="AD31" s="420"/>
      <c r="AR31" t="str">
        <f t="shared" si="10"/>
        <v/>
      </c>
      <c r="AS31" t="str">
        <f t="shared" si="4"/>
        <v/>
      </c>
    </row>
    <row r="32" spans="1:45" x14ac:dyDescent="0.3">
      <c r="A32" s="231"/>
      <c r="B32" s="235"/>
      <c r="C32" s="214"/>
      <c r="D32" s="214"/>
      <c r="E32" s="214"/>
      <c r="F32" s="214"/>
      <c r="G32" s="222"/>
      <c r="H32" s="221"/>
      <c r="I32" s="213"/>
      <c r="J32" s="213"/>
      <c r="K32" s="215"/>
      <c r="L32" s="216"/>
      <c r="M32" s="217"/>
      <c r="N32" s="176"/>
      <c r="O32" s="241" t="str">
        <f>IF(Q32 = "", "", COUNT(Q$4:$Q32))</f>
        <v/>
      </c>
      <c r="P32" s="241" t="str">
        <f t="shared" si="0"/>
        <v/>
      </c>
      <c r="Q32" s="242" t="str">
        <f t="shared" si="1"/>
        <v/>
      </c>
      <c r="R32" s="243" t="str">
        <f t="shared" si="5"/>
        <v/>
      </c>
      <c r="S32" s="244" t="str">
        <f t="shared" si="6"/>
        <v/>
      </c>
      <c r="T32" s="245" t="str">
        <f t="shared" si="7"/>
        <v/>
      </c>
      <c r="U32" s="246" t="str">
        <f t="shared" si="8"/>
        <v/>
      </c>
      <c r="V32" s="8"/>
      <c r="W32" s="416"/>
      <c r="X32" s="421"/>
      <c r="Y32" s="421"/>
      <c r="Z32" s="421"/>
      <c r="AA32" s="421"/>
      <c r="AB32" s="421"/>
      <c r="AC32" s="421"/>
      <c r="AD32" s="422"/>
      <c r="AR32" t="str">
        <f t="shared" si="10"/>
        <v/>
      </c>
      <c r="AS32" t="str">
        <f t="shared" si="4"/>
        <v/>
      </c>
    </row>
    <row r="33" spans="1:45" x14ac:dyDescent="0.3">
      <c r="A33" s="231"/>
      <c r="B33" s="235"/>
      <c r="C33" s="214"/>
      <c r="D33" s="214"/>
      <c r="E33" s="214"/>
      <c r="F33" s="214"/>
      <c r="G33" s="222"/>
      <c r="H33" s="221"/>
      <c r="I33" s="213"/>
      <c r="J33" s="213"/>
      <c r="K33" s="215"/>
      <c r="L33" s="216"/>
      <c r="M33" s="217"/>
      <c r="N33" s="176"/>
      <c r="O33" s="241" t="str">
        <f>IF(Q33 = "", "", COUNT(Q$4:$Q33))</f>
        <v/>
      </c>
      <c r="P33" s="241" t="str">
        <f t="shared" si="0"/>
        <v/>
      </c>
      <c r="Q33" s="242" t="str">
        <f t="shared" si="1"/>
        <v/>
      </c>
      <c r="R33" s="243" t="str">
        <f t="shared" si="5"/>
        <v/>
      </c>
      <c r="S33" s="244" t="str">
        <f t="shared" si="6"/>
        <v/>
      </c>
      <c r="T33" s="245" t="str">
        <f t="shared" si="7"/>
        <v/>
      </c>
      <c r="U33" s="246" t="str">
        <f t="shared" si="8"/>
        <v/>
      </c>
      <c r="V33" s="8"/>
      <c r="W33" s="407">
        <v>3</v>
      </c>
      <c r="X33" s="404" t="s">
        <v>145</v>
      </c>
      <c r="Y33" s="405"/>
      <c r="Z33" s="405"/>
      <c r="AA33" s="405"/>
      <c r="AB33" s="405"/>
      <c r="AC33" s="405"/>
      <c r="AD33" s="406"/>
      <c r="AR33" t="str">
        <f t="shared" si="10"/>
        <v/>
      </c>
      <c r="AS33" t="str">
        <f t="shared" si="4"/>
        <v/>
      </c>
    </row>
    <row r="34" spans="1:45" x14ac:dyDescent="0.3">
      <c r="A34" s="231"/>
      <c r="B34" s="235"/>
      <c r="C34" s="214"/>
      <c r="D34" s="214"/>
      <c r="E34" s="214"/>
      <c r="F34" s="214"/>
      <c r="G34" s="222"/>
      <c r="H34" s="221"/>
      <c r="I34" s="213"/>
      <c r="J34" s="213"/>
      <c r="K34" s="215"/>
      <c r="L34" s="216"/>
      <c r="M34" s="217"/>
      <c r="N34" s="176"/>
      <c r="O34" s="241" t="str">
        <f>IF(Q34 = "", "", COUNT(Q$4:$Q34))</f>
        <v/>
      </c>
      <c r="P34" s="241" t="str">
        <f t="shared" si="0"/>
        <v/>
      </c>
      <c r="Q34" s="242" t="str">
        <f t="shared" si="1"/>
        <v/>
      </c>
      <c r="R34" s="243" t="str">
        <f t="shared" si="5"/>
        <v/>
      </c>
      <c r="S34" s="244" t="str">
        <f t="shared" si="6"/>
        <v/>
      </c>
      <c r="T34" s="245" t="str">
        <f t="shared" si="7"/>
        <v/>
      </c>
      <c r="U34" s="246" t="str">
        <f t="shared" si="8"/>
        <v/>
      </c>
      <c r="V34" s="8"/>
      <c r="W34" s="415"/>
      <c r="X34" s="272" t="s">
        <v>47</v>
      </c>
      <c r="Y34" s="16" t="s">
        <v>149</v>
      </c>
      <c r="Z34" s="16"/>
      <c r="AA34" s="16"/>
      <c r="AB34" s="16"/>
      <c r="AC34" s="16"/>
      <c r="AD34" s="21"/>
      <c r="AR34" t="str">
        <f t="shared" si="10"/>
        <v/>
      </c>
      <c r="AS34" t="str">
        <f t="shared" si="4"/>
        <v/>
      </c>
    </row>
    <row r="35" spans="1:45" x14ac:dyDescent="0.3">
      <c r="A35" s="231"/>
      <c r="B35" s="235"/>
      <c r="C35" s="214"/>
      <c r="D35" s="214"/>
      <c r="E35" s="214"/>
      <c r="F35" s="214"/>
      <c r="G35" s="222"/>
      <c r="H35" s="221"/>
      <c r="I35" s="213"/>
      <c r="J35" s="213"/>
      <c r="K35" s="215"/>
      <c r="L35" s="216"/>
      <c r="M35" s="217"/>
      <c r="N35" s="176"/>
      <c r="O35" s="241" t="str">
        <f>IF(Q35 = "", "", COUNT(Q$4:$Q35))</f>
        <v/>
      </c>
      <c r="P35" s="241" t="str">
        <f t="shared" si="0"/>
        <v/>
      </c>
      <c r="Q35" s="242" t="str">
        <f t="shared" si="1"/>
        <v/>
      </c>
      <c r="R35" s="243" t="str">
        <f t="shared" si="5"/>
        <v/>
      </c>
      <c r="S35" s="244" t="str">
        <f t="shared" si="6"/>
        <v/>
      </c>
      <c r="T35" s="245" t="str">
        <f t="shared" si="7"/>
        <v/>
      </c>
      <c r="U35" s="246" t="str">
        <f t="shared" si="8"/>
        <v/>
      </c>
      <c r="V35" s="8"/>
      <c r="W35" s="415"/>
      <c r="X35" s="272" t="s">
        <v>47</v>
      </c>
      <c r="Y35" s="16" t="s">
        <v>150</v>
      </c>
      <c r="Z35" s="16"/>
      <c r="AA35" s="16"/>
      <c r="AB35" s="16"/>
      <c r="AC35" s="16"/>
      <c r="AD35" s="21"/>
      <c r="AR35" t="str">
        <f t="shared" si="10"/>
        <v/>
      </c>
      <c r="AS35" t="str">
        <f t="shared" si="4"/>
        <v/>
      </c>
    </row>
    <row r="36" spans="1:45" x14ac:dyDescent="0.3">
      <c r="A36" s="231"/>
      <c r="B36" s="235"/>
      <c r="C36" s="214"/>
      <c r="D36" s="214"/>
      <c r="E36" s="214"/>
      <c r="F36" s="214"/>
      <c r="G36" s="222"/>
      <c r="H36" s="221"/>
      <c r="I36" s="213"/>
      <c r="J36" s="213"/>
      <c r="K36" s="215"/>
      <c r="L36" s="216"/>
      <c r="M36" s="217"/>
      <c r="N36" s="176"/>
      <c r="O36" s="241" t="str">
        <f>IF(Q36 = "", "", COUNT(Q$4:$Q36))</f>
        <v/>
      </c>
      <c r="P36" s="241" t="str">
        <f t="shared" si="0"/>
        <v/>
      </c>
      <c r="Q36" s="242" t="str">
        <f t="shared" si="1"/>
        <v/>
      </c>
      <c r="R36" s="243" t="str">
        <f t="shared" si="5"/>
        <v/>
      </c>
      <c r="S36" s="244" t="str">
        <f t="shared" si="6"/>
        <v/>
      </c>
      <c r="T36" s="245" t="str">
        <f t="shared" si="7"/>
        <v/>
      </c>
      <c r="U36" s="246" t="str">
        <f t="shared" si="8"/>
        <v/>
      </c>
      <c r="V36" s="8"/>
      <c r="W36" s="415"/>
      <c r="X36" s="272" t="s">
        <v>47</v>
      </c>
      <c r="Y36" s="16" t="s">
        <v>61</v>
      </c>
      <c r="Z36" s="16"/>
      <c r="AA36" s="16"/>
      <c r="AB36" s="16"/>
      <c r="AC36" s="16"/>
      <c r="AD36" s="21"/>
      <c r="AR36" t="str">
        <f t="shared" si="10"/>
        <v/>
      </c>
      <c r="AS36" t="str">
        <f t="shared" si="4"/>
        <v/>
      </c>
    </row>
    <row r="37" spans="1:45" x14ac:dyDescent="0.3">
      <c r="A37" s="231"/>
      <c r="B37" s="235"/>
      <c r="C37" s="214"/>
      <c r="D37" s="214"/>
      <c r="E37" s="214"/>
      <c r="F37" s="214"/>
      <c r="G37" s="222"/>
      <c r="H37" s="221"/>
      <c r="I37" s="213"/>
      <c r="J37" s="213"/>
      <c r="K37" s="215"/>
      <c r="L37" s="216"/>
      <c r="M37" s="217"/>
      <c r="N37" s="176"/>
      <c r="O37" s="241" t="str">
        <f>IF(Q37 = "", "", COUNT(Q$4:$Q37))</f>
        <v/>
      </c>
      <c r="P37" s="241" t="str">
        <f t="shared" si="0"/>
        <v/>
      </c>
      <c r="Q37" s="242" t="str">
        <f t="shared" si="1"/>
        <v/>
      </c>
      <c r="R37" s="243" t="str">
        <f t="shared" si="5"/>
        <v/>
      </c>
      <c r="S37" s="244" t="str">
        <f t="shared" si="6"/>
        <v/>
      </c>
      <c r="T37" s="245" t="str">
        <f t="shared" si="7"/>
        <v/>
      </c>
      <c r="U37" s="246" t="str">
        <f t="shared" si="8"/>
        <v/>
      </c>
      <c r="V37" s="8"/>
      <c r="W37" s="415"/>
      <c r="X37" s="272" t="s">
        <v>47</v>
      </c>
      <c r="Y37" s="423" t="s">
        <v>233</v>
      </c>
      <c r="Z37" s="423"/>
      <c r="AA37" s="423"/>
      <c r="AB37" s="423"/>
      <c r="AC37" s="423"/>
      <c r="AD37" s="424"/>
      <c r="AR37" t="str">
        <f t="shared" si="10"/>
        <v/>
      </c>
      <c r="AS37" t="str">
        <f t="shared" si="4"/>
        <v/>
      </c>
    </row>
    <row r="38" spans="1:45" ht="14.4" customHeight="1" x14ac:dyDescent="0.3">
      <c r="A38" s="231"/>
      <c r="B38" s="235"/>
      <c r="C38" s="214"/>
      <c r="D38" s="214"/>
      <c r="E38" s="214"/>
      <c r="F38" s="214"/>
      <c r="G38" s="222"/>
      <c r="H38" s="221"/>
      <c r="I38" s="213"/>
      <c r="J38" s="213"/>
      <c r="K38" s="215"/>
      <c r="L38" s="216"/>
      <c r="M38" s="217"/>
      <c r="N38" s="176"/>
      <c r="O38" s="241" t="str">
        <f>IF(Q38 = "", "", COUNT(Q$4:$Q38))</f>
        <v/>
      </c>
      <c r="P38" s="241" t="str">
        <f t="shared" si="0"/>
        <v/>
      </c>
      <c r="Q38" s="242" t="str">
        <f t="shared" si="1"/>
        <v/>
      </c>
      <c r="R38" s="243" t="str">
        <f t="shared" si="5"/>
        <v/>
      </c>
      <c r="S38" s="244" t="str">
        <f t="shared" si="6"/>
        <v/>
      </c>
      <c r="T38" s="245" t="str">
        <f t="shared" si="7"/>
        <v/>
      </c>
      <c r="U38" s="246" t="str">
        <f t="shared" si="8"/>
        <v/>
      </c>
      <c r="V38" s="8"/>
      <c r="W38" s="415"/>
      <c r="X38" s="273"/>
      <c r="Y38" s="423"/>
      <c r="Z38" s="423"/>
      <c r="AA38" s="423"/>
      <c r="AB38" s="423"/>
      <c r="AC38" s="423"/>
      <c r="AD38" s="424"/>
      <c r="AR38" t="str">
        <f t="shared" si="10"/>
        <v/>
      </c>
      <c r="AS38" t="str">
        <f t="shared" si="4"/>
        <v/>
      </c>
    </row>
    <row r="39" spans="1:45" x14ac:dyDescent="0.3">
      <c r="A39" s="231"/>
      <c r="B39" s="235"/>
      <c r="C39" s="214"/>
      <c r="D39" s="214"/>
      <c r="E39" s="214"/>
      <c r="F39" s="214"/>
      <c r="G39" s="222"/>
      <c r="H39" s="221"/>
      <c r="I39" s="213"/>
      <c r="J39" s="213"/>
      <c r="K39" s="215"/>
      <c r="L39" s="216"/>
      <c r="M39" s="217"/>
      <c r="N39" s="176"/>
      <c r="O39" s="241" t="str">
        <f>IF(Q39 = "", "", COUNT(Q$4:$Q39))</f>
        <v/>
      </c>
      <c r="P39" s="241" t="str">
        <f t="shared" si="0"/>
        <v/>
      </c>
      <c r="Q39" s="242" t="str">
        <f t="shared" si="1"/>
        <v/>
      </c>
      <c r="R39" s="243" t="str">
        <f t="shared" si="5"/>
        <v/>
      </c>
      <c r="S39" s="244" t="str">
        <f t="shared" si="6"/>
        <v/>
      </c>
      <c r="T39" s="245" t="str">
        <f t="shared" si="7"/>
        <v/>
      </c>
      <c r="U39" s="246" t="str">
        <f t="shared" si="8"/>
        <v/>
      </c>
      <c r="V39" s="8"/>
      <c r="W39" s="415"/>
      <c r="X39" s="273"/>
      <c r="Y39" s="423"/>
      <c r="Z39" s="423"/>
      <c r="AA39" s="423"/>
      <c r="AB39" s="423"/>
      <c r="AC39" s="423"/>
      <c r="AD39" s="424"/>
      <c r="AR39" t="str">
        <f t="shared" si="10"/>
        <v/>
      </c>
      <c r="AS39" t="str">
        <f t="shared" si="4"/>
        <v/>
      </c>
    </row>
    <row r="40" spans="1:45" x14ac:dyDescent="0.3">
      <c r="A40" s="231"/>
      <c r="B40" s="235"/>
      <c r="C40" s="214"/>
      <c r="D40" s="214"/>
      <c r="E40" s="214"/>
      <c r="F40" s="214"/>
      <c r="G40" s="222"/>
      <c r="H40" s="221"/>
      <c r="I40" s="213"/>
      <c r="J40" s="213"/>
      <c r="K40" s="215"/>
      <c r="L40" s="216"/>
      <c r="M40" s="217"/>
      <c r="N40" s="176"/>
      <c r="O40" s="241" t="str">
        <f>IF(Q40 = "", "", COUNT(Q$4:$Q40))</f>
        <v/>
      </c>
      <c r="P40" s="241" t="str">
        <f t="shared" si="0"/>
        <v/>
      </c>
      <c r="Q40" s="242" t="str">
        <f t="shared" si="1"/>
        <v/>
      </c>
      <c r="R40" s="243" t="str">
        <f t="shared" si="5"/>
        <v/>
      </c>
      <c r="S40" s="244" t="str">
        <f t="shared" si="6"/>
        <v/>
      </c>
      <c r="T40" s="245" t="str">
        <f t="shared" si="7"/>
        <v/>
      </c>
      <c r="U40" s="246" t="str">
        <f t="shared" si="8"/>
        <v/>
      </c>
      <c r="V40" s="8"/>
      <c r="W40" s="416"/>
      <c r="X40" s="274"/>
      <c r="Y40" s="425"/>
      <c r="Z40" s="425"/>
      <c r="AA40" s="425"/>
      <c r="AB40" s="425"/>
      <c r="AC40" s="425"/>
      <c r="AD40" s="426"/>
      <c r="AR40" t="str">
        <f t="shared" si="10"/>
        <v/>
      </c>
      <c r="AS40" t="str">
        <f t="shared" si="4"/>
        <v/>
      </c>
    </row>
    <row r="41" spans="1:45" x14ac:dyDescent="0.3">
      <c r="A41" s="231"/>
      <c r="B41" s="235"/>
      <c r="C41" s="214"/>
      <c r="D41" s="214"/>
      <c r="E41" s="214"/>
      <c r="F41" s="214"/>
      <c r="G41" s="222"/>
      <c r="H41" s="221"/>
      <c r="I41" s="213"/>
      <c r="J41" s="213"/>
      <c r="K41" s="215"/>
      <c r="L41" s="216"/>
      <c r="M41" s="217"/>
      <c r="N41" s="176"/>
      <c r="O41" s="241" t="str">
        <f>IF(Q41 = "", "", COUNT(Q$4:$Q41))</f>
        <v/>
      </c>
      <c r="P41" s="241" t="str">
        <f t="shared" si="0"/>
        <v/>
      </c>
      <c r="Q41" s="242" t="str">
        <f t="shared" si="1"/>
        <v/>
      </c>
      <c r="R41" s="243" t="str">
        <f t="shared" si="5"/>
        <v/>
      </c>
      <c r="S41" s="244" t="str">
        <f t="shared" si="6"/>
        <v/>
      </c>
      <c r="T41" s="245" t="str">
        <f t="shared" si="7"/>
        <v/>
      </c>
      <c r="U41" s="246" t="str">
        <f t="shared" si="8"/>
        <v/>
      </c>
      <c r="V41" s="8"/>
      <c r="W41" s="407">
        <v>4</v>
      </c>
      <c r="X41" s="409" t="s">
        <v>234</v>
      </c>
      <c r="Y41" s="409"/>
      <c r="Z41" s="409"/>
      <c r="AA41" s="409"/>
      <c r="AB41" s="409"/>
      <c r="AC41" s="409"/>
      <c r="AD41" s="410"/>
      <c r="AR41" t="str">
        <f t="shared" si="10"/>
        <v/>
      </c>
      <c r="AS41" t="str">
        <f t="shared" si="4"/>
        <v/>
      </c>
    </row>
    <row r="42" spans="1:45" ht="15" thickBot="1" x14ac:dyDescent="0.35">
      <c r="A42" s="231"/>
      <c r="B42" s="235"/>
      <c r="C42" s="214"/>
      <c r="D42" s="214"/>
      <c r="E42" s="214"/>
      <c r="F42" s="214"/>
      <c r="G42" s="222"/>
      <c r="H42" s="221"/>
      <c r="I42" s="213"/>
      <c r="J42" s="213"/>
      <c r="K42" s="215"/>
      <c r="L42" s="216"/>
      <c r="M42" s="217"/>
      <c r="N42" s="176"/>
      <c r="O42" s="241" t="str">
        <f>IF(Q42 = "", "", COUNT(Q$4:$Q42))</f>
        <v/>
      </c>
      <c r="P42" s="241" t="str">
        <f t="shared" si="0"/>
        <v/>
      </c>
      <c r="Q42" s="242" t="str">
        <f t="shared" si="1"/>
        <v/>
      </c>
      <c r="R42" s="243" t="str">
        <f t="shared" si="5"/>
        <v/>
      </c>
      <c r="S42" s="244" t="str">
        <f t="shared" si="6"/>
        <v/>
      </c>
      <c r="T42" s="245" t="str">
        <f t="shared" si="7"/>
        <v/>
      </c>
      <c r="U42" s="246" t="str">
        <f t="shared" si="8"/>
        <v/>
      </c>
      <c r="V42" s="8"/>
      <c r="W42" s="408"/>
      <c r="X42" s="411"/>
      <c r="Y42" s="411"/>
      <c r="Z42" s="411"/>
      <c r="AA42" s="411"/>
      <c r="AB42" s="411"/>
      <c r="AC42" s="411"/>
      <c r="AD42" s="412"/>
      <c r="AR42" t="str">
        <f t="shared" si="10"/>
        <v/>
      </c>
      <c r="AS42" t="str">
        <f t="shared" si="4"/>
        <v/>
      </c>
    </row>
    <row r="43" spans="1:45" x14ac:dyDescent="0.3">
      <c r="A43" s="231"/>
      <c r="B43" s="235"/>
      <c r="C43" s="214"/>
      <c r="D43" s="214"/>
      <c r="E43" s="214"/>
      <c r="F43" s="214"/>
      <c r="G43" s="222"/>
      <c r="H43" s="221"/>
      <c r="I43" s="213"/>
      <c r="J43" s="213"/>
      <c r="K43" s="215"/>
      <c r="L43" s="216"/>
      <c r="M43" s="217"/>
      <c r="N43" s="176"/>
      <c r="O43" s="241" t="str">
        <f>IF(Q43 = "", "", COUNT(Q$4:$Q43))</f>
        <v/>
      </c>
      <c r="P43" s="241" t="str">
        <f t="shared" si="0"/>
        <v/>
      </c>
      <c r="Q43" s="242" t="str">
        <f t="shared" si="1"/>
        <v/>
      </c>
      <c r="R43" s="243" t="str">
        <f t="shared" si="5"/>
        <v/>
      </c>
      <c r="S43" s="244" t="str">
        <f t="shared" si="6"/>
        <v/>
      </c>
      <c r="T43" s="245" t="str">
        <f t="shared" si="7"/>
        <v/>
      </c>
      <c r="U43" s="246" t="str">
        <f t="shared" si="8"/>
        <v/>
      </c>
      <c r="V43" s="8"/>
      <c r="AR43" t="str">
        <f t="shared" si="10"/>
        <v/>
      </c>
      <c r="AS43" t="str">
        <f t="shared" si="4"/>
        <v/>
      </c>
    </row>
    <row r="44" spans="1:45" x14ac:dyDescent="0.3">
      <c r="A44" s="231"/>
      <c r="B44" s="235"/>
      <c r="C44" s="214"/>
      <c r="D44" s="214"/>
      <c r="E44" s="214"/>
      <c r="F44" s="214"/>
      <c r="G44" s="222"/>
      <c r="H44" s="221"/>
      <c r="I44" s="213"/>
      <c r="J44" s="213"/>
      <c r="K44" s="215"/>
      <c r="L44" s="216"/>
      <c r="M44" s="217"/>
      <c r="N44" s="176"/>
      <c r="O44" s="241" t="str">
        <f>IF(Q44 = "", "", COUNT(Q$4:$Q44))</f>
        <v/>
      </c>
      <c r="P44" s="241" t="str">
        <f t="shared" si="0"/>
        <v/>
      </c>
      <c r="Q44" s="242" t="str">
        <f t="shared" si="1"/>
        <v/>
      </c>
      <c r="R44" s="243" t="str">
        <f t="shared" si="5"/>
        <v/>
      </c>
      <c r="S44" s="244" t="str">
        <f t="shared" si="6"/>
        <v/>
      </c>
      <c r="T44" s="245" t="str">
        <f t="shared" si="7"/>
        <v/>
      </c>
      <c r="U44" s="246" t="str">
        <f t="shared" si="8"/>
        <v/>
      </c>
      <c r="V44" s="8"/>
      <c r="AR44" t="str">
        <f t="shared" si="10"/>
        <v/>
      </c>
      <c r="AS44" t="str">
        <f t="shared" si="4"/>
        <v/>
      </c>
    </row>
    <row r="45" spans="1:45" x14ac:dyDescent="0.3">
      <c r="A45" s="231"/>
      <c r="B45" s="235"/>
      <c r="C45" s="214"/>
      <c r="D45" s="214"/>
      <c r="E45" s="214"/>
      <c r="F45" s="214"/>
      <c r="G45" s="222"/>
      <c r="H45" s="221"/>
      <c r="I45" s="213"/>
      <c r="J45" s="213"/>
      <c r="K45" s="215"/>
      <c r="L45" s="216"/>
      <c r="M45" s="217"/>
      <c r="N45" s="176"/>
      <c r="O45" s="241" t="str">
        <f>IF(Q45 = "", "", COUNT(Q$4:$Q45))</f>
        <v/>
      </c>
      <c r="P45" s="241" t="str">
        <f t="shared" si="0"/>
        <v/>
      </c>
      <c r="Q45" s="242" t="str">
        <f t="shared" si="1"/>
        <v/>
      </c>
      <c r="R45" s="243" t="str">
        <f t="shared" si="5"/>
        <v/>
      </c>
      <c r="S45" s="244" t="str">
        <f t="shared" si="6"/>
        <v/>
      </c>
      <c r="T45" s="245" t="str">
        <f t="shared" si="7"/>
        <v/>
      </c>
      <c r="U45" s="246" t="str">
        <f t="shared" si="8"/>
        <v/>
      </c>
      <c r="V45" s="8"/>
      <c r="AR45" t="str">
        <f t="shared" si="10"/>
        <v/>
      </c>
      <c r="AS45" t="str">
        <f t="shared" si="4"/>
        <v/>
      </c>
    </row>
    <row r="46" spans="1:45" x14ac:dyDescent="0.3">
      <c r="A46" s="231"/>
      <c r="B46" s="235"/>
      <c r="C46" s="214"/>
      <c r="D46" s="214"/>
      <c r="E46" s="214"/>
      <c r="F46" s="214"/>
      <c r="G46" s="222"/>
      <c r="H46" s="221"/>
      <c r="I46" s="213"/>
      <c r="J46" s="213"/>
      <c r="K46" s="215"/>
      <c r="L46" s="216"/>
      <c r="M46" s="217"/>
      <c r="N46" s="176"/>
      <c r="O46" s="241" t="str">
        <f>IF(Q46 = "", "", COUNT(Q$4:$Q46))</f>
        <v/>
      </c>
      <c r="P46" s="241" t="str">
        <f t="shared" si="0"/>
        <v/>
      </c>
      <c r="Q46" s="242" t="str">
        <f t="shared" si="1"/>
        <v/>
      </c>
      <c r="R46" s="243" t="str">
        <f t="shared" si="5"/>
        <v/>
      </c>
      <c r="S46" s="244" t="str">
        <f t="shared" si="6"/>
        <v/>
      </c>
      <c r="T46" s="245" t="str">
        <f t="shared" si="7"/>
        <v/>
      </c>
      <c r="U46" s="246" t="str">
        <f t="shared" si="8"/>
        <v/>
      </c>
      <c r="V46" s="8"/>
      <c r="AR46" t="str">
        <f t="shared" si="10"/>
        <v/>
      </c>
      <c r="AS46" t="str">
        <f t="shared" si="4"/>
        <v/>
      </c>
    </row>
    <row r="47" spans="1:45" x14ac:dyDescent="0.3">
      <c r="A47" s="231"/>
      <c r="B47" s="235"/>
      <c r="C47" s="214"/>
      <c r="D47" s="214"/>
      <c r="E47" s="214"/>
      <c r="F47" s="214"/>
      <c r="G47" s="222"/>
      <c r="H47" s="221"/>
      <c r="I47" s="213"/>
      <c r="J47" s="213"/>
      <c r="K47" s="215"/>
      <c r="L47" s="216"/>
      <c r="M47" s="217"/>
      <c r="N47" s="176"/>
      <c r="O47" s="241" t="str">
        <f>IF(Q47 = "", "", COUNT(Q$4:$Q47))</f>
        <v/>
      </c>
      <c r="P47" s="241" t="str">
        <f t="shared" si="0"/>
        <v/>
      </c>
      <c r="Q47" s="242" t="str">
        <f t="shared" si="1"/>
        <v/>
      </c>
      <c r="R47" s="243" t="str">
        <f t="shared" si="5"/>
        <v/>
      </c>
      <c r="S47" s="244" t="str">
        <f t="shared" si="6"/>
        <v/>
      </c>
      <c r="T47" s="245" t="str">
        <f t="shared" si="7"/>
        <v/>
      </c>
      <c r="U47" s="246" t="str">
        <f t="shared" si="8"/>
        <v/>
      </c>
      <c r="V47" s="8"/>
      <c r="AR47" t="str">
        <f t="shared" ref="AR47:AR68" si="11">IF(O47&gt;0, O47, "")</f>
        <v/>
      </c>
      <c r="AS47" t="str">
        <f t="shared" si="4"/>
        <v/>
      </c>
    </row>
    <row r="48" spans="1:45" x14ac:dyDescent="0.3">
      <c r="A48" s="231"/>
      <c r="B48" s="235"/>
      <c r="C48" s="214"/>
      <c r="D48" s="214"/>
      <c r="E48" s="214"/>
      <c r="F48" s="214"/>
      <c r="G48" s="222"/>
      <c r="H48" s="221"/>
      <c r="I48" s="213"/>
      <c r="J48" s="213"/>
      <c r="K48" s="215"/>
      <c r="L48" s="216"/>
      <c r="M48" s="217"/>
      <c r="N48" s="176"/>
      <c r="O48" s="241" t="str">
        <f>IF(Q48 = "", "", COUNT(Q$4:$Q48))</f>
        <v/>
      </c>
      <c r="P48" s="241" t="str">
        <f t="shared" si="0"/>
        <v/>
      </c>
      <c r="Q48" s="242" t="str">
        <f t="shared" si="1"/>
        <v/>
      </c>
      <c r="R48" s="243" t="str">
        <f t="shared" si="5"/>
        <v/>
      </c>
      <c r="S48" s="244" t="str">
        <f t="shared" si="6"/>
        <v/>
      </c>
      <c r="T48" s="245" t="str">
        <f t="shared" si="7"/>
        <v/>
      </c>
      <c r="U48" s="246" t="str">
        <f t="shared" si="8"/>
        <v/>
      </c>
      <c r="V48" s="8"/>
      <c r="AR48" t="str">
        <f t="shared" si="11"/>
        <v/>
      </c>
      <c r="AS48" t="str">
        <f t="shared" si="4"/>
        <v/>
      </c>
    </row>
    <row r="49" spans="1:45" x14ac:dyDescent="0.3">
      <c r="A49" s="231"/>
      <c r="B49" s="235"/>
      <c r="C49" s="214"/>
      <c r="D49" s="214"/>
      <c r="E49" s="214"/>
      <c r="F49" s="214"/>
      <c r="G49" s="222"/>
      <c r="H49" s="221"/>
      <c r="I49" s="213"/>
      <c r="J49" s="213"/>
      <c r="K49" s="215"/>
      <c r="L49" s="216"/>
      <c r="M49" s="217"/>
      <c r="N49" s="176"/>
      <c r="O49" s="241" t="str">
        <f>IF(Q49 = "", "", COUNT(Q$4:$Q49))</f>
        <v/>
      </c>
      <c r="P49" s="241" t="str">
        <f t="shared" si="0"/>
        <v/>
      </c>
      <c r="Q49" s="242" t="str">
        <f t="shared" si="1"/>
        <v/>
      </c>
      <c r="R49" s="243" t="str">
        <f t="shared" si="5"/>
        <v/>
      </c>
      <c r="S49" s="244" t="str">
        <f t="shared" si="6"/>
        <v/>
      </c>
      <c r="T49" s="245" t="str">
        <f t="shared" si="7"/>
        <v/>
      </c>
      <c r="U49" s="246" t="str">
        <f t="shared" si="8"/>
        <v/>
      </c>
      <c r="V49" s="8"/>
      <c r="AR49" t="str">
        <f t="shared" si="11"/>
        <v/>
      </c>
      <c r="AS49" t="str">
        <f t="shared" si="4"/>
        <v/>
      </c>
    </row>
    <row r="50" spans="1:45" x14ac:dyDescent="0.3">
      <c r="A50" s="231"/>
      <c r="B50" s="235"/>
      <c r="C50" s="214"/>
      <c r="D50" s="214"/>
      <c r="E50" s="214"/>
      <c r="F50" s="214"/>
      <c r="G50" s="222"/>
      <c r="H50" s="221"/>
      <c r="I50" s="213"/>
      <c r="J50" s="213"/>
      <c r="K50" s="215"/>
      <c r="L50" s="216"/>
      <c r="M50" s="217"/>
      <c r="N50" s="176"/>
      <c r="O50" s="241" t="str">
        <f>IF(Q50 = "", "", COUNT(Q$4:$Q50))</f>
        <v/>
      </c>
      <c r="P50" s="241" t="str">
        <f t="shared" si="0"/>
        <v/>
      </c>
      <c r="Q50" s="242" t="str">
        <f t="shared" si="1"/>
        <v/>
      </c>
      <c r="R50" s="243" t="str">
        <f t="shared" si="5"/>
        <v/>
      </c>
      <c r="S50" s="244" t="str">
        <f t="shared" si="6"/>
        <v/>
      </c>
      <c r="T50" s="245" t="str">
        <f t="shared" si="7"/>
        <v/>
      </c>
      <c r="U50" s="246" t="str">
        <f t="shared" si="8"/>
        <v/>
      </c>
      <c r="V50" s="8"/>
      <c r="AR50" t="str">
        <f t="shared" si="11"/>
        <v/>
      </c>
      <c r="AS50" t="str">
        <f t="shared" si="4"/>
        <v/>
      </c>
    </row>
    <row r="51" spans="1:45" x14ac:dyDescent="0.3">
      <c r="A51" s="231"/>
      <c r="B51" s="235"/>
      <c r="C51" s="214"/>
      <c r="D51" s="214"/>
      <c r="E51" s="214"/>
      <c r="F51" s="214"/>
      <c r="G51" s="222"/>
      <c r="H51" s="221"/>
      <c r="I51" s="213"/>
      <c r="J51" s="213"/>
      <c r="K51" s="215"/>
      <c r="L51" s="216"/>
      <c r="M51" s="217"/>
      <c r="N51" s="176"/>
      <c r="O51" s="241" t="str">
        <f>IF(Q51 = "", "", COUNT(Q$4:$Q51))</f>
        <v/>
      </c>
      <c r="P51" s="241" t="str">
        <f t="shared" si="0"/>
        <v/>
      </c>
      <c r="Q51" s="242" t="str">
        <f t="shared" si="1"/>
        <v/>
      </c>
      <c r="R51" s="243" t="str">
        <f t="shared" si="5"/>
        <v/>
      </c>
      <c r="S51" s="244" t="str">
        <f t="shared" si="6"/>
        <v/>
      </c>
      <c r="T51" s="245" t="str">
        <f t="shared" si="7"/>
        <v/>
      </c>
      <c r="U51" s="246" t="str">
        <f t="shared" si="8"/>
        <v/>
      </c>
      <c r="V51" s="8"/>
      <c r="AR51" t="str">
        <f t="shared" si="11"/>
        <v/>
      </c>
      <c r="AS51" t="str">
        <f t="shared" si="4"/>
        <v/>
      </c>
    </row>
    <row r="52" spans="1:45" x14ac:dyDescent="0.3">
      <c r="A52" s="231"/>
      <c r="B52" s="235"/>
      <c r="C52" s="214"/>
      <c r="D52" s="214"/>
      <c r="E52" s="214"/>
      <c r="F52" s="214"/>
      <c r="G52" s="222"/>
      <c r="H52" s="221"/>
      <c r="I52" s="213"/>
      <c r="J52" s="213"/>
      <c r="K52" s="215"/>
      <c r="L52" s="216"/>
      <c r="M52" s="217"/>
      <c r="N52" s="176"/>
      <c r="O52" s="241" t="str">
        <f>IF(Q52 = "", "", COUNT(Q$4:$Q52))</f>
        <v/>
      </c>
      <c r="P52" s="241" t="str">
        <f t="shared" si="0"/>
        <v/>
      </c>
      <c r="Q52" s="242" t="str">
        <f t="shared" si="1"/>
        <v/>
      </c>
      <c r="R52" s="243" t="str">
        <f t="shared" si="5"/>
        <v/>
      </c>
      <c r="S52" s="244" t="str">
        <f t="shared" si="6"/>
        <v/>
      </c>
      <c r="T52" s="245" t="str">
        <f t="shared" si="7"/>
        <v/>
      </c>
      <c r="U52" s="246" t="str">
        <f t="shared" si="8"/>
        <v/>
      </c>
      <c r="V52" s="8"/>
      <c r="AR52" t="str">
        <f t="shared" si="11"/>
        <v/>
      </c>
      <c r="AS52" t="str">
        <f t="shared" si="4"/>
        <v/>
      </c>
    </row>
    <row r="53" spans="1:45" x14ac:dyDescent="0.3">
      <c r="A53" s="231"/>
      <c r="B53" s="235"/>
      <c r="C53" s="214"/>
      <c r="D53" s="214"/>
      <c r="E53" s="214"/>
      <c r="F53" s="214"/>
      <c r="G53" s="222"/>
      <c r="H53" s="221"/>
      <c r="I53" s="213"/>
      <c r="J53" s="213"/>
      <c r="K53" s="215"/>
      <c r="L53" s="216"/>
      <c r="M53" s="217"/>
      <c r="N53" s="176"/>
      <c r="O53" s="241" t="str">
        <f>IF(Q53 = "", "", COUNT(Q$4:$Q53))</f>
        <v/>
      </c>
      <c r="P53" s="241" t="str">
        <f t="shared" si="0"/>
        <v/>
      </c>
      <c r="Q53" s="242" t="str">
        <f t="shared" si="1"/>
        <v/>
      </c>
      <c r="R53" s="243" t="str">
        <f t="shared" si="5"/>
        <v/>
      </c>
      <c r="S53" s="244" t="str">
        <f t="shared" si="6"/>
        <v/>
      </c>
      <c r="T53" s="245" t="str">
        <f t="shared" si="7"/>
        <v/>
      </c>
      <c r="U53" s="246" t="str">
        <f t="shared" si="8"/>
        <v/>
      </c>
      <c r="V53" s="8"/>
      <c r="AR53" t="str">
        <f t="shared" si="11"/>
        <v/>
      </c>
      <c r="AS53" t="str">
        <f t="shared" si="4"/>
        <v/>
      </c>
    </row>
    <row r="54" spans="1:45" x14ac:dyDescent="0.3">
      <c r="A54" s="231"/>
      <c r="B54" s="235"/>
      <c r="C54" s="214"/>
      <c r="D54" s="214"/>
      <c r="E54" s="214"/>
      <c r="F54" s="214"/>
      <c r="G54" s="222"/>
      <c r="H54" s="221"/>
      <c r="I54" s="213"/>
      <c r="J54" s="213"/>
      <c r="K54" s="215"/>
      <c r="L54" s="216"/>
      <c r="M54" s="217"/>
      <c r="N54" s="176"/>
      <c r="O54" s="241" t="str">
        <f>IF(Q54 = "", "", COUNT(Q$4:$Q54))</f>
        <v/>
      </c>
      <c r="P54" s="241" t="str">
        <f t="shared" si="0"/>
        <v/>
      </c>
      <c r="Q54" s="242" t="str">
        <f t="shared" si="1"/>
        <v/>
      </c>
      <c r="R54" s="243" t="str">
        <f t="shared" si="5"/>
        <v/>
      </c>
      <c r="S54" s="244" t="str">
        <f t="shared" si="6"/>
        <v/>
      </c>
      <c r="T54" s="245" t="str">
        <f t="shared" si="7"/>
        <v/>
      </c>
      <c r="U54" s="246" t="str">
        <f t="shared" si="8"/>
        <v/>
      </c>
      <c r="V54" s="8"/>
      <c r="AR54" t="str">
        <f t="shared" si="11"/>
        <v/>
      </c>
      <c r="AS54" t="str">
        <f t="shared" si="4"/>
        <v/>
      </c>
    </row>
    <row r="55" spans="1:45" x14ac:dyDescent="0.3">
      <c r="A55" s="231"/>
      <c r="B55" s="235"/>
      <c r="C55" s="214"/>
      <c r="D55" s="214"/>
      <c r="E55" s="214"/>
      <c r="F55" s="214"/>
      <c r="G55" s="222"/>
      <c r="H55" s="221"/>
      <c r="I55" s="213"/>
      <c r="J55" s="213"/>
      <c r="K55" s="215"/>
      <c r="L55" s="216"/>
      <c r="M55" s="217"/>
      <c r="N55" s="176"/>
      <c r="O55" s="241" t="str">
        <f>IF(Q55 = "", "", COUNT(Q$4:$Q55))</f>
        <v/>
      </c>
      <c r="P55" s="241" t="str">
        <f t="shared" si="0"/>
        <v/>
      </c>
      <c r="Q55" s="242" t="str">
        <f t="shared" si="1"/>
        <v/>
      </c>
      <c r="R55" s="243" t="str">
        <f t="shared" si="5"/>
        <v/>
      </c>
      <c r="S55" s="244" t="str">
        <f t="shared" si="6"/>
        <v/>
      </c>
      <c r="T55" s="245" t="str">
        <f t="shared" si="7"/>
        <v/>
      </c>
      <c r="U55" s="246" t="str">
        <f t="shared" si="8"/>
        <v/>
      </c>
      <c r="V55" s="8"/>
      <c r="AR55" t="str">
        <f t="shared" si="11"/>
        <v/>
      </c>
      <c r="AS55" t="str">
        <f t="shared" si="4"/>
        <v/>
      </c>
    </row>
    <row r="56" spans="1:45" x14ac:dyDescent="0.3">
      <c r="A56" s="231"/>
      <c r="B56" s="235"/>
      <c r="C56" s="214"/>
      <c r="D56" s="214"/>
      <c r="E56" s="214"/>
      <c r="F56" s="214"/>
      <c r="G56" s="222"/>
      <c r="H56" s="221"/>
      <c r="I56" s="213"/>
      <c r="J56" s="213"/>
      <c r="K56" s="215"/>
      <c r="L56" s="216"/>
      <c r="M56" s="217"/>
      <c r="N56" s="176"/>
      <c r="O56" s="241" t="str">
        <f>IF(Q56 = "", "", COUNT(Q$4:$Q56))</f>
        <v/>
      </c>
      <c r="P56" s="241" t="str">
        <f t="shared" si="0"/>
        <v/>
      </c>
      <c r="Q56" s="242" t="str">
        <f t="shared" si="1"/>
        <v/>
      </c>
      <c r="R56" s="243" t="str">
        <f t="shared" si="5"/>
        <v/>
      </c>
      <c r="S56" s="244" t="str">
        <f t="shared" si="6"/>
        <v/>
      </c>
      <c r="T56" s="245" t="str">
        <f t="shared" si="7"/>
        <v/>
      </c>
      <c r="U56" s="246" t="str">
        <f t="shared" si="8"/>
        <v/>
      </c>
      <c r="V56" s="8"/>
      <c r="AR56" t="str">
        <f t="shared" si="11"/>
        <v/>
      </c>
      <c r="AS56" t="str">
        <f t="shared" si="4"/>
        <v/>
      </c>
    </row>
    <row r="57" spans="1:45" x14ac:dyDescent="0.3">
      <c r="A57" s="231"/>
      <c r="B57" s="235"/>
      <c r="C57" s="214"/>
      <c r="D57" s="214"/>
      <c r="E57" s="214"/>
      <c r="F57" s="214"/>
      <c r="G57" s="222"/>
      <c r="H57" s="221"/>
      <c r="I57" s="213"/>
      <c r="J57" s="213"/>
      <c r="K57" s="215"/>
      <c r="L57" s="216"/>
      <c r="M57" s="217"/>
      <c r="N57" s="176"/>
      <c r="O57" s="241" t="str">
        <f>IF(Q57 = "", "", COUNT(Q$4:$Q57))</f>
        <v/>
      </c>
      <c r="P57" s="241" t="str">
        <f t="shared" si="0"/>
        <v/>
      </c>
      <c r="Q57" s="242" t="str">
        <f t="shared" si="1"/>
        <v/>
      </c>
      <c r="R57" s="243" t="str">
        <f t="shared" si="5"/>
        <v/>
      </c>
      <c r="S57" s="244" t="str">
        <f t="shared" si="6"/>
        <v/>
      </c>
      <c r="T57" s="245" t="str">
        <f t="shared" si="7"/>
        <v/>
      </c>
      <c r="U57" s="246" t="str">
        <f t="shared" si="8"/>
        <v/>
      </c>
      <c r="V57" s="8"/>
      <c r="AR57" t="str">
        <f t="shared" si="11"/>
        <v/>
      </c>
      <c r="AS57" t="str">
        <f t="shared" si="4"/>
        <v/>
      </c>
    </row>
    <row r="58" spans="1:45" x14ac:dyDescent="0.3">
      <c r="A58" s="231"/>
      <c r="B58" s="235"/>
      <c r="C58" s="214"/>
      <c r="D58" s="214"/>
      <c r="E58" s="214"/>
      <c r="F58" s="214"/>
      <c r="G58" s="222"/>
      <c r="H58" s="221"/>
      <c r="I58" s="213"/>
      <c r="J58" s="213"/>
      <c r="K58" s="215"/>
      <c r="L58" s="216"/>
      <c r="M58" s="217"/>
      <c r="N58" s="176"/>
      <c r="O58" s="241" t="str">
        <f>IF(Q58 = "", "", COUNT(Q$4:$Q58))</f>
        <v/>
      </c>
      <c r="P58" s="241" t="str">
        <f t="shared" si="0"/>
        <v/>
      </c>
      <c r="Q58" s="242" t="str">
        <f t="shared" si="1"/>
        <v/>
      </c>
      <c r="R58" s="243" t="str">
        <f t="shared" si="5"/>
        <v/>
      </c>
      <c r="S58" s="244" t="str">
        <f t="shared" si="6"/>
        <v/>
      </c>
      <c r="T58" s="245" t="str">
        <f t="shared" si="7"/>
        <v/>
      </c>
      <c r="U58" s="246" t="str">
        <f t="shared" si="8"/>
        <v/>
      </c>
      <c r="V58" s="8"/>
      <c r="AR58" t="str">
        <f t="shared" si="11"/>
        <v/>
      </c>
      <c r="AS58" t="str">
        <f t="shared" si="4"/>
        <v/>
      </c>
    </row>
    <row r="59" spans="1:45" x14ac:dyDescent="0.3">
      <c r="A59" s="231"/>
      <c r="B59" s="235"/>
      <c r="C59" s="214"/>
      <c r="D59" s="214"/>
      <c r="E59" s="214"/>
      <c r="F59" s="214"/>
      <c r="G59" s="222"/>
      <c r="H59" s="221"/>
      <c r="I59" s="213"/>
      <c r="J59" s="213"/>
      <c r="K59" s="215"/>
      <c r="L59" s="216"/>
      <c r="M59" s="217"/>
      <c r="N59" s="176"/>
      <c r="O59" s="241" t="str">
        <f>IF(Q59 = "", "", COUNT(Q$4:$Q59))</f>
        <v/>
      </c>
      <c r="P59" s="241" t="str">
        <f t="shared" si="0"/>
        <v/>
      </c>
      <c r="Q59" s="242" t="str">
        <f t="shared" si="1"/>
        <v/>
      </c>
      <c r="R59" s="243" t="str">
        <f t="shared" si="5"/>
        <v/>
      </c>
      <c r="S59" s="244" t="str">
        <f t="shared" si="6"/>
        <v/>
      </c>
      <c r="T59" s="245" t="str">
        <f t="shared" si="7"/>
        <v/>
      </c>
      <c r="U59" s="246" t="str">
        <f t="shared" si="8"/>
        <v/>
      </c>
      <c r="V59" s="8"/>
      <c r="AR59" t="str">
        <f t="shared" si="11"/>
        <v/>
      </c>
      <c r="AS59" t="str">
        <f t="shared" si="4"/>
        <v/>
      </c>
    </row>
    <row r="60" spans="1:45" x14ac:dyDescent="0.3">
      <c r="A60" s="231"/>
      <c r="B60" s="235"/>
      <c r="C60" s="214"/>
      <c r="D60" s="214"/>
      <c r="E60" s="214"/>
      <c r="F60" s="214"/>
      <c r="G60" s="222"/>
      <c r="H60" s="221"/>
      <c r="I60" s="213"/>
      <c r="J60" s="213"/>
      <c r="K60" s="215"/>
      <c r="L60" s="216"/>
      <c r="M60" s="217"/>
      <c r="N60" s="176"/>
      <c r="O60" s="241" t="str">
        <f>IF(Q60 = "", "", COUNT(Q$4:$Q60))</f>
        <v/>
      </c>
      <c r="P60" s="241" t="str">
        <f t="shared" si="0"/>
        <v/>
      </c>
      <c r="Q60" s="242" t="str">
        <f t="shared" si="1"/>
        <v/>
      </c>
      <c r="R60" s="243" t="str">
        <f t="shared" si="5"/>
        <v/>
      </c>
      <c r="S60" s="244" t="str">
        <f t="shared" si="6"/>
        <v/>
      </c>
      <c r="T60" s="245" t="str">
        <f t="shared" si="7"/>
        <v/>
      </c>
      <c r="U60" s="246" t="str">
        <f t="shared" si="8"/>
        <v/>
      </c>
      <c r="V60" s="8"/>
      <c r="AR60" t="str">
        <f t="shared" si="11"/>
        <v/>
      </c>
      <c r="AS60" t="str">
        <f t="shared" si="4"/>
        <v/>
      </c>
    </row>
    <row r="61" spans="1:45" x14ac:dyDescent="0.3">
      <c r="A61" s="231"/>
      <c r="B61" s="235"/>
      <c r="C61" s="214"/>
      <c r="D61" s="214"/>
      <c r="E61" s="214"/>
      <c r="F61" s="214"/>
      <c r="G61" s="222"/>
      <c r="H61" s="221"/>
      <c r="I61" s="213"/>
      <c r="J61" s="213"/>
      <c r="K61" s="215"/>
      <c r="L61" s="216"/>
      <c r="M61" s="217"/>
      <c r="N61" s="176"/>
      <c r="O61" s="241" t="str">
        <f>IF(Q61 = "", "", COUNT(Q$4:$Q61))</f>
        <v/>
      </c>
      <c r="P61" s="241" t="str">
        <f t="shared" si="0"/>
        <v/>
      </c>
      <c r="Q61" s="242" t="str">
        <f t="shared" si="1"/>
        <v/>
      </c>
      <c r="R61" s="243" t="str">
        <f t="shared" si="5"/>
        <v/>
      </c>
      <c r="S61" s="244" t="str">
        <f t="shared" si="6"/>
        <v/>
      </c>
      <c r="T61" s="245" t="str">
        <f t="shared" si="7"/>
        <v/>
      </c>
      <c r="U61" s="246" t="str">
        <f t="shared" si="8"/>
        <v/>
      </c>
      <c r="V61" s="8"/>
      <c r="AR61" t="str">
        <f t="shared" si="11"/>
        <v/>
      </c>
      <c r="AS61" t="str">
        <f t="shared" si="4"/>
        <v/>
      </c>
    </row>
    <row r="62" spans="1:45" x14ac:dyDescent="0.3">
      <c r="A62" s="231"/>
      <c r="B62" s="235"/>
      <c r="C62" s="214"/>
      <c r="D62" s="214"/>
      <c r="E62" s="214"/>
      <c r="F62" s="214"/>
      <c r="G62" s="222"/>
      <c r="H62" s="221"/>
      <c r="I62" s="213"/>
      <c r="J62" s="213"/>
      <c r="K62" s="215"/>
      <c r="L62" s="216"/>
      <c r="M62" s="217"/>
      <c r="N62" s="176"/>
      <c r="O62" s="241" t="str">
        <f>IF(Q62 = "", "", COUNT(Q$4:$Q62))</f>
        <v/>
      </c>
      <c r="P62" s="241" t="str">
        <f t="shared" si="0"/>
        <v/>
      </c>
      <c r="Q62" s="242" t="str">
        <f t="shared" si="1"/>
        <v/>
      </c>
      <c r="R62" s="243" t="str">
        <f t="shared" si="5"/>
        <v/>
      </c>
      <c r="S62" s="244" t="str">
        <f t="shared" si="6"/>
        <v/>
      </c>
      <c r="T62" s="245" t="str">
        <f t="shared" si="7"/>
        <v/>
      </c>
      <c r="U62" s="246" t="str">
        <f t="shared" si="8"/>
        <v/>
      </c>
      <c r="V62" s="8"/>
      <c r="AR62" t="str">
        <f t="shared" si="11"/>
        <v/>
      </c>
      <c r="AS62" t="str">
        <f t="shared" si="4"/>
        <v/>
      </c>
    </row>
    <row r="63" spans="1:45" x14ac:dyDescent="0.3">
      <c r="A63" s="231"/>
      <c r="B63" s="235"/>
      <c r="C63" s="214"/>
      <c r="D63" s="214"/>
      <c r="E63" s="214"/>
      <c r="F63" s="214"/>
      <c r="G63" s="222"/>
      <c r="H63" s="221"/>
      <c r="I63" s="213"/>
      <c r="J63" s="213"/>
      <c r="K63" s="215"/>
      <c r="L63" s="216"/>
      <c r="M63" s="217"/>
      <c r="N63" s="176"/>
      <c r="O63" s="241" t="str">
        <f>IF(Q63 = "", "", COUNT(Q$4:$Q63))</f>
        <v/>
      </c>
      <c r="P63" s="241" t="str">
        <f t="shared" si="0"/>
        <v/>
      </c>
      <c r="Q63" s="242" t="str">
        <f t="shared" si="1"/>
        <v/>
      </c>
      <c r="R63" s="243" t="str">
        <f t="shared" si="5"/>
        <v/>
      </c>
      <c r="S63" s="244" t="str">
        <f t="shared" si="6"/>
        <v/>
      </c>
      <c r="T63" s="245" t="str">
        <f t="shared" si="7"/>
        <v/>
      </c>
      <c r="U63" s="246" t="str">
        <f t="shared" si="8"/>
        <v/>
      </c>
      <c r="V63" s="8"/>
      <c r="AR63" t="str">
        <f t="shared" si="11"/>
        <v/>
      </c>
      <c r="AS63" t="str">
        <f t="shared" si="4"/>
        <v/>
      </c>
    </row>
    <row r="64" spans="1:45" x14ac:dyDescent="0.3">
      <c r="A64" s="231"/>
      <c r="B64" s="235"/>
      <c r="C64" s="214"/>
      <c r="D64" s="214"/>
      <c r="E64" s="214"/>
      <c r="F64" s="214"/>
      <c r="G64" s="222"/>
      <c r="H64" s="221"/>
      <c r="I64" s="213"/>
      <c r="J64" s="213"/>
      <c r="K64" s="215"/>
      <c r="L64" s="216"/>
      <c r="M64" s="217"/>
      <c r="N64" s="176"/>
      <c r="O64" s="241" t="str">
        <f>IF(Q64 = "", "", COUNT(Q$4:$Q64))</f>
        <v/>
      </c>
      <c r="P64" s="241" t="str">
        <f t="shared" si="0"/>
        <v/>
      </c>
      <c r="Q64" s="242" t="str">
        <f t="shared" si="1"/>
        <v/>
      </c>
      <c r="R64" s="243" t="str">
        <f t="shared" si="5"/>
        <v/>
      </c>
      <c r="S64" s="244" t="str">
        <f t="shared" si="6"/>
        <v/>
      </c>
      <c r="T64" s="245" t="str">
        <f t="shared" si="7"/>
        <v/>
      </c>
      <c r="U64" s="246" t="str">
        <f t="shared" si="8"/>
        <v/>
      </c>
      <c r="V64" s="8"/>
      <c r="AR64" t="str">
        <f t="shared" si="11"/>
        <v/>
      </c>
      <c r="AS64" t="str">
        <f t="shared" si="4"/>
        <v/>
      </c>
    </row>
    <row r="65" spans="1:45" x14ac:dyDescent="0.3">
      <c r="A65" s="231"/>
      <c r="B65" s="235"/>
      <c r="C65" s="214"/>
      <c r="D65" s="214"/>
      <c r="E65" s="214"/>
      <c r="F65" s="214"/>
      <c r="G65" s="222"/>
      <c r="H65" s="221"/>
      <c r="I65" s="213"/>
      <c r="J65" s="213"/>
      <c r="K65" s="215"/>
      <c r="L65" s="216"/>
      <c r="M65" s="217"/>
      <c r="N65" s="176"/>
      <c r="O65" s="241" t="str">
        <f>IF(Q65 = "", "", COUNT(Q$4:$Q65))</f>
        <v/>
      </c>
      <c r="P65" s="241" t="str">
        <f t="shared" si="0"/>
        <v/>
      </c>
      <c r="Q65" s="242" t="str">
        <f t="shared" si="1"/>
        <v/>
      </c>
      <c r="R65" s="243" t="str">
        <f t="shared" si="5"/>
        <v/>
      </c>
      <c r="S65" s="244" t="str">
        <f t="shared" si="6"/>
        <v/>
      </c>
      <c r="T65" s="245" t="str">
        <f t="shared" si="7"/>
        <v/>
      </c>
      <c r="U65" s="246" t="str">
        <f t="shared" si="8"/>
        <v/>
      </c>
      <c r="V65" s="8"/>
      <c r="AR65" t="str">
        <f t="shared" si="11"/>
        <v/>
      </c>
      <c r="AS65" t="str">
        <f t="shared" si="4"/>
        <v/>
      </c>
    </row>
    <row r="66" spans="1:45" x14ac:dyDescent="0.3">
      <c r="A66" s="231"/>
      <c r="B66" s="235"/>
      <c r="C66" s="214"/>
      <c r="D66" s="214"/>
      <c r="E66" s="214"/>
      <c r="F66" s="214"/>
      <c r="G66" s="222"/>
      <c r="H66" s="221"/>
      <c r="I66" s="213"/>
      <c r="J66" s="213"/>
      <c r="K66" s="215"/>
      <c r="L66" s="216"/>
      <c r="M66" s="217"/>
      <c r="N66" s="176"/>
      <c r="O66" s="241" t="str">
        <f>IF(Q66 = "", "", COUNT(Q$4:$Q66))</f>
        <v/>
      </c>
      <c r="P66" s="241" t="str">
        <f t="shared" si="0"/>
        <v/>
      </c>
      <c r="Q66" s="242" t="str">
        <f t="shared" si="1"/>
        <v/>
      </c>
      <c r="R66" s="243" t="str">
        <f t="shared" si="5"/>
        <v/>
      </c>
      <c r="S66" s="244" t="str">
        <f t="shared" si="6"/>
        <v/>
      </c>
      <c r="T66" s="245" t="str">
        <f t="shared" si="7"/>
        <v/>
      </c>
      <c r="U66" s="246" t="str">
        <f t="shared" si="8"/>
        <v/>
      </c>
      <c r="V66" s="8"/>
      <c r="AR66" t="str">
        <f t="shared" si="11"/>
        <v/>
      </c>
      <c r="AS66" t="str">
        <f t="shared" si="4"/>
        <v/>
      </c>
    </row>
    <row r="67" spans="1:45" x14ac:dyDescent="0.3">
      <c r="A67" s="231"/>
      <c r="B67" s="235"/>
      <c r="C67" s="214"/>
      <c r="D67" s="214"/>
      <c r="E67" s="214"/>
      <c r="F67" s="214"/>
      <c r="G67" s="222"/>
      <c r="H67" s="221"/>
      <c r="I67" s="213"/>
      <c r="J67" s="213"/>
      <c r="K67" s="215"/>
      <c r="L67" s="216"/>
      <c r="M67" s="217"/>
      <c r="N67" s="176"/>
      <c r="O67" s="241" t="str">
        <f>IF(Q67 = "", "", COUNT(Q$4:$Q67))</f>
        <v/>
      </c>
      <c r="P67" s="241" t="str">
        <f t="shared" si="0"/>
        <v/>
      </c>
      <c r="Q67" s="242" t="str">
        <f t="shared" si="1"/>
        <v/>
      </c>
      <c r="R67" s="243" t="str">
        <f t="shared" si="5"/>
        <v/>
      </c>
      <c r="S67" s="244" t="str">
        <f t="shared" si="6"/>
        <v/>
      </c>
      <c r="T67" s="245" t="str">
        <f t="shared" si="7"/>
        <v/>
      </c>
      <c r="U67" s="246" t="str">
        <f t="shared" si="8"/>
        <v/>
      </c>
      <c r="V67" s="8"/>
      <c r="AR67" t="str">
        <f t="shared" si="11"/>
        <v/>
      </c>
      <c r="AS67" t="str">
        <f t="shared" si="4"/>
        <v/>
      </c>
    </row>
    <row r="68" spans="1:45" x14ac:dyDescent="0.3">
      <c r="A68" s="231"/>
      <c r="B68" s="235"/>
      <c r="C68" s="214"/>
      <c r="D68" s="214"/>
      <c r="E68" s="214"/>
      <c r="F68" s="214"/>
      <c r="G68" s="222"/>
      <c r="H68" s="221"/>
      <c r="I68" s="213"/>
      <c r="J68" s="213"/>
      <c r="K68" s="215"/>
      <c r="L68" s="216"/>
      <c r="M68" s="217"/>
      <c r="N68" s="176"/>
      <c r="O68" s="241" t="str">
        <f>IF(Q68 = "", "", COUNT(Q$4:$Q68))</f>
        <v/>
      </c>
      <c r="P68" s="241" t="str">
        <f t="shared" ref="P68:P131" si="12">IF(C68 &gt; 0, YEAR(B68), "")</f>
        <v/>
      </c>
      <c r="Q68" s="242" t="str">
        <f t="shared" ref="Q68:Q131" si="13">IF(A68="", "", IF(G68="",1,IF(G68="O",1,IF(G68="C",8.4,IF(G68="B",8.4,IF(G68="A",76.8,IF(G68="K",76.8,"ERR")))))))</f>
        <v/>
      </c>
      <c r="R68" s="243" t="str">
        <f t="shared" si="5"/>
        <v/>
      </c>
      <c r="S68" s="244" t="str">
        <f t="shared" si="6"/>
        <v/>
      </c>
      <c r="T68" s="245" t="str">
        <f t="shared" si="7"/>
        <v/>
      </c>
      <c r="U68" s="246" t="str">
        <f t="shared" si="8"/>
        <v/>
      </c>
      <c r="V68" s="8"/>
      <c r="AR68" t="str">
        <f t="shared" si="11"/>
        <v/>
      </c>
      <c r="AS68" t="str">
        <f t="shared" ref="AS68:AS131" si="14">IF(OR(L68="Y",M68="Y"),"Y","")</f>
        <v/>
      </c>
    </row>
    <row r="69" spans="1:45" x14ac:dyDescent="0.3">
      <c r="A69" s="231"/>
      <c r="B69" s="235"/>
      <c r="C69" s="214"/>
      <c r="D69" s="214"/>
      <c r="E69" s="214"/>
      <c r="F69" s="214"/>
      <c r="G69" s="222"/>
      <c r="H69" s="221"/>
      <c r="I69" s="213"/>
      <c r="J69" s="213"/>
      <c r="K69" s="215"/>
      <c r="L69" s="216"/>
      <c r="M69" s="217"/>
      <c r="N69" s="176"/>
      <c r="O69" s="241" t="str">
        <f>IF(Q69 = "", "", COUNT(Q$4:$Q69))</f>
        <v/>
      </c>
      <c r="P69" s="241" t="str">
        <f t="shared" si="12"/>
        <v/>
      </c>
      <c r="Q69" s="242" t="str">
        <f t="shared" si="13"/>
        <v/>
      </c>
      <c r="R69" s="243" t="str">
        <f t="shared" ref="R69:R132" si="15">IF(L69&lt;&gt;"",Q69,"")</f>
        <v/>
      </c>
      <c r="S69" s="244" t="str">
        <f t="shared" ref="S69:S132" si="16">IF(IF(L69&lt;&gt;"",G69,"")=0, "O", IF(L69&lt;&gt;"",G69,""))</f>
        <v/>
      </c>
      <c r="T69" s="245" t="str">
        <f t="shared" ref="T69:T132" si="17">IF(M69&lt;&gt;"",Q69,"")</f>
        <v/>
      </c>
      <c r="U69" s="246" t="str">
        <f t="shared" ref="U69:U132" si="18">IF(IF(M69&lt;&gt;"",G69,"")=0, "O", IF(M69&lt;&gt;"",G69,""))</f>
        <v/>
      </c>
      <c r="V69" s="8"/>
      <c r="AR69" t="str">
        <f t="shared" ref="AR69:AR132" si="19">IF(O69&gt;0, O69, "")</f>
        <v/>
      </c>
      <c r="AS69" t="str">
        <f t="shared" si="14"/>
        <v/>
      </c>
    </row>
    <row r="70" spans="1:45" x14ac:dyDescent="0.3">
      <c r="A70" s="231"/>
      <c r="B70" s="235"/>
      <c r="C70" s="214"/>
      <c r="D70" s="214"/>
      <c r="E70" s="214"/>
      <c r="F70" s="214"/>
      <c r="G70" s="222"/>
      <c r="H70" s="221"/>
      <c r="I70" s="213"/>
      <c r="J70" s="213"/>
      <c r="K70" s="215"/>
      <c r="L70" s="216"/>
      <c r="M70" s="217"/>
      <c r="N70" s="176"/>
      <c r="O70" s="241" t="str">
        <f>IF(Q70 = "", "", COUNT(Q$4:$Q70))</f>
        <v/>
      </c>
      <c r="P70" s="241" t="str">
        <f t="shared" si="12"/>
        <v/>
      </c>
      <c r="Q70" s="242" t="str">
        <f t="shared" si="13"/>
        <v/>
      </c>
      <c r="R70" s="243" t="str">
        <f t="shared" si="15"/>
        <v/>
      </c>
      <c r="S70" s="244" t="str">
        <f t="shared" si="16"/>
        <v/>
      </c>
      <c r="T70" s="245" t="str">
        <f t="shared" si="17"/>
        <v/>
      </c>
      <c r="U70" s="246" t="str">
        <f t="shared" si="18"/>
        <v/>
      </c>
      <c r="V70" s="8"/>
      <c r="AR70" t="str">
        <f t="shared" si="19"/>
        <v/>
      </c>
      <c r="AS70" t="str">
        <f t="shared" si="14"/>
        <v/>
      </c>
    </row>
    <row r="71" spans="1:45" x14ac:dyDescent="0.3">
      <c r="A71" s="231"/>
      <c r="B71" s="235"/>
      <c r="C71" s="214"/>
      <c r="D71" s="214"/>
      <c r="E71" s="214"/>
      <c r="F71" s="214"/>
      <c r="G71" s="222"/>
      <c r="H71" s="221"/>
      <c r="I71" s="213"/>
      <c r="J71" s="213"/>
      <c r="K71" s="215"/>
      <c r="L71" s="216"/>
      <c r="M71" s="217"/>
      <c r="N71" s="176"/>
      <c r="O71" s="241" t="str">
        <f>IF(Q71 = "", "", COUNT(Q$4:$Q71))</f>
        <v/>
      </c>
      <c r="P71" s="241" t="str">
        <f t="shared" si="12"/>
        <v/>
      </c>
      <c r="Q71" s="242" t="str">
        <f t="shared" si="13"/>
        <v/>
      </c>
      <c r="R71" s="243" t="str">
        <f t="shared" si="15"/>
        <v/>
      </c>
      <c r="S71" s="244" t="str">
        <f t="shared" si="16"/>
        <v/>
      </c>
      <c r="T71" s="245" t="str">
        <f t="shared" si="17"/>
        <v/>
      </c>
      <c r="U71" s="246" t="str">
        <f t="shared" si="18"/>
        <v/>
      </c>
      <c r="V71" s="8"/>
      <c r="AR71" t="str">
        <f t="shared" si="19"/>
        <v/>
      </c>
      <c r="AS71" t="str">
        <f t="shared" si="14"/>
        <v/>
      </c>
    </row>
    <row r="72" spans="1:45" x14ac:dyDescent="0.3">
      <c r="A72" s="231"/>
      <c r="B72" s="235"/>
      <c r="C72" s="214"/>
      <c r="D72" s="214"/>
      <c r="E72" s="214"/>
      <c r="F72" s="214"/>
      <c r="G72" s="222"/>
      <c r="H72" s="221"/>
      <c r="I72" s="213"/>
      <c r="J72" s="213"/>
      <c r="K72" s="215"/>
      <c r="L72" s="216"/>
      <c r="M72" s="217"/>
      <c r="N72" s="176"/>
      <c r="O72" s="241" t="str">
        <f>IF(Q72 = "", "", COUNT(Q$4:$Q72))</f>
        <v/>
      </c>
      <c r="P72" s="241" t="str">
        <f t="shared" si="12"/>
        <v/>
      </c>
      <c r="Q72" s="242" t="str">
        <f t="shared" si="13"/>
        <v/>
      </c>
      <c r="R72" s="243" t="str">
        <f t="shared" si="15"/>
        <v/>
      </c>
      <c r="S72" s="244" t="str">
        <f t="shared" si="16"/>
        <v/>
      </c>
      <c r="T72" s="245" t="str">
        <f t="shared" si="17"/>
        <v/>
      </c>
      <c r="U72" s="246" t="str">
        <f t="shared" si="18"/>
        <v/>
      </c>
      <c r="V72" s="8"/>
      <c r="AR72" t="str">
        <f t="shared" si="19"/>
        <v/>
      </c>
      <c r="AS72" t="str">
        <f t="shared" si="14"/>
        <v/>
      </c>
    </row>
    <row r="73" spans="1:45" x14ac:dyDescent="0.3">
      <c r="A73" s="231"/>
      <c r="B73" s="235"/>
      <c r="C73" s="214"/>
      <c r="D73" s="214"/>
      <c r="E73" s="214"/>
      <c r="F73" s="214"/>
      <c r="G73" s="222"/>
      <c r="H73" s="221"/>
      <c r="I73" s="213"/>
      <c r="J73" s="213"/>
      <c r="K73" s="215"/>
      <c r="L73" s="216"/>
      <c r="M73" s="217"/>
      <c r="N73" s="176"/>
      <c r="O73" s="241" t="str">
        <f>IF(Q73 = "", "", COUNT(Q$4:$Q73))</f>
        <v/>
      </c>
      <c r="P73" s="241" t="str">
        <f t="shared" si="12"/>
        <v/>
      </c>
      <c r="Q73" s="242" t="str">
        <f t="shared" si="13"/>
        <v/>
      </c>
      <c r="R73" s="243" t="str">
        <f t="shared" si="15"/>
        <v/>
      </c>
      <c r="S73" s="244" t="str">
        <f t="shared" si="16"/>
        <v/>
      </c>
      <c r="T73" s="245" t="str">
        <f t="shared" si="17"/>
        <v/>
      </c>
      <c r="U73" s="246" t="str">
        <f t="shared" si="18"/>
        <v/>
      </c>
      <c r="V73" s="8"/>
      <c r="AR73" t="str">
        <f t="shared" si="19"/>
        <v/>
      </c>
      <c r="AS73" t="str">
        <f t="shared" si="14"/>
        <v/>
      </c>
    </row>
    <row r="74" spans="1:45" x14ac:dyDescent="0.3">
      <c r="A74" s="231"/>
      <c r="B74" s="235"/>
      <c r="C74" s="214"/>
      <c r="D74" s="214"/>
      <c r="E74" s="214"/>
      <c r="F74" s="214"/>
      <c r="G74" s="222"/>
      <c r="H74" s="221"/>
      <c r="I74" s="213"/>
      <c r="J74" s="213"/>
      <c r="K74" s="215"/>
      <c r="L74" s="216"/>
      <c r="M74" s="217"/>
      <c r="N74" s="176"/>
      <c r="O74" s="241" t="str">
        <f>IF(Q74 = "", "", COUNT(Q$4:$Q74))</f>
        <v/>
      </c>
      <c r="P74" s="241" t="str">
        <f t="shared" si="12"/>
        <v/>
      </c>
      <c r="Q74" s="242" t="str">
        <f t="shared" si="13"/>
        <v/>
      </c>
      <c r="R74" s="243" t="str">
        <f t="shared" si="15"/>
        <v/>
      </c>
      <c r="S74" s="244" t="str">
        <f t="shared" si="16"/>
        <v/>
      </c>
      <c r="T74" s="245" t="str">
        <f t="shared" si="17"/>
        <v/>
      </c>
      <c r="U74" s="246" t="str">
        <f t="shared" si="18"/>
        <v/>
      </c>
      <c r="V74" s="8"/>
      <c r="AR74" t="str">
        <f t="shared" si="19"/>
        <v/>
      </c>
      <c r="AS74" t="str">
        <f t="shared" si="14"/>
        <v/>
      </c>
    </row>
    <row r="75" spans="1:45" x14ac:dyDescent="0.3">
      <c r="A75" s="231"/>
      <c r="B75" s="235"/>
      <c r="C75" s="214"/>
      <c r="D75" s="214"/>
      <c r="E75" s="214"/>
      <c r="F75" s="214"/>
      <c r="G75" s="222"/>
      <c r="H75" s="221"/>
      <c r="I75" s="213"/>
      <c r="J75" s="213"/>
      <c r="K75" s="215"/>
      <c r="L75" s="216"/>
      <c r="M75" s="217"/>
      <c r="N75" s="176"/>
      <c r="O75" s="241" t="str">
        <f>IF(Q75 = "", "", COUNT(Q$4:$Q75))</f>
        <v/>
      </c>
      <c r="P75" s="241" t="str">
        <f t="shared" si="12"/>
        <v/>
      </c>
      <c r="Q75" s="242" t="str">
        <f t="shared" si="13"/>
        <v/>
      </c>
      <c r="R75" s="243" t="str">
        <f t="shared" si="15"/>
        <v/>
      </c>
      <c r="S75" s="244" t="str">
        <f t="shared" si="16"/>
        <v/>
      </c>
      <c r="T75" s="245" t="str">
        <f t="shared" si="17"/>
        <v/>
      </c>
      <c r="U75" s="246" t="str">
        <f t="shared" si="18"/>
        <v/>
      </c>
      <c r="V75" s="8"/>
      <c r="AR75" t="str">
        <f t="shared" si="19"/>
        <v/>
      </c>
      <c r="AS75" t="str">
        <f t="shared" si="14"/>
        <v/>
      </c>
    </row>
    <row r="76" spans="1:45" x14ac:dyDescent="0.3">
      <c r="A76" s="231"/>
      <c r="B76" s="235"/>
      <c r="C76" s="214"/>
      <c r="D76" s="214"/>
      <c r="E76" s="214"/>
      <c r="F76" s="214"/>
      <c r="G76" s="222"/>
      <c r="H76" s="221"/>
      <c r="I76" s="213"/>
      <c r="J76" s="213"/>
      <c r="K76" s="215"/>
      <c r="L76" s="216"/>
      <c r="M76" s="217"/>
      <c r="N76" s="176"/>
      <c r="O76" s="241" t="str">
        <f>IF(Q76 = "", "", COUNT(Q$4:$Q76))</f>
        <v/>
      </c>
      <c r="P76" s="241" t="str">
        <f t="shared" si="12"/>
        <v/>
      </c>
      <c r="Q76" s="242" t="str">
        <f t="shared" si="13"/>
        <v/>
      </c>
      <c r="R76" s="243" t="str">
        <f t="shared" si="15"/>
        <v/>
      </c>
      <c r="S76" s="244" t="str">
        <f t="shared" si="16"/>
        <v/>
      </c>
      <c r="T76" s="245" t="str">
        <f t="shared" si="17"/>
        <v/>
      </c>
      <c r="U76" s="246" t="str">
        <f t="shared" si="18"/>
        <v/>
      </c>
      <c r="V76" s="8"/>
      <c r="AR76" t="str">
        <f t="shared" si="19"/>
        <v/>
      </c>
      <c r="AS76" t="str">
        <f t="shared" si="14"/>
        <v/>
      </c>
    </row>
    <row r="77" spans="1:45" x14ac:dyDescent="0.3">
      <c r="A77" s="231"/>
      <c r="B77" s="235"/>
      <c r="C77" s="214"/>
      <c r="D77" s="214"/>
      <c r="E77" s="214"/>
      <c r="F77" s="214"/>
      <c r="G77" s="222"/>
      <c r="H77" s="221"/>
      <c r="I77" s="213"/>
      <c r="J77" s="213"/>
      <c r="K77" s="215"/>
      <c r="L77" s="216"/>
      <c r="M77" s="217"/>
      <c r="N77" s="176"/>
      <c r="O77" s="241" t="str">
        <f>IF(Q77 = "", "", COUNT(Q$4:$Q77))</f>
        <v/>
      </c>
      <c r="P77" s="241" t="str">
        <f t="shared" si="12"/>
        <v/>
      </c>
      <c r="Q77" s="242" t="str">
        <f t="shared" si="13"/>
        <v/>
      </c>
      <c r="R77" s="243" t="str">
        <f t="shared" si="15"/>
        <v/>
      </c>
      <c r="S77" s="244" t="str">
        <f t="shared" si="16"/>
        <v/>
      </c>
      <c r="T77" s="245" t="str">
        <f t="shared" si="17"/>
        <v/>
      </c>
      <c r="U77" s="246" t="str">
        <f t="shared" si="18"/>
        <v/>
      </c>
      <c r="V77" s="8"/>
      <c r="AR77" t="str">
        <f t="shared" si="19"/>
        <v/>
      </c>
      <c r="AS77" t="str">
        <f t="shared" si="14"/>
        <v/>
      </c>
    </row>
    <row r="78" spans="1:45" x14ac:dyDescent="0.3">
      <c r="A78" s="231"/>
      <c r="B78" s="235"/>
      <c r="C78" s="214"/>
      <c r="D78" s="214"/>
      <c r="E78" s="214"/>
      <c r="F78" s="214"/>
      <c r="G78" s="222"/>
      <c r="H78" s="221"/>
      <c r="I78" s="213"/>
      <c r="J78" s="213"/>
      <c r="K78" s="215"/>
      <c r="L78" s="216"/>
      <c r="M78" s="217"/>
      <c r="N78" s="176"/>
      <c r="O78" s="241" t="str">
        <f>IF(Q78 = "", "", COUNT(Q$4:$Q78))</f>
        <v/>
      </c>
      <c r="P78" s="241" t="str">
        <f t="shared" si="12"/>
        <v/>
      </c>
      <c r="Q78" s="242" t="str">
        <f t="shared" si="13"/>
        <v/>
      </c>
      <c r="R78" s="243" t="str">
        <f t="shared" si="15"/>
        <v/>
      </c>
      <c r="S78" s="244" t="str">
        <f t="shared" si="16"/>
        <v/>
      </c>
      <c r="T78" s="245" t="str">
        <f t="shared" si="17"/>
        <v/>
      </c>
      <c r="U78" s="246" t="str">
        <f t="shared" si="18"/>
        <v/>
      </c>
      <c r="V78" s="8"/>
      <c r="AR78" t="str">
        <f t="shared" si="19"/>
        <v/>
      </c>
      <c r="AS78" t="str">
        <f t="shared" si="14"/>
        <v/>
      </c>
    </row>
    <row r="79" spans="1:45" x14ac:dyDescent="0.3">
      <c r="A79" s="231"/>
      <c r="B79" s="235"/>
      <c r="C79" s="214"/>
      <c r="D79" s="214"/>
      <c r="E79" s="214"/>
      <c r="F79" s="214"/>
      <c r="G79" s="222"/>
      <c r="H79" s="221"/>
      <c r="I79" s="213"/>
      <c r="J79" s="213"/>
      <c r="K79" s="215"/>
      <c r="L79" s="216"/>
      <c r="M79" s="217"/>
      <c r="N79" s="176"/>
      <c r="O79" s="241" t="str">
        <f>IF(Q79 = "", "", COUNT(Q$4:$Q79))</f>
        <v/>
      </c>
      <c r="P79" s="241" t="str">
        <f t="shared" si="12"/>
        <v/>
      </c>
      <c r="Q79" s="242" t="str">
        <f t="shared" si="13"/>
        <v/>
      </c>
      <c r="R79" s="243" t="str">
        <f t="shared" si="15"/>
        <v/>
      </c>
      <c r="S79" s="244" t="str">
        <f t="shared" si="16"/>
        <v/>
      </c>
      <c r="T79" s="245" t="str">
        <f t="shared" si="17"/>
        <v/>
      </c>
      <c r="U79" s="246" t="str">
        <f t="shared" si="18"/>
        <v/>
      </c>
      <c r="V79" s="8"/>
      <c r="AR79" t="str">
        <f t="shared" si="19"/>
        <v/>
      </c>
      <c r="AS79" t="str">
        <f t="shared" si="14"/>
        <v/>
      </c>
    </row>
    <row r="80" spans="1:45" x14ac:dyDescent="0.3">
      <c r="A80" s="231"/>
      <c r="B80" s="235"/>
      <c r="C80" s="214"/>
      <c r="D80" s="214"/>
      <c r="E80" s="214"/>
      <c r="F80" s="214"/>
      <c r="G80" s="222"/>
      <c r="H80" s="221"/>
      <c r="I80" s="213"/>
      <c r="J80" s="213"/>
      <c r="K80" s="215"/>
      <c r="L80" s="216"/>
      <c r="M80" s="217"/>
      <c r="N80" s="176"/>
      <c r="O80" s="241" t="str">
        <f>IF(Q80 = "", "", COUNT(Q$4:$Q80))</f>
        <v/>
      </c>
      <c r="P80" s="241" t="str">
        <f t="shared" si="12"/>
        <v/>
      </c>
      <c r="Q80" s="242" t="str">
        <f t="shared" si="13"/>
        <v/>
      </c>
      <c r="R80" s="243" t="str">
        <f t="shared" si="15"/>
        <v/>
      </c>
      <c r="S80" s="244" t="str">
        <f t="shared" si="16"/>
        <v/>
      </c>
      <c r="T80" s="245" t="str">
        <f t="shared" si="17"/>
        <v/>
      </c>
      <c r="U80" s="246" t="str">
        <f t="shared" si="18"/>
        <v/>
      </c>
      <c r="V80" s="8"/>
      <c r="AR80" t="str">
        <f t="shared" si="19"/>
        <v/>
      </c>
      <c r="AS80" t="str">
        <f t="shared" si="14"/>
        <v/>
      </c>
    </row>
    <row r="81" spans="1:45" x14ac:dyDescent="0.3">
      <c r="A81" s="231"/>
      <c r="B81" s="235"/>
      <c r="C81" s="214"/>
      <c r="D81" s="214"/>
      <c r="E81" s="214"/>
      <c r="F81" s="214"/>
      <c r="G81" s="222"/>
      <c r="H81" s="221"/>
      <c r="I81" s="213"/>
      <c r="J81" s="213"/>
      <c r="K81" s="215"/>
      <c r="L81" s="216"/>
      <c r="M81" s="217"/>
      <c r="N81" s="176"/>
      <c r="O81" s="241" t="str">
        <f>IF(Q81 = "", "", COUNT(Q$4:$Q81))</f>
        <v/>
      </c>
      <c r="P81" s="241" t="str">
        <f t="shared" si="12"/>
        <v/>
      </c>
      <c r="Q81" s="242" t="str">
        <f t="shared" si="13"/>
        <v/>
      </c>
      <c r="R81" s="243" t="str">
        <f t="shared" si="15"/>
        <v/>
      </c>
      <c r="S81" s="244" t="str">
        <f t="shared" si="16"/>
        <v/>
      </c>
      <c r="T81" s="245" t="str">
        <f t="shared" si="17"/>
        <v/>
      </c>
      <c r="U81" s="246" t="str">
        <f t="shared" si="18"/>
        <v/>
      </c>
      <c r="V81" s="8"/>
      <c r="AR81" t="str">
        <f t="shared" si="19"/>
        <v/>
      </c>
      <c r="AS81" t="str">
        <f t="shared" si="14"/>
        <v/>
      </c>
    </row>
    <row r="82" spans="1:45" x14ac:dyDescent="0.3">
      <c r="A82" s="231"/>
      <c r="B82" s="235"/>
      <c r="C82" s="214"/>
      <c r="D82" s="214"/>
      <c r="E82" s="214"/>
      <c r="F82" s="214"/>
      <c r="G82" s="222"/>
      <c r="H82" s="221"/>
      <c r="I82" s="213"/>
      <c r="J82" s="213"/>
      <c r="K82" s="215"/>
      <c r="L82" s="216"/>
      <c r="M82" s="217"/>
      <c r="N82" s="176"/>
      <c r="O82" s="241" t="str">
        <f>IF(Q82 = "", "", COUNT(Q$4:$Q82))</f>
        <v/>
      </c>
      <c r="P82" s="241" t="str">
        <f t="shared" si="12"/>
        <v/>
      </c>
      <c r="Q82" s="242" t="str">
        <f t="shared" si="13"/>
        <v/>
      </c>
      <c r="R82" s="243" t="str">
        <f t="shared" si="15"/>
        <v/>
      </c>
      <c r="S82" s="244" t="str">
        <f t="shared" si="16"/>
        <v/>
      </c>
      <c r="T82" s="245" t="str">
        <f t="shared" si="17"/>
        <v/>
      </c>
      <c r="U82" s="246" t="str">
        <f t="shared" si="18"/>
        <v/>
      </c>
      <c r="V82" s="8"/>
      <c r="AR82" t="str">
        <f t="shared" si="19"/>
        <v/>
      </c>
      <c r="AS82" t="str">
        <f t="shared" si="14"/>
        <v/>
      </c>
    </row>
    <row r="83" spans="1:45" x14ac:dyDescent="0.3">
      <c r="A83" s="231"/>
      <c r="B83" s="235"/>
      <c r="C83" s="214"/>
      <c r="D83" s="214"/>
      <c r="E83" s="214"/>
      <c r="F83" s="214"/>
      <c r="G83" s="222"/>
      <c r="H83" s="221"/>
      <c r="I83" s="213"/>
      <c r="J83" s="213"/>
      <c r="K83" s="215"/>
      <c r="L83" s="216"/>
      <c r="M83" s="217"/>
      <c r="N83" s="176"/>
      <c r="O83" s="241" t="str">
        <f>IF(Q83 = "", "", COUNT(Q$4:$Q83))</f>
        <v/>
      </c>
      <c r="P83" s="241" t="str">
        <f t="shared" si="12"/>
        <v/>
      </c>
      <c r="Q83" s="242" t="str">
        <f t="shared" si="13"/>
        <v/>
      </c>
      <c r="R83" s="243" t="str">
        <f t="shared" si="15"/>
        <v/>
      </c>
      <c r="S83" s="244" t="str">
        <f t="shared" si="16"/>
        <v/>
      </c>
      <c r="T83" s="245" t="str">
        <f t="shared" si="17"/>
        <v/>
      </c>
      <c r="U83" s="246" t="str">
        <f t="shared" si="18"/>
        <v/>
      </c>
      <c r="V83" s="8"/>
      <c r="AR83" t="str">
        <f t="shared" si="19"/>
        <v/>
      </c>
      <c r="AS83" t="str">
        <f t="shared" si="14"/>
        <v/>
      </c>
    </row>
    <row r="84" spans="1:45" x14ac:dyDescent="0.3">
      <c r="A84" s="231"/>
      <c r="B84" s="235"/>
      <c r="C84" s="214"/>
      <c r="D84" s="214"/>
      <c r="E84" s="214"/>
      <c r="F84" s="214"/>
      <c r="G84" s="222"/>
      <c r="H84" s="221"/>
      <c r="I84" s="213"/>
      <c r="J84" s="213"/>
      <c r="K84" s="215"/>
      <c r="L84" s="216"/>
      <c r="M84" s="217"/>
      <c r="N84" s="176"/>
      <c r="O84" s="241" t="str">
        <f>IF(Q84 = "", "", COUNT(Q$4:$Q84))</f>
        <v/>
      </c>
      <c r="P84" s="241" t="str">
        <f t="shared" si="12"/>
        <v/>
      </c>
      <c r="Q84" s="242" t="str">
        <f t="shared" si="13"/>
        <v/>
      </c>
      <c r="R84" s="243" t="str">
        <f t="shared" si="15"/>
        <v/>
      </c>
      <c r="S84" s="244" t="str">
        <f t="shared" si="16"/>
        <v/>
      </c>
      <c r="T84" s="245" t="str">
        <f t="shared" si="17"/>
        <v/>
      </c>
      <c r="U84" s="246" t="str">
        <f t="shared" si="18"/>
        <v/>
      </c>
      <c r="V84" s="8"/>
      <c r="AR84" t="str">
        <f t="shared" si="19"/>
        <v/>
      </c>
      <c r="AS84" t="str">
        <f t="shared" si="14"/>
        <v/>
      </c>
    </row>
    <row r="85" spans="1:45" x14ac:dyDescent="0.3">
      <c r="A85" s="231"/>
      <c r="B85" s="235"/>
      <c r="C85" s="214"/>
      <c r="D85" s="214"/>
      <c r="E85" s="214"/>
      <c r="F85" s="214"/>
      <c r="G85" s="222"/>
      <c r="H85" s="221"/>
      <c r="I85" s="213"/>
      <c r="J85" s="213"/>
      <c r="K85" s="215"/>
      <c r="L85" s="216"/>
      <c r="M85" s="217"/>
      <c r="N85" s="176"/>
      <c r="O85" s="241" t="str">
        <f>IF(Q85 = "", "", COUNT(Q$4:$Q85))</f>
        <v/>
      </c>
      <c r="P85" s="241" t="str">
        <f t="shared" si="12"/>
        <v/>
      </c>
      <c r="Q85" s="242" t="str">
        <f t="shared" si="13"/>
        <v/>
      </c>
      <c r="R85" s="243" t="str">
        <f t="shared" si="15"/>
        <v/>
      </c>
      <c r="S85" s="244" t="str">
        <f t="shared" si="16"/>
        <v/>
      </c>
      <c r="T85" s="245" t="str">
        <f t="shared" si="17"/>
        <v/>
      </c>
      <c r="U85" s="246" t="str">
        <f t="shared" si="18"/>
        <v/>
      </c>
      <c r="V85" s="8"/>
      <c r="AR85" t="str">
        <f t="shared" si="19"/>
        <v/>
      </c>
      <c r="AS85" t="str">
        <f t="shared" si="14"/>
        <v/>
      </c>
    </row>
    <row r="86" spans="1:45" x14ac:dyDescent="0.3">
      <c r="A86" s="231"/>
      <c r="B86" s="235"/>
      <c r="C86" s="214"/>
      <c r="D86" s="214"/>
      <c r="E86" s="214"/>
      <c r="F86" s="214"/>
      <c r="G86" s="222"/>
      <c r="H86" s="221"/>
      <c r="I86" s="213"/>
      <c r="J86" s="213"/>
      <c r="K86" s="215"/>
      <c r="L86" s="216"/>
      <c r="M86" s="217"/>
      <c r="N86" s="176"/>
      <c r="O86" s="241" t="str">
        <f>IF(Q86 = "", "", COUNT(Q$4:$Q86))</f>
        <v/>
      </c>
      <c r="P86" s="241" t="str">
        <f t="shared" si="12"/>
        <v/>
      </c>
      <c r="Q86" s="242" t="str">
        <f t="shared" si="13"/>
        <v/>
      </c>
      <c r="R86" s="243" t="str">
        <f t="shared" si="15"/>
        <v/>
      </c>
      <c r="S86" s="244" t="str">
        <f t="shared" si="16"/>
        <v/>
      </c>
      <c r="T86" s="245" t="str">
        <f t="shared" si="17"/>
        <v/>
      </c>
      <c r="U86" s="246" t="str">
        <f t="shared" si="18"/>
        <v/>
      </c>
      <c r="V86" s="8"/>
      <c r="AR86" t="str">
        <f t="shared" si="19"/>
        <v/>
      </c>
      <c r="AS86" t="str">
        <f t="shared" si="14"/>
        <v/>
      </c>
    </row>
    <row r="87" spans="1:45" x14ac:dyDescent="0.3">
      <c r="A87" s="231"/>
      <c r="B87" s="235"/>
      <c r="C87" s="214"/>
      <c r="D87" s="214"/>
      <c r="E87" s="214"/>
      <c r="F87" s="214"/>
      <c r="G87" s="222"/>
      <c r="H87" s="221"/>
      <c r="I87" s="213"/>
      <c r="J87" s="213"/>
      <c r="K87" s="215"/>
      <c r="L87" s="216"/>
      <c r="M87" s="217"/>
      <c r="N87" s="176"/>
      <c r="O87" s="241" t="str">
        <f>IF(Q87 = "", "", COUNT(Q$4:$Q87))</f>
        <v/>
      </c>
      <c r="P87" s="241" t="str">
        <f t="shared" si="12"/>
        <v/>
      </c>
      <c r="Q87" s="242" t="str">
        <f t="shared" si="13"/>
        <v/>
      </c>
      <c r="R87" s="243" t="str">
        <f t="shared" si="15"/>
        <v/>
      </c>
      <c r="S87" s="244" t="str">
        <f t="shared" si="16"/>
        <v/>
      </c>
      <c r="T87" s="245" t="str">
        <f t="shared" si="17"/>
        <v/>
      </c>
      <c r="U87" s="246" t="str">
        <f t="shared" si="18"/>
        <v/>
      </c>
      <c r="V87" s="8"/>
      <c r="AR87" t="str">
        <f t="shared" si="19"/>
        <v/>
      </c>
      <c r="AS87" t="str">
        <f t="shared" si="14"/>
        <v/>
      </c>
    </row>
    <row r="88" spans="1:45" x14ac:dyDescent="0.3">
      <c r="A88" s="231"/>
      <c r="B88" s="235"/>
      <c r="C88" s="214"/>
      <c r="D88" s="214"/>
      <c r="E88" s="214"/>
      <c r="F88" s="214"/>
      <c r="G88" s="222"/>
      <c r="H88" s="221"/>
      <c r="I88" s="213"/>
      <c r="J88" s="213"/>
      <c r="K88" s="215"/>
      <c r="L88" s="216"/>
      <c r="M88" s="217"/>
      <c r="N88" s="176"/>
      <c r="O88" s="241" t="str">
        <f>IF(Q88 = "", "", COUNT(Q$4:$Q88))</f>
        <v/>
      </c>
      <c r="P88" s="241" t="str">
        <f t="shared" si="12"/>
        <v/>
      </c>
      <c r="Q88" s="242" t="str">
        <f t="shared" si="13"/>
        <v/>
      </c>
      <c r="R88" s="243" t="str">
        <f t="shared" si="15"/>
        <v/>
      </c>
      <c r="S88" s="244" t="str">
        <f t="shared" si="16"/>
        <v/>
      </c>
      <c r="T88" s="245" t="str">
        <f t="shared" si="17"/>
        <v/>
      </c>
      <c r="U88" s="246" t="str">
        <f t="shared" si="18"/>
        <v/>
      </c>
      <c r="V88" s="8"/>
      <c r="AR88" t="str">
        <f t="shared" si="19"/>
        <v/>
      </c>
      <c r="AS88" t="str">
        <f t="shared" si="14"/>
        <v/>
      </c>
    </row>
    <row r="89" spans="1:45" x14ac:dyDescent="0.3">
      <c r="A89" s="231"/>
      <c r="B89" s="235"/>
      <c r="C89" s="214"/>
      <c r="D89" s="214"/>
      <c r="E89" s="214"/>
      <c r="F89" s="214"/>
      <c r="G89" s="222"/>
      <c r="H89" s="221"/>
      <c r="I89" s="213"/>
      <c r="J89" s="213"/>
      <c r="K89" s="215"/>
      <c r="L89" s="216"/>
      <c r="M89" s="217"/>
      <c r="N89" s="176"/>
      <c r="O89" s="241" t="str">
        <f>IF(Q89 = "", "", COUNT(Q$4:$Q89))</f>
        <v/>
      </c>
      <c r="P89" s="241" t="str">
        <f t="shared" si="12"/>
        <v/>
      </c>
      <c r="Q89" s="242" t="str">
        <f t="shared" si="13"/>
        <v/>
      </c>
      <c r="R89" s="243" t="str">
        <f t="shared" si="15"/>
        <v/>
      </c>
      <c r="S89" s="244" t="str">
        <f t="shared" si="16"/>
        <v/>
      </c>
      <c r="T89" s="245" t="str">
        <f t="shared" si="17"/>
        <v/>
      </c>
      <c r="U89" s="246" t="str">
        <f t="shared" si="18"/>
        <v/>
      </c>
      <c r="V89" s="8"/>
      <c r="AR89" t="str">
        <f t="shared" si="19"/>
        <v/>
      </c>
      <c r="AS89" t="str">
        <f t="shared" si="14"/>
        <v/>
      </c>
    </row>
    <row r="90" spans="1:45" x14ac:dyDescent="0.3">
      <c r="A90" s="231"/>
      <c r="B90" s="235"/>
      <c r="C90" s="214"/>
      <c r="D90" s="214"/>
      <c r="E90" s="214"/>
      <c r="F90" s="214"/>
      <c r="G90" s="222"/>
      <c r="H90" s="221"/>
      <c r="I90" s="213"/>
      <c r="J90" s="213"/>
      <c r="K90" s="215"/>
      <c r="L90" s="216"/>
      <c r="M90" s="217"/>
      <c r="N90" s="176"/>
      <c r="O90" s="241" t="str">
        <f>IF(Q90 = "", "", COUNT(Q$4:$Q90))</f>
        <v/>
      </c>
      <c r="P90" s="241" t="str">
        <f t="shared" si="12"/>
        <v/>
      </c>
      <c r="Q90" s="242" t="str">
        <f t="shared" si="13"/>
        <v/>
      </c>
      <c r="R90" s="243" t="str">
        <f t="shared" si="15"/>
        <v/>
      </c>
      <c r="S90" s="244" t="str">
        <f t="shared" si="16"/>
        <v/>
      </c>
      <c r="T90" s="245" t="str">
        <f t="shared" si="17"/>
        <v/>
      </c>
      <c r="U90" s="246" t="str">
        <f t="shared" si="18"/>
        <v/>
      </c>
      <c r="V90" s="8"/>
      <c r="AR90" t="str">
        <f t="shared" si="19"/>
        <v/>
      </c>
      <c r="AS90" t="str">
        <f t="shared" si="14"/>
        <v/>
      </c>
    </row>
    <row r="91" spans="1:45" x14ac:dyDescent="0.3">
      <c r="A91" s="231"/>
      <c r="B91" s="235"/>
      <c r="C91" s="214"/>
      <c r="D91" s="214"/>
      <c r="E91" s="214"/>
      <c r="F91" s="214"/>
      <c r="G91" s="222"/>
      <c r="H91" s="221"/>
      <c r="I91" s="213"/>
      <c r="J91" s="213"/>
      <c r="K91" s="215"/>
      <c r="L91" s="216"/>
      <c r="M91" s="217"/>
      <c r="N91" s="176"/>
      <c r="O91" s="241" t="str">
        <f>IF(Q91 = "", "", COUNT(Q$4:$Q91))</f>
        <v/>
      </c>
      <c r="P91" s="241" t="str">
        <f t="shared" si="12"/>
        <v/>
      </c>
      <c r="Q91" s="242" t="str">
        <f t="shared" si="13"/>
        <v/>
      </c>
      <c r="R91" s="243" t="str">
        <f t="shared" si="15"/>
        <v/>
      </c>
      <c r="S91" s="244" t="str">
        <f t="shared" si="16"/>
        <v/>
      </c>
      <c r="T91" s="245" t="str">
        <f t="shared" si="17"/>
        <v/>
      </c>
      <c r="U91" s="246" t="str">
        <f t="shared" si="18"/>
        <v/>
      </c>
      <c r="V91" s="8"/>
      <c r="AR91" t="str">
        <f t="shared" si="19"/>
        <v/>
      </c>
      <c r="AS91" t="str">
        <f t="shared" si="14"/>
        <v/>
      </c>
    </row>
    <row r="92" spans="1:45" x14ac:dyDescent="0.3">
      <c r="A92" s="231"/>
      <c r="B92" s="235"/>
      <c r="C92" s="214"/>
      <c r="D92" s="214"/>
      <c r="E92" s="214"/>
      <c r="F92" s="214"/>
      <c r="G92" s="222"/>
      <c r="H92" s="221"/>
      <c r="I92" s="213"/>
      <c r="J92" s="213"/>
      <c r="K92" s="215"/>
      <c r="L92" s="216"/>
      <c r="M92" s="217"/>
      <c r="N92" s="176"/>
      <c r="O92" s="241" t="str">
        <f>IF(Q92 = "", "", COUNT(Q$4:$Q92))</f>
        <v/>
      </c>
      <c r="P92" s="241" t="str">
        <f t="shared" si="12"/>
        <v/>
      </c>
      <c r="Q92" s="242" t="str">
        <f t="shared" si="13"/>
        <v/>
      </c>
      <c r="R92" s="243" t="str">
        <f t="shared" si="15"/>
        <v/>
      </c>
      <c r="S92" s="244" t="str">
        <f t="shared" si="16"/>
        <v/>
      </c>
      <c r="T92" s="245" t="str">
        <f t="shared" si="17"/>
        <v/>
      </c>
      <c r="U92" s="246" t="str">
        <f t="shared" si="18"/>
        <v/>
      </c>
      <c r="V92" s="8"/>
      <c r="AR92" t="str">
        <f t="shared" si="19"/>
        <v/>
      </c>
      <c r="AS92" t="str">
        <f t="shared" si="14"/>
        <v/>
      </c>
    </row>
    <row r="93" spans="1:45" x14ac:dyDescent="0.3">
      <c r="A93" s="231"/>
      <c r="B93" s="235"/>
      <c r="C93" s="214"/>
      <c r="D93" s="214"/>
      <c r="E93" s="214"/>
      <c r="F93" s="214"/>
      <c r="G93" s="222"/>
      <c r="H93" s="221"/>
      <c r="I93" s="213"/>
      <c r="J93" s="213"/>
      <c r="K93" s="215"/>
      <c r="L93" s="216"/>
      <c r="M93" s="217"/>
      <c r="N93" s="176"/>
      <c r="O93" s="241" t="str">
        <f>IF(Q93 = "", "", COUNT(Q$4:$Q93))</f>
        <v/>
      </c>
      <c r="P93" s="241" t="str">
        <f t="shared" si="12"/>
        <v/>
      </c>
      <c r="Q93" s="242" t="str">
        <f t="shared" si="13"/>
        <v/>
      </c>
      <c r="R93" s="243" t="str">
        <f t="shared" si="15"/>
        <v/>
      </c>
      <c r="S93" s="244" t="str">
        <f t="shared" si="16"/>
        <v/>
      </c>
      <c r="T93" s="245" t="str">
        <f t="shared" si="17"/>
        <v/>
      </c>
      <c r="U93" s="246" t="str">
        <f t="shared" si="18"/>
        <v/>
      </c>
      <c r="V93" s="8"/>
      <c r="AR93" t="str">
        <f t="shared" si="19"/>
        <v/>
      </c>
      <c r="AS93" t="str">
        <f t="shared" si="14"/>
        <v/>
      </c>
    </row>
    <row r="94" spans="1:45" x14ac:dyDescent="0.3">
      <c r="A94" s="231"/>
      <c r="B94" s="235"/>
      <c r="C94" s="214"/>
      <c r="D94" s="214"/>
      <c r="E94" s="214"/>
      <c r="F94" s="214"/>
      <c r="G94" s="222"/>
      <c r="H94" s="221"/>
      <c r="I94" s="213"/>
      <c r="J94" s="213"/>
      <c r="K94" s="215"/>
      <c r="L94" s="216"/>
      <c r="M94" s="217"/>
      <c r="N94" s="176"/>
      <c r="O94" s="241" t="str">
        <f>IF(Q94 = "", "", COUNT(Q$4:$Q94))</f>
        <v/>
      </c>
      <c r="P94" s="241" t="str">
        <f t="shared" si="12"/>
        <v/>
      </c>
      <c r="Q94" s="242" t="str">
        <f t="shared" si="13"/>
        <v/>
      </c>
      <c r="R94" s="243" t="str">
        <f t="shared" si="15"/>
        <v/>
      </c>
      <c r="S94" s="244" t="str">
        <f t="shared" si="16"/>
        <v/>
      </c>
      <c r="T94" s="245" t="str">
        <f t="shared" si="17"/>
        <v/>
      </c>
      <c r="U94" s="246" t="str">
        <f t="shared" si="18"/>
        <v/>
      </c>
      <c r="V94" s="8"/>
      <c r="AR94" t="str">
        <f t="shared" si="19"/>
        <v/>
      </c>
      <c r="AS94" t="str">
        <f t="shared" si="14"/>
        <v/>
      </c>
    </row>
    <row r="95" spans="1:45" x14ac:dyDescent="0.3">
      <c r="A95" s="231"/>
      <c r="B95" s="235"/>
      <c r="C95" s="214"/>
      <c r="D95" s="214"/>
      <c r="E95" s="214"/>
      <c r="F95" s="214"/>
      <c r="G95" s="222"/>
      <c r="H95" s="221"/>
      <c r="I95" s="213"/>
      <c r="J95" s="213"/>
      <c r="K95" s="215"/>
      <c r="L95" s="216"/>
      <c r="M95" s="217"/>
      <c r="N95" s="176"/>
      <c r="O95" s="241" t="str">
        <f>IF(Q95 = "", "", COUNT(Q$4:$Q95))</f>
        <v/>
      </c>
      <c r="P95" s="241" t="str">
        <f t="shared" si="12"/>
        <v/>
      </c>
      <c r="Q95" s="242" t="str">
        <f t="shared" si="13"/>
        <v/>
      </c>
      <c r="R95" s="243" t="str">
        <f t="shared" si="15"/>
        <v/>
      </c>
      <c r="S95" s="244" t="str">
        <f t="shared" si="16"/>
        <v/>
      </c>
      <c r="T95" s="245" t="str">
        <f t="shared" si="17"/>
        <v/>
      </c>
      <c r="U95" s="246" t="str">
        <f t="shared" si="18"/>
        <v/>
      </c>
      <c r="V95" s="8"/>
      <c r="AR95" t="str">
        <f t="shared" si="19"/>
        <v/>
      </c>
      <c r="AS95" t="str">
        <f t="shared" si="14"/>
        <v/>
      </c>
    </row>
    <row r="96" spans="1:45" x14ac:dyDescent="0.3">
      <c r="A96" s="231"/>
      <c r="B96" s="235"/>
      <c r="C96" s="214"/>
      <c r="D96" s="214"/>
      <c r="E96" s="214"/>
      <c r="F96" s="214"/>
      <c r="G96" s="222"/>
      <c r="H96" s="221"/>
      <c r="I96" s="213"/>
      <c r="J96" s="213"/>
      <c r="K96" s="215"/>
      <c r="L96" s="216"/>
      <c r="M96" s="217"/>
      <c r="N96" s="176"/>
      <c r="O96" s="241" t="str">
        <f>IF(Q96 = "", "", COUNT(Q$4:$Q96))</f>
        <v/>
      </c>
      <c r="P96" s="241" t="str">
        <f t="shared" si="12"/>
        <v/>
      </c>
      <c r="Q96" s="242" t="str">
        <f t="shared" si="13"/>
        <v/>
      </c>
      <c r="R96" s="243" t="str">
        <f t="shared" si="15"/>
        <v/>
      </c>
      <c r="S96" s="244" t="str">
        <f t="shared" si="16"/>
        <v/>
      </c>
      <c r="T96" s="245" t="str">
        <f t="shared" si="17"/>
        <v/>
      </c>
      <c r="U96" s="246" t="str">
        <f t="shared" si="18"/>
        <v/>
      </c>
      <c r="V96" s="8"/>
      <c r="AR96" t="str">
        <f t="shared" si="19"/>
        <v/>
      </c>
      <c r="AS96" t="str">
        <f t="shared" si="14"/>
        <v/>
      </c>
    </row>
    <row r="97" spans="1:45" x14ac:dyDescent="0.3">
      <c r="A97" s="231"/>
      <c r="B97" s="235"/>
      <c r="C97" s="214"/>
      <c r="D97" s="214"/>
      <c r="E97" s="214"/>
      <c r="F97" s="214"/>
      <c r="G97" s="222"/>
      <c r="H97" s="221"/>
      <c r="I97" s="213"/>
      <c r="J97" s="213"/>
      <c r="K97" s="215"/>
      <c r="L97" s="216"/>
      <c r="M97" s="217"/>
      <c r="N97" s="176"/>
      <c r="O97" s="241" t="str">
        <f>IF(Q97 = "", "", COUNT(Q$4:$Q97))</f>
        <v/>
      </c>
      <c r="P97" s="241" t="str">
        <f t="shared" si="12"/>
        <v/>
      </c>
      <c r="Q97" s="242" t="str">
        <f t="shared" si="13"/>
        <v/>
      </c>
      <c r="R97" s="243" t="str">
        <f t="shared" si="15"/>
        <v/>
      </c>
      <c r="S97" s="244" t="str">
        <f t="shared" si="16"/>
        <v/>
      </c>
      <c r="T97" s="245" t="str">
        <f t="shared" si="17"/>
        <v/>
      </c>
      <c r="U97" s="246" t="str">
        <f t="shared" si="18"/>
        <v/>
      </c>
      <c r="V97" s="8"/>
      <c r="AR97" t="str">
        <f t="shared" si="19"/>
        <v/>
      </c>
      <c r="AS97" t="str">
        <f t="shared" si="14"/>
        <v/>
      </c>
    </row>
    <row r="98" spans="1:45" x14ac:dyDescent="0.3">
      <c r="A98" s="231"/>
      <c r="B98" s="235"/>
      <c r="C98" s="214"/>
      <c r="D98" s="214"/>
      <c r="E98" s="214"/>
      <c r="F98" s="214"/>
      <c r="G98" s="222"/>
      <c r="H98" s="221"/>
      <c r="I98" s="213"/>
      <c r="J98" s="213"/>
      <c r="K98" s="215"/>
      <c r="L98" s="216"/>
      <c r="M98" s="217"/>
      <c r="N98" s="176"/>
      <c r="O98" s="241" t="str">
        <f>IF(Q98 = "", "", COUNT(Q$4:$Q98))</f>
        <v/>
      </c>
      <c r="P98" s="241" t="str">
        <f t="shared" si="12"/>
        <v/>
      </c>
      <c r="Q98" s="242" t="str">
        <f t="shared" si="13"/>
        <v/>
      </c>
      <c r="R98" s="243" t="str">
        <f t="shared" si="15"/>
        <v/>
      </c>
      <c r="S98" s="244" t="str">
        <f t="shared" si="16"/>
        <v/>
      </c>
      <c r="T98" s="245" t="str">
        <f t="shared" si="17"/>
        <v/>
      </c>
      <c r="U98" s="246" t="str">
        <f t="shared" si="18"/>
        <v/>
      </c>
      <c r="V98" s="8"/>
      <c r="AR98" t="str">
        <f t="shared" si="19"/>
        <v/>
      </c>
      <c r="AS98" t="str">
        <f t="shared" si="14"/>
        <v/>
      </c>
    </row>
    <row r="99" spans="1:45" x14ac:dyDescent="0.3">
      <c r="A99" s="231"/>
      <c r="B99" s="235"/>
      <c r="C99" s="214"/>
      <c r="D99" s="214"/>
      <c r="E99" s="214"/>
      <c r="F99" s="214"/>
      <c r="G99" s="222"/>
      <c r="H99" s="221"/>
      <c r="I99" s="213"/>
      <c r="J99" s="213"/>
      <c r="K99" s="215"/>
      <c r="L99" s="216"/>
      <c r="M99" s="217"/>
      <c r="N99" s="176"/>
      <c r="O99" s="241" t="str">
        <f>IF(Q99 = "", "", COUNT(Q$4:$Q99))</f>
        <v/>
      </c>
      <c r="P99" s="241" t="str">
        <f t="shared" si="12"/>
        <v/>
      </c>
      <c r="Q99" s="242" t="str">
        <f t="shared" si="13"/>
        <v/>
      </c>
      <c r="R99" s="243" t="str">
        <f t="shared" si="15"/>
        <v/>
      </c>
      <c r="S99" s="244" t="str">
        <f t="shared" si="16"/>
        <v/>
      </c>
      <c r="T99" s="245" t="str">
        <f t="shared" si="17"/>
        <v/>
      </c>
      <c r="U99" s="246" t="str">
        <f t="shared" si="18"/>
        <v/>
      </c>
      <c r="V99" s="8"/>
      <c r="AR99" t="str">
        <f t="shared" si="19"/>
        <v/>
      </c>
      <c r="AS99" t="str">
        <f t="shared" si="14"/>
        <v/>
      </c>
    </row>
    <row r="100" spans="1:45" x14ac:dyDescent="0.3">
      <c r="A100" s="231"/>
      <c r="B100" s="235"/>
      <c r="C100" s="214"/>
      <c r="D100" s="214"/>
      <c r="E100" s="214"/>
      <c r="F100" s="214"/>
      <c r="G100" s="222"/>
      <c r="H100" s="221"/>
      <c r="I100" s="213"/>
      <c r="J100" s="213"/>
      <c r="K100" s="215"/>
      <c r="L100" s="216"/>
      <c r="M100" s="217"/>
      <c r="N100" s="176"/>
      <c r="O100" s="241" t="str">
        <f>IF(Q100 = "", "", COUNT(Q$4:$Q100))</f>
        <v/>
      </c>
      <c r="P100" s="241" t="str">
        <f t="shared" si="12"/>
        <v/>
      </c>
      <c r="Q100" s="242" t="str">
        <f t="shared" si="13"/>
        <v/>
      </c>
      <c r="R100" s="243" t="str">
        <f t="shared" si="15"/>
        <v/>
      </c>
      <c r="S100" s="244" t="str">
        <f t="shared" si="16"/>
        <v/>
      </c>
      <c r="T100" s="245" t="str">
        <f t="shared" si="17"/>
        <v/>
      </c>
      <c r="U100" s="246" t="str">
        <f t="shared" si="18"/>
        <v/>
      </c>
      <c r="V100" s="8"/>
      <c r="AR100" t="str">
        <f t="shared" si="19"/>
        <v/>
      </c>
      <c r="AS100" t="str">
        <f t="shared" si="14"/>
        <v/>
      </c>
    </row>
    <row r="101" spans="1:45" x14ac:dyDescent="0.3">
      <c r="A101" s="231"/>
      <c r="B101" s="235"/>
      <c r="C101" s="214"/>
      <c r="D101" s="214"/>
      <c r="E101" s="214"/>
      <c r="F101" s="214"/>
      <c r="G101" s="222"/>
      <c r="H101" s="221"/>
      <c r="I101" s="213"/>
      <c r="J101" s="213"/>
      <c r="K101" s="215"/>
      <c r="L101" s="216"/>
      <c r="M101" s="217"/>
      <c r="N101" s="176"/>
      <c r="O101" s="241" t="str">
        <f>IF(Q101 = "", "", COUNT(Q$4:$Q101))</f>
        <v/>
      </c>
      <c r="P101" s="241" t="str">
        <f t="shared" si="12"/>
        <v/>
      </c>
      <c r="Q101" s="242" t="str">
        <f t="shared" si="13"/>
        <v/>
      </c>
      <c r="R101" s="243" t="str">
        <f t="shared" si="15"/>
        <v/>
      </c>
      <c r="S101" s="244" t="str">
        <f t="shared" si="16"/>
        <v/>
      </c>
      <c r="T101" s="245" t="str">
        <f t="shared" si="17"/>
        <v/>
      </c>
      <c r="U101" s="246" t="str">
        <f t="shared" si="18"/>
        <v/>
      </c>
      <c r="V101" s="8"/>
      <c r="AR101" t="str">
        <f t="shared" si="19"/>
        <v/>
      </c>
      <c r="AS101" t="str">
        <f t="shared" si="14"/>
        <v/>
      </c>
    </row>
    <row r="102" spans="1:45" x14ac:dyDescent="0.3">
      <c r="A102" s="231"/>
      <c r="B102" s="235"/>
      <c r="C102" s="214"/>
      <c r="D102" s="214"/>
      <c r="E102" s="214"/>
      <c r="F102" s="214"/>
      <c r="G102" s="222"/>
      <c r="H102" s="221"/>
      <c r="I102" s="213"/>
      <c r="J102" s="213"/>
      <c r="K102" s="215"/>
      <c r="L102" s="216"/>
      <c r="M102" s="217"/>
      <c r="N102" s="176"/>
      <c r="O102" s="241" t="str">
        <f>IF(Q102 = "", "", COUNT(Q$4:$Q102))</f>
        <v/>
      </c>
      <c r="P102" s="241" t="str">
        <f t="shared" si="12"/>
        <v/>
      </c>
      <c r="Q102" s="242" t="str">
        <f t="shared" si="13"/>
        <v/>
      </c>
      <c r="R102" s="243" t="str">
        <f t="shared" si="15"/>
        <v/>
      </c>
      <c r="S102" s="244" t="str">
        <f t="shared" si="16"/>
        <v/>
      </c>
      <c r="T102" s="245" t="str">
        <f t="shared" si="17"/>
        <v/>
      </c>
      <c r="U102" s="246" t="str">
        <f t="shared" si="18"/>
        <v/>
      </c>
      <c r="V102" s="8"/>
      <c r="AR102" t="str">
        <f t="shared" si="19"/>
        <v/>
      </c>
      <c r="AS102" t="str">
        <f t="shared" si="14"/>
        <v/>
      </c>
    </row>
    <row r="103" spans="1:45" x14ac:dyDescent="0.3">
      <c r="A103" s="231"/>
      <c r="B103" s="235"/>
      <c r="C103" s="214"/>
      <c r="D103" s="214"/>
      <c r="E103" s="214"/>
      <c r="F103" s="214"/>
      <c r="G103" s="222"/>
      <c r="H103" s="221"/>
      <c r="I103" s="213"/>
      <c r="J103" s="213"/>
      <c r="K103" s="215"/>
      <c r="L103" s="216"/>
      <c r="M103" s="217"/>
      <c r="N103" s="176"/>
      <c r="O103" s="241" t="str">
        <f>IF(Q103 = "", "", COUNT(Q$4:$Q103))</f>
        <v/>
      </c>
      <c r="P103" s="241" t="str">
        <f t="shared" si="12"/>
        <v/>
      </c>
      <c r="Q103" s="242" t="str">
        <f t="shared" si="13"/>
        <v/>
      </c>
      <c r="R103" s="243" t="str">
        <f t="shared" si="15"/>
        <v/>
      </c>
      <c r="S103" s="244" t="str">
        <f t="shared" si="16"/>
        <v/>
      </c>
      <c r="T103" s="245" t="str">
        <f t="shared" si="17"/>
        <v/>
      </c>
      <c r="U103" s="246" t="str">
        <f t="shared" si="18"/>
        <v/>
      </c>
      <c r="V103" s="8"/>
      <c r="AR103" t="str">
        <f t="shared" si="19"/>
        <v/>
      </c>
      <c r="AS103" t="str">
        <f t="shared" si="14"/>
        <v/>
      </c>
    </row>
    <row r="104" spans="1:45" x14ac:dyDescent="0.3">
      <c r="A104" s="231"/>
      <c r="B104" s="235"/>
      <c r="C104" s="214"/>
      <c r="D104" s="214"/>
      <c r="E104" s="214"/>
      <c r="F104" s="214"/>
      <c r="G104" s="222"/>
      <c r="H104" s="221"/>
      <c r="I104" s="213"/>
      <c r="J104" s="213"/>
      <c r="K104" s="215"/>
      <c r="L104" s="216"/>
      <c r="M104" s="217"/>
      <c r="N104" s="176"/>
      <c r="O104" s="241" t="str">
        <f>IF(Q104 = "", "", COUNT(Q$4:$Q104))</f>
        <v/>
      </c>
      <c r="P104" s="241" t="str">
        <f t="shared" si="12"/>
        <v/>
      </c>
      <c r="Q104" s="242" t="str">
        <f t="shared" si="13"/>
        <v/>
      </c>
      <c r="R104" s="243" t="str">
        <f t="shared" si="15"/>
        <v/>
      </c>
      <c r="S104" s="244" t="str">
        <f t="shared" si="16"/>
        <v/>
      </c>
      <c r="T104" s="245" t="str">
        <f t="shared" si="17"/>
        <v/>
      </c>
      <c r="U104" s="246" t="str">
        <f t="shared" si="18"/>
        <v/>
      </c>
      <c r="V104" s="8"/>
      <c r="AR104" t="str">
        <f t="shared" si="19"/>
        <v/>
      </c>
      <c r="AS104" t="str">
        <f t="shared" si="14"/>
        <v/>
      </c>
    </row>
    <row r="105" spans="1:45" x14ac:dyDescent="0.3">
      <c r="A105" s="231"/>
      <c r="B105" s="235"/>
      <c r="C105" s="214"/>
      <c r="D105" s="214"/>
      <c r="E105" s="214"/>
      <c r="F105" s="214"/>
      <c r="G105" s="222"/>
      <c r="H105" s="221"/>
      <c r="I105" s="213"/>
      <c r="J105" s="213"/>
      <c r="K105" s="215"/>
      <c r="L105" s="216"/>
      <c r="M105" s="217"/>
      <c r="N105" s="176"/>
      <c r="O105" s="241" t="str">
        <f>IF(Q105 = "", "", COUNT(Q$4:$Q105))</f>
        <v/>
      </c>
      <c r="P105" s="241" t="str">
        <f t="shared" si="12"/>
        <v/>
      </c>
      <c r="Q105" s="242" t="str">
        <f t="shared" si="13"/>
        <v/>
      </c>
      <c r="R105" s="243" t="str">
        <f t="shared" si="15"/>
        <v/>
      </c>
      <c r="S105" s="244" t="str">
        <f t="shared" si="16"/>
        <v/>
      </c>
      <c r="T105" s="245" t="str">
        <f t="shared" si="17"/>
        <v/>
      </c>
      <c r="U105" s="246" t="str">
        <f t="shared" si="18"/>
        <v/>
      </c>
      <c r="V105" s="8"/>
      <c r="AR105" t="str">
        <f t="shared" si="19"/>
        <v/>
      </c>
      <c r="AS105" t="str">
        <f t="shared" si="14"/>
        <v/>
      </c>
    </row>
    <row r="106" spans="1:45" x14ac:dyDescent="0.3">
      <c r="A106" s="231"/>
      <c r="B106" s="235"/>
      <c r="C106" s="214"/>
      <c r="D106" s="214"/>
      <c r="E106" s="214"/>
      <c r="F106" s="214"/>
      <c r="G106" s="222"/>
      <c r="H106" s="221"/>
      <c r="I106" s="213"/>
      <c r="J106" s="213"/>
      <c r="K106" s="215"/>
      <c r="L106" s="216"/>
      <c r="M106" s="217"/>
      <c r="N106" s="176"/>
      <c r="O106" s="241" t="str">
        <f>IF(Q106 = "", "", COUNT(Q$4:$Q106))</f>
        <v/>
      </c>
      <c r="P106" s="241" t="str">
        <f t="shared" si="12"/>
        <v/>
      </c>
      <c r="Q106" s="242" t="str">
        <f t="shared" si="13"/>
        <v/>
      </c>
      <c r="R106" s="243" t="str">
        <f t="shared" si="15"/>
        <v/>
      </c>
      <c r="S106" s="244" t="str">
        <f t="shared" si="16"/>
        <v/>
      </c>
      <c r="T106" s="245" t="str">
        <f t="shared" si="17"/>
        <v/>
      </c>
      <c r="U106" s="246" t="str">
        <f t="shared" si="18"/>
        <v/>
      </c>
      <c r="V106" s="8"/>
      <c r="AR106" t="str">
        <f t="shared" si="19"/>
        <v/>
      </c>
      <c r="AS106" t="str">
        <f t="shared" si="14"/>
        <v/>
      </c>
    </row>
    <row r="107" spans="1:45" x14ac:dyDescent="0.3">
      <c r="A107" s="231"/>
      <c r="B107" s="235"/>
      <c r="C107" s="214"/>
      <c r="D107" s="214"/>
      <c r="E107" s="214"/>
      <c r="F107" s="214"/>
      <c r="G107" s="222"/>
      <c r="H107" s="221"/>
      <c r="I107" s="213"/>
      <c r="J107" s="213"/>
      <c r="K107" s="215"/>
      <c r="L107" s="216"/>
      <c r="M107" s="217"/>
      <c r="N107" s="176"/>
      <c r="O107" s="241" t="str">
        <f>IF(Q107 = "", "", COUNT(Q$4:$Q107))</f>
        <v/>
      </c>
      <c r="P107" s="241" t="str">
        <f t="shared" si="12"/>
        <v/>
      </c>
      <c r="Q107" s="242" t="str">
        <f t="shared" si="13"/>
        <v/>
      </c>
      <c r="R107" s="243" t="str">
        <f t="shared" si="15"/>
        <v/>
      </c>
      <c r="S107" s="244" t="str">
        <f t="shared" si="16"/>
        <v/>
      </c>
      <c r="T107" s="245" t="str">
        <f t="shared" si="17"/>
        <v/>
      </c>
      <c r="U107" s="246" t="str">
        <f t="shared" si="18"/>
        <v/>
      </c>
      <c r="V107" s="8"/>
      <c r="AR107" t="str">
        <f t="shared" si="19"/>
        <v/>
      </c>
      <c r="AS107" t="str">
        <f t="shared" si="14"/>
        <v/>
      </c>
    </row>
    <row r="108" spans="1:45" x14ac:dyDescent="0.3">
      <c r="A108" s="231"/>
      <c r="B108" s="235"/>
      <c r="C108" s="214"/>
      <c r="D108" s="214"/>
      <c r="E108" s="214"/>
      <c r="F108" s="214"/>
      <c r="G108" s="222"/>
      <c r="H108" s="221"/>
      <c r="I108" s="213"/>
      <c r="J108" s="213"/>
      <c r="K108" s="215"/>
      <c r="L108" s="216"/>
      <c r="M108" s="217"/>
      <c r="N108" s="176"/>
      <c r="O108" s="241" t="str">
        <f>IF(Q108 = "", "", COUNT(Q$4:$Q108))</f>
        <v/>
      </c>
      <c r="P108" s="241" t="str">
        <f t="shared" si="12"/>
        <v/>
      </c>
      <c r="Q108" s="242" t="str">
        <f t="shared" si="13"/>
        <v/>
      </c>
      <c r="R108" s="243" t="str">
        <f t="shared" si="15"/>
        <v/>
      </c>
      <c r="S108" s="244" t="str">
        <f t="shared" si="16"/>
        <v/>
      </c>
      <c r="T108" s="245" t="str">
        <f t="shared" si="17"/>
        <v/>
      </c>
      <c r="U108" s="246" t="str">
        <f t="shared" si="18"/>
        <v/>
      </c>
      <c r="V108" s="8"/>
      <c r="AR108" t="str">
        <f t="shared" si="19"/>
        <v/>
      </c>
      <c r="AS108" t="str">
        <f t="shared" si="14"/>
        <v/>
      </c>
    </row>
    <row r="109" spans="1:45" x14ac:dyDescent="0.3">
      <c r="A109" s="231"/>
      <c r="B109" s="235"/>
      <c r="C109" s="214"/>
      <c r="D109" s="214"/>
      <c r="E109" s="214"/>
      <c r="F109" s="214"/>
      <c r="G109" s="222"/>
      <c r="H109" s="221"/>
      <c r="I109" s="213"/>
      <c r="J109" s="213"/>
      <c r="K109" s="215"/>
      <c r="L109" s="216"/>
      <c r="M109" s="217"/>
      <c r="N109" s="176"/>
      <c r="O109" s="241" t="str">
        <f>IF(Q109 = "", "", COUNT(Q$4:$Q109))</f>
        <v/>
      </c>
      <c r="P109" s="241" t="str">
        <f t="shared" si="12"/>
        <v/>
      </c>
      <c r="Q109" s="242" t="str">
        <f t="shared" si="13"/>
        <v/>
      </c>
      <c r="R109" s="243" t="str">
        <f t="shared" si="15"/>
        <v/>
      </c>
      <c r="S109" s="244" t="str">
        <f t="shared" si="16"/>
        <v/>
      </c>
      <c r="T109" s="245" t="str">
        <f t="shared" si="17"/>
        <v/>
      </c>
      <c r="U109" s="246" t="str">
        <f t="shared" si="18"/>
        <v/>
      </c>
      <c r="V109" s="8"/>
      <c r="AR109" t="str">
        <f t="shared" si="19"/>
        <v/>
      </c>
      <c r="AS109" t="str">
        <f t="shared" si="14"/>
        <v/>
      </c>
    </row>
    <row r="110" spans="1:45" x14ac:dyDescent="0.3">
      <c r="A110" s="231"/>
      <c r="B110" s="235"/>
      <c r="C110" s="214"/>
      <c r="D110" s="214"/>
      <c r="E110" s="214"/>
      <c r="F110" s="214"/>
      <c r="G110" s="222"/>
      <c r="H110" s="221"/>
      <c r="I110" s="213"/>
      <c r="J110" s="213"/>
      <c r="K110" s="215"/>
      <c r="L110" s="216"/>
      <c r="M110" s="217"/>
      <c r="N110" s="176"/>
      <c r="O110" s="241" t="str">
        <f>IF(Q110 = "", "", COUNT(Q$4:$Q110))</f>
        <v/>
      </c>
      <c r="P110" s="241" t="str">
        <f t="shared" si="12"/>
        <v/>
      </c>
      <c r="Q110" s="242" t="str">
        <f t="shared" si="13"/>
        <v/>
      </c>
      <c r="R110" s="243" t="str">
        <f t="shared" si="15"/>
        <v/>
      </c>
      <c r="S110" s="244" t="str">
        <f t="shared" si="16"/>
        <v/>
      </c>
      <c r="T110" s="245" t="str">
        <f t="shared" si="17"/>
        <v/>
      </c>
      <c r="U110" s="246" t="str">
        <f t="shared" si="18"/>
        <v/>
      </c>
      <c r="V110" s="8"/>
      <c r="AR110" t="str">
        <f t="shared" si="19"/>
        <v/>
      </c>
      <c r="AS110" t="str">
        <f t="shared" si="14"/>
        <v/>
      </c>
    </row>
    <row r="111" spans="1:45" x14ac:dyDescent="0.3">
      <c r="A111" s="231"/>
      <c r="B111" s="235"/>
      <c r="C111" s="214"/>
      <c r="D111" s="214"/>
      <c r="E111" s="214"/>
      <c r="F111" s="214"/>
      <c r="G111" s="222"/>
      <c r="H111" s="221"/>
      <c r="I111" s="213"/>
      <c r="J111" s="213"/>
      <c r="K111" s="215"/>
      <c r="L111" s="216"/>
      <c r="M111" s="217"/>
      <c r="N111" s="176"/>
      <c r="O111" s="241" t="str">
        <f>IF(Q111 = "", "", COUNT(Q$4:$Q111))</f>
        <v/>
      </c>
      <c r="P111" s="241" t="str">
        <f t="shared" si="12"/>
        <v/>
      </c>
      <c r="Q111" s="242" t="str">
        <f t="shared" si="13"/>
        <v/>
      </c>
      <c r="R111" s="243" t="str">
        <f t="shared" si="15"/>
        <v/>
      </c>
      <c r="S111" s="244" t="str">
        <f t="shared" si="16"/>
        <v/>
      </c>
      <c r="T111" s="245" t="str">
        <f t="shared" si="17"/>
        <v/>
      </c>
      <c r="U111" s="246" t="str">
        <f t="shared" si="18"/>
        <v/>
      </c>
      <c r="V111" s="8"/>
      <c r="AR111" t="str">
        <f t="shared" si="19"/>
        <v/>
      </c>
      <c r="AS111" t="str">
        <f t="shared" si="14"/>
        <v/>
      </c>
    </row>
    <row r="112" spans="1:45" x14ac:dyDescent="0.3">
      <c r="A112" s="231"/>
      <c r="B112" s="235"/>
      <c r="C112" s="214"/>
      <c r="D112" s="214"/>
      <c r="E112" s="214"/>
      <c r="F112" s="214"/>
      <c r="G112" s="222"/>
      <c r="H112" s="221"/>
      <c r="I112" s="213"/>
      <c r="J112" s="213"/>
      <c r="K112" s="215"/>
      <c r="L112" s="216"/>
      <c r="M112" s="217"/>
      <c r="N112" s="176"/>
      <c r="O112" s="241" t="str">
        <f>IF(Q112 = "", "", COUNT(Q$4:$Q112))</f>
        <v/>
      </c>
      <c r="P112" s="241" t="str">
        <f t="shared" si="12"/>
        <v/>
      </c>
      <c r="Q112" s="242" t="str">
        <f t="shared" si="13"/>
        <v/>
      </c>
      <c r="R112" s="243" t="str">
        <f t="shared" si="15"/>
        <v/>
      </c>
      <c r="S112" s="244" t="str">
        <f t="shared" si="16"/>
        <v/>
      </c>
      <c r="T112" s="245" t="str">
        <f t="shared" si="17"/>
        <v/>
      </c>
      <c r="U112" s="246" t="str">
        <f t="shared" si="18"/>
        <v/>
      </c>
      <c r="V112" s="8"/>
      <c r="AR112" t="str">
        <f t="shared" si="19"/>
        <v/>
      </c>
      <c r="AS112" t="str">
        <f t="shared" si="14"/>
        <v/>
      </c>
    </row>
    <row r="113" spans="1:45" x14ac:dyDescent="0.3">
      <c r="A113" s="231"/>
      <c r="B113" s="235"/>
      <c r="C113" s="214"/>
      <c r="D113" s="214"/>
      <c r="E113" s="214"/>
      <c r="F113" s="214"/>
      <c r="G113" s="222"/>
      <c r="H113" s="221"/>
      <c r="I113" s="213"/>
      <c r="J113" s="213"/>
      <c r="K113" s="215"/>
      <c r="L113" s="216"/>
      <c r="M113" s="217"/>
      <c r="N113" s="176"/>
      <c r="O113" s="241" t="str">
        <f>IF(Q113 = "", "", COUNT(Q$4:$Q113))</f>
        <v/>
      </c>
      <c r="P113" s="241" t="str">
        <f t="shared" si="12"/>
        <v/>
      </c>
      <c r="Q113" s="242" t="str">
        <f t="shared" si="13"/>
        <v/>
      </c>
      <c r="R113" s="243" t="str">
        <f t="shared" si="15"/>
        <v/>
      </c>
      <c r="S113" s="244" t="str">
        <f t="shared" si="16"/>
        <v/>
      </c>
      <c r="T113" s="245" t="str">
        <f t="shared" si="17"/>
        <v/>
      </c>
      <c r="U113" s="246" t="str">
        <f t="shared" si="18"/>
        <v/>
      </c>
      <c r="V113" s="8"/>
      <c r="AR113" t="str">
        <f t="shared" si="19"/>
        <v/>
      </c>
      <c r="AS113" t="str">
        <f t="shared" si="14"/>
        <v/>
      </c>
    </row>
    <row r="114" spans="1:45" x14ac:dyDescent="0.3">
      <c r="A114" s="231"/>
      <c r="B114" s="235"/>
      <c r="C114" s="214"/>
      <c r="D114" s="214"/>
      <c r="E114" s="214"/>
      <c r="F114" s="214"/>
      <c r="G114" s="222"/>
      <c r="H114" s="221"/>
      <c r="I114" s="213"/>
      <c r="J114" s="213"/>
      <c r="K114" s="215"/>
      <c r="L114" s="216"/>
      <c r="M114" s="217"/>
      <c r="N114" s="176"/>
      <c r="O114" s="241" t="str">
        <f>IF(Q114 = "", "", COUNT(Q$4:$Q114))</f>
        <v/>
      </c>
      <c r="P114" s="241" t="str">
        <f t="shared" si="12"/>
        <v/>
      </c>
      <c r="Q114" s="242" t="str">
        <f t="shared" si="13"/>
        <v/>
      </c>
      <c r="R114" s="243" t="str">
        <f t="shared" si="15"/>
        <v/>
      </c>
      <c r="S114" s="244" t="str">
        <f t="shared" si="16"/>
        <v/>
      </c>
      <c r="T114" s="245" t="str">
        <f t="shared" si="17"/>
        <v/>
      </c>
      <c r="U114" s="246" t="str">
        <f t="shared" si="18"/>
        <v/>
      </c>
      <c r="V114" s="8"/>
      <c r="AR114" t="str">
        <f t="shared" si="19"/>
        <v/>
      </c>
      <c r="AS114" t="str">
        <f t="shared" si="14"/>
        <v/>
      </c>
    </row>
    <row r="115" spans="1:45" x14ac:dyDescent="0.3">
      <c r="A115" s="231"/>
      <c r="B115" s="235"/>
      <c r="C115" s="214"/>
      <c r="D115" s="214"/>
      <c r="E115" s="214"/>
      <c r="F115" s="214"/>
      <c r="G115" s="222"/>
      <c r="H115" s="221"/>
      <c r="I115" s="213"/>
      <c r="J115" s="213"/>
      <c r="K115" s="215"/>
      <c r="L115" s="216"/>
      <c r="M115" s="217"/>
      <c r="N115" s="176"/>
      <c r="O115" s="241" t="str">
        <f>IF(Q115 = "", "", COUNT(Q$4:$Q115))</f>
        <v/>
      </c>
      <c r="P115" s="241" t="str">
        <f t="shared" si="12"/>
        <v/>
      </c>
      <c r="Q115" s="242" t="str">
        <f t="shared" si="13"/>
        <v/>
      </c>
      <c r="R115" s="243" t="str">
        <f t="shared" si="15"/>
        <v/>
      </c>
      <c r="S115" s="244" t="str">
        <f t="shared" si="16"/>
        <v/>
      </c>
      <c r="T115" s="245" t="str">
        <f t="shared" si="17"/>
        <v/>
      </c>
      <c r="U115" s="246" t="str">
        <f t="shared" si="18"/>
        <v/>
      </c>
      <c r="V115" s="8"/>
      <c r="AR115" t="str">
        <f t="shared" si="19"/>
        <v/>
      </c>
      <c r="AS115" t="str">
        <f t="shared" si="14"/>
        <v/>
      </c>
    </row>
    <row r="116" spans="1:45" x14ac:dyDescent="0.3">
      <c r="A116" s="231"/>
      <c r="B116" s="235"/>
      <c r="C116" s="214"/>
      <c r="D116" s="214"/>
      <c r="E116" s="214"/>
      <c r="F116" s="214"/>
      <c r="G116" s="222"/>
      <c r="H116" s="221"/>
      <c r="I116" s="213"/>
      <c r="J116" s="213"/>
      <c r="K116" s="215"/>
      <c r="L116" s="216"/>
      <c r="M116" s="217"/>
      <c r="N116" s="176"/>
      <c r="O116" s="241" t="str">
        <f>IF(Q116 = "", "", COUNT(Q$4:$Q116))</f>
        <v/>
      </c>
      <c r="P116" s="241" t="str">
        <f t="shared" si="12"/>
        <v/>
      </c>
      <c r="Q116" s="242" t="str">
        <f t="shared" si="13"/>
        <v/>
      </c>
      <c r="R116" s="243" t="str">
        <f t="shared" si="15"/>
        <v/>
      </c>
      <c r="S116" s="244" t="str">
        <f t="shared" si="16"/>
        <v/>
      </c>
      <c r="T116" s="245" t="str">
        <f t="shared" si="17"/>
        <v/>
      </c>
      <c r="U116" s="246" t="str">
        <f t="shared" si="18"/>
        <v/>
      </c>
      <c r="V116" s="8"/>
      <c r="AR116" t="str">
        <f t="shared" si="19"/>
        <v/>
      </c>
      <c r="AS116" t="str">
        <f t="shared" si="14"/>
        <v/>
      </c>
    </row>
    <row r="117" spans="1:45" x14ac:dyDescent="0.3">
      <c r="A117" s="231"/>
      <c r="B117" s="235"/>
      <c r="C117" s="214"/>
      <c r="D117" s="214"/>
      <c r="E117" s="214"/>
      <c r="F117" s="214"/>
      <c r="G117" s="222"/>
      <c r="H117" s="221"/>
      <c r="I117" s="213"/>
      <c r="J117" s="213"/>
      <c r="K117" s="215"/>
      <c r="L117" s="216"/>
      <c r="M117" s="217"/>
      <c r="N117" s="176"/>
      <c r="O117" s="241" t="str">
        <f>IF(Q117 = "", "", COUNT(Q$4:$Q117))</f>
        <v/>
      </c>
      <c r="P117" s="241" t="str">
        <f t="shared" si="12"/>
        <v/>
      </c>
      <c r="Q117" s="242" t="str">
        <f t="shared" si="13"/>
        <v/>
      </c>
      <c r="R117" s="243" t="str">
        <f t="shared" si="15"/>
        <v/>
      </c>
      <c r="S117" s="244" t="str">
        <f t="shared" si="16"/>
        <v/>
      </c>
      <c r="T117" s="245" t="str">
        <f t="shared" si="17"/>
        <v/>
      </c>
      <c r="U117" s="246" t="str">
        <f t="shared" si="18"/>
        <v/>
      </c>
      <c r="V117" s="8"/>
      <c r="AR117" t="str">
        <f t="shared" si="19"/>
        <v/>
      </c>
      <c r="AS117" t="str">
        <f t="shared" si="14"/>
        <v/>
      </c>
    </row>
    <row r="118" spans="1:45" x14ac:dyDescent="0.3">
      <c r="A118" s="231"/>
      <c r="B118" s="235"/>
      <c r="C118" s="214"/>
      <c r="D118" s="214"/>
      <c r="E118" s="214"/>
      <c r="F118" s="214"/>
      <c r="G118" s="222"/>
      <c r="H118" s="221"/>
      <c r="I118" s="213"/>
      <c r="J118" s="213"/>
      <c r="K118" s="215"/>
      <c r="L118" s="216"/>
      <c r="M118" s="217"/>
      <c r="N118" s="176"/>
      <c r="O118" s="241" t="str">
        <f>IF(Q118 = "", "", COUNT(Q$4:$Q118))</f>
        <v/>
      </c>
      <c r="P118" s="241" t="str">
        <f t="shared" si="12"/>
        <v/>
      </c>
      <c r="Q118" s="242" t="str">
        <f t="shared" si="13"/>
        <v/>
      </c>
      <c r="R118" s="243" t="str">
        <f t="shared" si="15"/>
        <v/>
      </c>
      <c r="S118" s="244" t="str">
        <f t="shared" si="16"/>
        <v/>
      </c>
      <c r="T118" s="245" t="str">
        <f t="shared" si="17"/>
        <v/>
      </c>
      <c r="U118" s="246" t="str">
        <f t="shared" si="18"/>
        <v/>
      </c>
      <c r="V118" s="8"/>
      <c r="AR118" t="str">
        <f t="shared" si="19"/>
        <v/>
      </c>
      <c r="AS118" t="str">
        <f t="shared" si="14"/>
        <v/>
      </c>
    </row>
    <row r="119" spans="1:45" x14ac:dyDescent="0.3">
      <c r="A119" s="231"/>
      <c r="B119" s="235"/>
      <c r="C119" s="214"/>
      <c r="D119" s="214"/>
      <c r="E119" s="214"/>
      <c r="F119" s="214"/>
      <c r="G119" s="222"/>
      <c r="H119" s="221"/>
      <c r="I119" s="213"/>
      <c r="J119" s="213"/>
      <c r="K119" s="215"/>
      <c r="L119" s="216"/>
      <c r="M119" s="217"/>
      <c r="N119" s="176"/>
      <c r="O119" s="241" t="str">
        <f>IF(Q119 = "", "", COUNT(Q$4:$Q119))</f>
        <v/>
      </c>
      <c r="P119" s="241" t="str">
        <f t="shared" si="12"/>
        <v/>
      </c>
      <c r="Q119" s="242" t="str">
        <f t="shared" si="13"/>
        <v/>
      </c>
      <c r="R119" s="243" t="str">
        <f t="shared" si="15"/>
        <v/>
      </c>
      <c r="S119" s="244" t="str">
        <f t="shared" si="16"/>
        <v/>
      </c>
      <c r="T119" s="245" t="str">
        <f t="shared" si="17"/>
        <v/>
      </c>
      <c r="U119" s="246" t="str">
        <f t="shared" si="18"/>
        <v/>
      </c>
      <c r="V119" s="8"/>
      <c r="AR119" t="str">
        <f t="shared" si="19"/>
        <v/>
      </c>
      <c r="AS119" t="str">
        <f t="shared" si="14"/>
        <v/>
      </c>
    </row>
    <row r="120" spans="1:45" x14ac:dyDescent="0.3">
      <c r="A120" s="231"/>
      <c r="B120" s="235"/>
      <c r="C120" s="214"/>
      <c r="D120" s="214"/>
      <c r="E120" s="214"/>
      <c r="F120" s="214"/>
      <c r="G120" s="222"/>
      <c r="H120" s="221"/>
      <c r="I120" s="213"/>
      <c r="J120" s="213"/>
      <c r="K120" s="215"/>
      <c r="L120" s="216"/>
      <c r="M120" s="217"/>
      <c r="N120" s="176"/>
      <c r="O120" s="241" t="str">
        <f>IF(Q120 = "", "", COUNT(Q$4:$Q120))</f>
        <v/>
      </c>
      <c r="P120" s="241" t="str">
        <f t="shared" si="12"/>
        <v/>
      </c>
      <c r="Q120" s="242" t="str">
        <f t="shared" si="13"/>
        <v/>
      </c>
      <c r="R120" s="243" t="str">
        <f t="shared" si="15"/>
        <v/>
      </c>
      <c r="S120" s="244" t="str">
        <f t="shared" si="16"/>
        <v/>
      </c>
      <c r="T120" s="245" t="str">
        <f t="shared" si="17"/>
        <v/>
      </c>
      <c r="U120" s="246" t="str">
        <f t="shared" si="18"/>
        <v/>
      </c>
      <c r="V120" s="8"/>
      <c r="AR120" t="str">
        <f t="shared" si="19"/>
        <v/>
      </c>
      <c r="AS120" t="str">
        <f t="shared" si="14"/>
        <v/>
      </c>
    </row>
    <row r="121" spans="1:45" x14ac:dyDescent="0.3">
      <c r="A121" s="231"/>
      <c r="B121" s="235"/>
      <c r="C121" s="214"/>
      <c r="D121" s="214"/>
      <c r="E121" s="214"/>
      <c r="F121" s="214"/>
      <c r="G121" s="222"/>
      <c r="H121" s="221"/>
      <c r="I121" s="213"/>
      <c r="J121" s="213"/>
      <c r="K121" s="215"/>
      <c r="L121" s="216"/>
      <c r="M121" s="217"/>
      <c r="N121" s="176"/>
      <c r="O121" s="241" t="str">
        <f>IF(Q121 = "", "", COUNT(Q$4:$Q121))</f>
        <v/>
      </c>
      <c r="P121" s="241" t="str">
        <f t="shared" si="12"/>
        <v/>
      </c>
      <c r="Q121" s="242" t="str">
        <f t="shared" si="13"/>
        <v/>
      </c>
      <c r="R121" s="243" t="str">
        <f t="shared" si="15"/>
        <v/>
      </c>
      <c r="S121" s="244" t="str">
        <f t="shared" si="16"/>
        <v/>
      </c>
      <c r="T121" s="245" t="str">
        <f t="shared" si="17"/>
        <v/>
      </c>
      <c r="U121" s="246" t="str">
        <f t="shared" si="18"/>
        <v/>
      </c>
      <c r="V121" s="8"/>
      <c r="AR121" t="str">
        <f t="shared" si="19"/>
        <v/>
      </c>
      <c r="AS121" t="str">
        <f t="shared" si="14"/>
        <v/>
      </c>
    </row>
    <row r="122" spans="1:45" x14ac:dyDescent="0.3">
      <c r="A122" s="231"/>
      <c r="B122" s="235"/>
      <c r="C122" s="214"/>
      <c r="D122" s="214"/>
      <c r="E122" s="214"/>
      <c r="F122" s="214"/>
      <c r="G122" s="222"/>
      <c r="H122" s="221"/>
      <c r="I122" s="213"/>
      <c r="J122" s="213"/>
      <c r="K122" s="215"/>
      <c r="L122" s="216"/>
      <c r="M122" s="217"/>
      <c r="N122" s="176"/>
      <c r="O122" s="241" t="str">
        <f>IF(Q122 = "", "", COUNT(Q$4:$Q122))</f>
        <v/>
      </c>
      <c r="P122" s="241" t="str">
        <f t="shared" si="12"/>
        <v/>
      </c>
      <c r="Q122" s="242" t="str">
        <f t="shared" si="13"/>
        <v/>
      </c>
      <c r="R122" s="243" t="str">
        <f t="shared" si="15"/>
        <v/>
      </c>
      <c r="S122" s="244" t="str">
        <f t="shared" si="16"/>
        <v/>
      </c>
      <c r="T122" s="245" t="str">
        <f t="shared" si="17"/>
        <v/>
      </c>
      <c r="U122" s="246" t="str">
        <f t="shared" si="18"/>
        <v/>
      </c>
      <c r="V122" s="8"/>
      <c r="AR122" t="str">
        <f t="shared" si="19"/>
        <v/>
      </c>
      <c r="AS122" t="str">
        <f t="shared" si="14"/>
        <v/>
      </c>
    </row>
    <row r="123" spans="1:45" x14ac:dyDescent="0.3">
      <c r="A123" s="231"/>
      <c r="B123" s="235"/>
      <c r="C123" s="214"/>
      <c r="D123" s="214"/>
      <c r="E123" s="214"/>
      <c r="F123" s="214"/>
      <c r="G123" s="222"/>
      <c r="H123" s="221"/>
      <c r="I123" s="213"/>
      <c r="J123" s="213"/>
      <c r="K123" s="215"/>
      <c r="L123" s="216"/>
      <c r="M123" s="217"/>
      <c r="N123" s="176"/>
      <c r="O123" s="241" t="str">
        <f>IF(Q123 = "", "", COUNT(Q$4:$Q123))</f>
        <v/>
      </c>
      <c r="P123" s="241" t="str">
        <f t="shared" si="12"/>
        <v/>
      </c>
      <c r="Q123" s="242" t="str">
        <f t="shared" si="13"/>
        <v/>
      </c>
      <c r="R123" s="243" t="str">
        <f t="shared" si="15"/>
        <v/>
      </c>
      <c r="S123" s="244" t="str">
        <f t="shared" si="16"/>
        <v/>
      </c>
      <c r="T123" s="245" t="str">
        <f t="shared" si="17"/>
        <v/>
      </c>
      <c r="U123" s="246" t="str">
        <f t="shared" si="18"/>
        <v/>
      </c>
      <c r="V123" s="8"/>
      <c r="AR123" t="str">
        <f t="shared" si="19"/>
        <v/>
      </c>
      <c r="AS123" t="str">
        <f t="shared" si="14"/>
        <v/>
      </c>
    </row>
    <row r="124" spans="1:45" x14ac:dyDescent="0.3">
      <c r="A124" s="231"/>
      <c r="B124" s="235"/>
      <c r="C124" s="214"/>
      <c r="D124" s="214"/>
      <c r="E124" s="214"/>
      <c r="F124" s="214"/>
      <c r="G124" s="222"/>
      <c r="H124" s="221"/>
      <c r="I124" s="213"/>
      <c r="J124" s="213"/>
      <c r="K124" s="215"/>
      <c r="L124" s="216"/>
      <c r="M124" s="217"/>
      <c r="N124" s="176"/>
      <c r="O124" s="241" t="str">
        <f>IF(Q124 = "", "", COUNT(Q$4:$Q124))</f>
        <v/>
      </c>
      <c r="P124" s="241" t="str">
        <f t="shared" si="12"/>
        <v/>
      </c>
      <c r="Q124" s="242" t="str">
        <f t="shared" si="13"/>
        <v/>
      </c>
      <c r="R124" s="243" t="str">
        <f t="shared" si="15"/>
        <v/>
      </c>
      <c r="S124" s="244" t="str">
        <f t="shared" si="16"/>
        <v/>
      </c>
      <c r="T124" s="245" t="str">
        <f t="shared" si="17"/>
        <v/>
      </c>
      <c r="U124" s="246" t="str">
        <f t="shared" si="18"/>
        <v/>
      </c>
      <c r="V124" s="8"/>
      <c r="AR124" t="str">
        <f t="shared" si="19"/>
        <v/>
      </c>
      <c r="AS124" t="str">
        <f t="shared" si="14"/>
        <v/>
      </c>
    </row>
    <row r="125" spans="1:45" x14ac:dyDescent="0.3">
      <c r="A125" s="231"/>
      <c r="B125" s="235"/>
      <c r="C125" s="214"/>
      <c r="D125" s="214"/>
      <c r="E125" s="214"/>
      <c r="F125" s="214"/>
      <c r="G125" s="222"/>
      <c r="H125" s="221"/>
      <c r="I125" s="213"/>
      <c r="J125" s="213"/>
      <c r="K125" s="215"/>
      <c r="L125" s="216"/>
      <c r="M125" s="217"/>
      <c r="N125" s="176"/>
      <c r="O125" s="241" t="str">
        <f>IF(Q125 = "", "", COUNT(Q$4:$Q125))</f>
        <v/>
      </c>
      <c r="P125" s="241" t="str">
        <f t="shared" si="12"/>
        <v/>
      </c>
      <c r="Q125" s="242" t="str">
        <f t="shared" si="13"/>
        <v/>
      </c>
      <c r="R125" s="243" t="str">
        <f t="shared" si="15"/>
        <v/>
      </c>
      <c r="S125" s="244" t="str">
        <f t="shared" si="16"/>
        <v/>
      </c>
      <c r="T125" s="245" t="str">
        <f t="shared" si="17"/>
        <v/>
      </c>
      <c r="U125" s="246" t="str">
        <f t="shared" si="18"/>
        <v/>
      </c>
      <c r="V125" s="8"/>
      <c r="AR125" t="str">
        <f t="shared" si="19"/>
        <v/>
      </c>
      <c r="AS125" t="str">
        <f t="shared" si="14"/>
        <v/>
      </c>
    </row>
    <row r="126" spans="1:45" x14ac:dyDescent="0.3">
      <c r="A126" s="231"/>
      <c r="B126" s="235"/>
      <c r="C126" s="214"/>
      <c r="D126" s="214"/>
      <c r="E126" s="214"/>
      <c r="F126" s="214"/>
      <c r="G126" s="222"/>
      <c r="H126" s="221"/>
      <c r="I126" s="213"/>
      <c r="J126" s="213"/>
      <c r="K126" s="215"/>
      <c r="L126" s="216"/>
      <c r="M126" s="217"/>
      <c r="N126" s="176"/>
      <c r="O126" s="241" t="str">
        <f>IF(Q126 = "", "", COUNT(Q$4:$Q126))</f>
        <v/>
      </c>
      <c r="P126" s="241" t="str">
        <f t="shared" si="12"/>
        <v/>
      </c>
      <c r="Q126" s="242" t="str">
        <f t="shared" si="13"/>
        <v/>
      </c>
      <c r="R126" s="243" t="str">
        <f t="shared" si="15"/>
        <v/>
      </c>
      <c r="S126" s="244" t="str">
        <f t="shared" si="16"/>
        <v/>
      </c>
      <c r="T126" s="245" t="str">
        <f t="shared" si="17"/>
        <v/>
      </c>
      <c r="U126" s="246" t="str">
        <f t="shared" si="18"/>
        <v/>
      </c>
      <c r="V126" s="8"/>
      <c r="AR126" t="str">
        <f t="shared" si="19"/>
        <v/>
      </c>
      <c r="AS126" t="str">
        <f t="shared" si="14"/>
        <v/>
      </c>
    </row>
    <row r="127" spans="1:45" x14ac:dyDescent="0.3">
      <c r="A127" s="231"/>
      <c r="B127" s="235"/>
      <c r="C127" s="214"/>
      <c r="D127" s="214"/>
      <c r="E127" s="214"/>
      <c r="F127" s="214"/>
      <c r="G127" s="222"/>
      <c r="H127" s="221"/>
      <c r="I127" s="213"/>
      <c r="J127" s="213"/>
      <c r="K127" s="215"/>
      <c r="L127" s="216"/>
      <c r="M127" s="217"/>
      <c r="N127" s="176"/>
      <c r="O127" s="241" t="str">
        <f>IF(Q127 = "", "", COUNT(Q$4:$Q127))</f>
        <v/>
      </c>
      <c r="P127" s="241" t="str">
        <f t="shared" si="12"/>
        <v/>
      </c>
      <c r="Q127" s="242" t="str">
        <f t="shared" si="13"/>
        <v/>
      </c>
      <c r="R127" s="243" t="str">
        <f t="shared" si="15"/>
        <v/>
      </c>
      <c r="S127" s="244" t="str">
        <f t="shared" si="16"/>
        <v/>
      </c>
      <c r="T127" s="245" t="str">
        <f t="shared" si="17"/>
        <v/>
      </c>
      <c r="U127" s="246" t="str">
        <f t="shared" si="18"/>
        <v/>
      </c>
      <c r="V127" s="8"/>
      <c r="AR127" t="str">
        <f t="shared" si="19"/>
        <v/>
      </c>
      <c r="AS127" t="str">
        <f t="shared" si="14"/>
        <v/>
      </c>
    </row>
    <row r="128" spans="1:45" x14ac:dyDescent="0.3">
      <c r="A128" s="231"/>
      <c r="B128" s="235"/>
      <c r="C128" s="214"/>
      <c r="D128" s="214"/>
      <c r="E128" s="214"/>
      <c r="F128" s="214"/>
      <c r="G128" s="222"/>
      <c r="H128" s="221"/>
      <c r="I128" s="213"/>
      <c r="J128" s="213"/>
      <c r="K128" s="215"/>
      <c r="L128" s="216"/>
      <c r="M128" s="217"/>
      <c r="N128" s="176"/>
      <c r="O128" s="241" t="str">
        <f>IF(Q128 = "", "", COUNT(Q$4:$Q128))</f>
        <v/>
      </c>
      <c r="P128" s="241" t="str">
        <f t="shared" si="12"/>
        <v/>
      </c>
      <c r="Q128" s="242" t="str">
        <f t="shared" si="13"/>
        <v/>
      </c>
      <c r="R128" s="243" t="str">
        <f t="shared" si="15"/>
        <v/>
      </c>
      <c r="S128" s="244" t="str">
        <f t="shared" si="16"/>
        <v/>
      </c>
      <c r="T128" s="245" t="str">
        <f t="shared" si="17"/>
        <v/>
      </c>
      <c r="U128" s="246" t="str">
        <f t="shared" si="18"/>
        <v/>
      </c>
      <c r="V128" s="8"/>
      <c r="AR128" t="str">
        <f t="shared" si="19"/>
        <v/>
      </c>
      <c r="AS128" t="str">
        <f t="shared" si="14"/>
        <v/>
      </c>
    </row>
    <row r="129" spans="1:45" x14ac:dyDescent="0.3">
      <c r="A129" s="231"/>
      <c r="B129" s="235"/>
      <c r="C129" s="214"/>
      <c r="D129" s="214"/>
      <c r="E129" s="214"/>
      <c r="F129" s="214"/>
      <c r="G129" s="222"/>
      <c r="H129" s="221"/>
      <c r="I129" s="213"/>
      <c r="J129" s="213"/>
      <c r="K129" s="215"/>
      <c r="L129" s="216"/>
      <c r="M129" s="217"/>
      <c r="N129" s="176"/>
      <c r="O129" s="241" t="str">
        <f>IF(Q129 = "", "", COUNT(Q$4:$Q129))</f>
        <v/>
      </c>
      <c r="P129" s="241" t="str">
        <f t="shared" si="12"/>
        <v/>
      </c>
      <c r="Q129" s="242" t="str">
        <f t="shared" si="13"/>
        <v/>
      </c>
      <c r="R129" s="243" t="str">
        <f t="shared" si="15"/>
        <v/>
      </c>
      <c r="S129" s="244" t="str">
        <f t="shared" si="16"/>
        <v/>
      </c>
      <c r="T129" s="245" t="str">
        <f t="shared" si="17"/>
        <v/>
      </c>
      <c r="U129" s="246" t="str">
        <f t="shared" si="18"/>
        <v/>
      </c>
      <c r="V129" s="8"/>
      <c r="AR129" t="str">
        <f t="shared" si="19"/>
        <v/>
      </c>
      <c r="AS129" t="str">
        <f t="shared" si="14"/>
        <v/>
      </c>
    </row>
    <row r="130" spans="1:45" x14ac:dyDescent="0.3">
      <c r="A130" s="231"/>
      <c r="B130" s="235"/>
      <c r="C130" s="214"/>
      <c r="D130" s="214"/>
      <c r="E130" s="214"/>
      <c r="F130" s="214"/>
      <c r="G130" s="222"/>
      <c r="H130" s="221"/>
      <c r="I130" s="213"/>
      <c r="J130" s="213"/>
      <c r="K130" s="215"/>
      <c r="L130" s="216"/>
      <c r="M130" s="217"/>
      <c r="N130" s="176"/>
      <c r="O130" s="241" t="str">
        <f>IF(Q130 = "", "", COUNT(Q$4:$Q130))</f>
        <v/>
      </c>
      <c r="P130" s="241" t="str">
        <f t="shared" si="12"/>
        <v/>
      </c>
      <c r="Q130" s="242" t="str">
        <f t="shared" si="13"/>
        <v/>
      </c>
      <c r="R130" s="243" t="str">
        <f t="shared" si="15"/>
        <v/>
      </c>
      <c r="S130" s="244" t="str">
        <f t="shared" si="16"/>
        <v/>
      </c>
      <c r="T130" s="245" t="str">
        <f t="shared" si="17"/>
        <v/>
      </c>
      <c r="U130" s="246" t="str">
        <f t="shared" si="18"/>
        <v/>
      </c>
      <c r="V130" s="8"/>
      <c r="AR130" t="str">
        <f t="shared" si="19"/>
        <v/>
      </c>
      <c r="AS130" t="str">
        <f t="shared" si="14"/>
        <v/>
      </c>
    </row>
    <row r="131" spans="1:45" x14ac:dyDescent="0.3">
      <c r="A131" s="231"/>
      <c r="B131" s="235"/>
      <c r="C131" s="214"/>
      <c r="D131" s="214"/>
      <c r="E131" s="214"/>
      <c r="F131" s="214"/>
      <c r="G131" s="222"/>
      <c r="H131" s="221"/>
      <c r="I131" s="213"/>
      <c r="J131" s="213"/>
      <c r="K131" s="215"/>
      <c r="L131" s="216"/>
      <c r="M131" s="217"/>
      <c r="N131" s="176"/>
      <c r="O131" s="241" t="str">
        <f>IF(Q131 = "", "", COUNT(Q$4:$Q131))</f>
        <v/>
      </c>
      <c r="P131" s="241" t="str">
        <f t="shared" si="12"/>
        <v/>
      </c>
      <c r="Q131" s="242" t="str">
        <f t="shared" si="13"/>
        <v/>
      </c>
      <c r="R131" s="243" t="str">
        <f t="shared" si="15"/>
        <v/>
      </c>
      <c r="S131" s="244" t="str">
        <f t="shared" si="16"/>
        <v/>
      </c>
      <c r="T131" s="245" t="str">
        <f t="shared" si="17"/>
        <v/>
      </c>
      <c r="U131" s="246" t="str">
        <f t="shared" si="18"/>
        <v/>
      </c>
      <c r="V131" s="8"/>
      <c r="AR131" t="str">
        <f t="shared" si="19"/>
        <v/>
      </c>
      <c r="AS131" t="str">
        <f t="shared" si="14"/>
        <v/>
      </c>
    </row>
    <row r="132" spans="1:45" x14ac:dyDescent="0.3">
      <c r="A132" s="231"/>
      <c r="B132" s="235"/>
      <c r="C132" s="214"/>
      <c r="D132" s="214"/>
      <c r="E132" s="214"/>
      <c r="F132" s="214"/>
      <c r="G132" s="222"/>
      <c r="H132" s="221"/>
      <c r="I132" s="213"/>
      <c r="J132" s="213"/>
      <c r="K132" s="215"/>
      <c r="L132" s="216"/>
      <c r="M132" s="217"/>
      <c r="N132" s="176"/>
      <c r="O132" s="241" t="str">
        <f>IF(Q132 = "", "", COUNT(Q$4:$Q132))</f>
        <v/>
      </c>
      <c r="P132" s="241" t="str">
        <f t="shared" ref="P132:P195" si="20">IF(C132 &gt; 0, YEAR(B132), "")</f>
        <v/>
      </c>
      <c r="Q132" s="242" t="str">
        <f t="shared" ref="Q132:Q195" si="21">IF(A132="", "", IF(G132="",1,IF(G132="O",1,IF(G132="C",8.4,IF(G132="B",8.4,IF(G132="A",76.8,IF(G132="K",76.8,"ERR")))))))</f>
        <v/>
      </c>
      <c r="R132" s="243" t="str">
        <f t="shared" si="15"/>
        <v/>
      </c>
      <c r="S132" s="244" t="str">
        <f t="shared" si="16"/>
        <v/>
      </c>
      <c r="T132" s="245" t="str">
        <f t="shared" si="17"/>
        <v/>
      </c>
      <c r="U132" s="246" t="str">
        <f t="shared" si="18"/>
        <v/>
      </c>
      <c r="V132" s="8"/>
      <c r="AR132" t="str">
        <f t="shared" si="19"/>
        <v/>
      </c>
      <c r="AS132" t="str">
        <f t="shared" ref="AS132:AS195" si="22">IF(OR(L132="Y",M132="Y"),"Y","")</f>
        <v/>
      </c>
    </row>
    <row r="133" spans="1:45" x14ac:dyDescent="0.3">
      <c r="A133" s="231"/>
      <c r="B133" s="235"/>
      <c r="C133" s="214"/>
      <c r="D133" s="214"/>
      <c r="E133" s="214"/>
      <c r="F133" s="214"/>
      <c r="G133" s="222"/>
      <c r="H133" s="221"/>
      <c r="I133" s="213"/>
      <c r="J133" s="213"/>
      <c r="K133" s="215"/>
      <c r="L133" s="216"/>
      <c r="M133" s="217"/>
      <c r="N133" s="176"/>
      <c r="O133" s="241" t="str">
        <f>IF(Q133 = "", "", COUNT(Q$4:$Q133))</f>
        <v/>
      </c>
      <c r="P133" s="241" t="str">
        <f t="shared" si="20"/>
        <v/>
      </c>
      <c r="Q133" s="242" t="str">
        <f t="shared" si="21"/>
        <v/>
      </c>
      <c r="R133" s="243" t="str">
        <f t="shared" ref="R133:R196" si="23">IF(L133&lt;&gt;"",Q133,"")</f>
        <v/>
      </c>
      <c r="S133" s="244" t="str">
        <f t="shared" ref="S133:S196" si="24">IF(IF(L133&lt;&gt;"",G133,"")=0, "O", IF(L133&lt;&gt;"",G133,""))</f>
        <v/>
      </c>
      <c r="T133" s="245" t="str">
        <f t="shared" ref="T133:T196" si="25">IF(M133&lt;&gt;"",Q133,"")</f>
        <v/>
      </c>
      <c r="U133" s="246" t="str">
        <f t="shared" ref="U133:U196" si="26">IF(IF(M133&lt;&gt;"",G133,"")=0, "O", IF(M133&lt;&gt;"",G133,""))</f>
        <v/>
      </c>
      <c r="V133" s="8"/>
      <c r="AR133" t="str">
        <f t="shared" ref="AR133:AR196" si="27">IF(O133&gt;0, O133, "")</f>
        <v/>
      </c>
      <c r="AS133" t="str">
        <f t="shared" si="22"/>
        <v/>
      </c>
    </row>
    <row r="134" spans="1:45" x14ac:dyDescent="0.3">
      <c r="A134" s="231"/>
      <c r="B134" s="235"/>
      <c r="C134" s="214"/>
      <c r="D134" s="214"/>
      <c r="E134" s="214"/>
      <c r="F134" s="214"/>
      <c r="G134" s="222"/>
      <c r="H134" s="221"/>
      <c r="I134" s="213"/>
      <c r="J134" s="213"/>
      <c r="K134" s="215"/>
      <c r="L134" s="216"/>
      <c r="M134" s="217"/>
      <c r="N134" s="176"/>
      <c r="O134" s="241" t="str">
        <f>IF(Q134 = "", "", COUNT(Q$4:$Q134))</f>
        <v/>
      </c>
      <c r="P134" s="241" t="str">
        <f t="shared" si="20"/>
        <v/>
      </c>
      <c r="Q134" s="242" t="str">
        <f t="shared" si="21"/>
        <v/>
      </c>
      <c r="R134" s="243" t="str">
        <f t="shared" si="23"/>
        <v/>
      </c>
      <c r="S134" s="244" t="str">
        <f t="shared" si="24"/>
        <v/>
      </c>
      <c r="T134" s="245" t="str">
        <f t="shared" si="25"/>
        <v/>
      </c>
      <c r="U134" s="246" t="str">
        <f t="shared" si="26"/>
        <v/>
      </c>
      <c r="V134" s="8"/>
      <c r="AR134" t="str">
        <f t="shared" si="27"/>
        <v/>
      </c>
      <c r="AS134" t="str">
        <f t="shared" si="22"/>
        <v/>
      </c>
    </row>
    <row r="135" spans="1:45" x14ac:dyDescent="0.3">
      <c r="A135" s="231"/>
      <c r="B135" s="235"/>
      <c r="C135" s="214"/>
      <c r="D135" s="214"/>
      <c r="E135" s="214"/>
      <c r="F135" s="214"/>
      <c r="G135" s="222"/>
      <c r="H135" s="221"/>
      <c r="I135" s="213"/>
      <c r="J135" s="213"/>
      <c r="K135" s="215"/>
      <c r="L135" s="216"/>
      <c r="M135" s="217"/>
      <c r="N135" s="176"/>
      <c r="O135" s="241" t="str">
        <f>IF(Q135 = "", "", COUNT(Q$4:$Q135))</f>
        <v/>
      </c>
      <c r="P135" s="241" t="str">
        <f t="shared" si="20"/>
        <v/>
      </c>
      <c r="Q135" s="242" t="str">
        <f t="shared" si="21"/>
        <v/>
      </c>
      <c r="R135" s="243" t="str">
        <f t="shared" si="23"/>
        <v/>
      </c>
      <c r="S135" s="244" t="str">
        <f t="shared" si="24"/>
        <v/>
      </c>
      <c r="T135" s="245" t="str">
        <f t="shared" si="25"/>
        <v/>
      </c>
      <c r="U135" s="246" t="str">
        <f t="shared" si="26"/>
        <v/>
      </c>
      <c r="V135" s="8"/>
      <c r="AR135" t="str">
        <f t="shared" si="27"/>
        <v/>
      </c>
      <c r="AS135" t="str">
        <f t="shared" si="22"/>
        <v/>
      </c>
    </row>
    <row r="136" spans="1:45" x14ac:dyDescent="0.3">
      <c r="A136" s="231"/>
      <c r="B136" s="235"/>
      <c r="C136" s="214"/>
      <c r="D136" s="214"/>
      <c r="E136" s="214"/>
      <c r="F136" s="214"/>
      <c r="G136" s="222"/>
      <c r="H136" s="221"/>
      <c r="I136" s="213"/>
      <c r="J136" s="213"/>
      <c r="K136" s="215"/>
      <c r="L136" s="216"/>
      <c r="M136" s="217"/>
      <c r="N136" s="176"/>
      <c r="O136" s="241" t="str">
        <f>IF(Q136 = "", "", COUNT(Q$4:$Q136))</f>
        <v/>
      </c>
      <c r="P136" s="241" t="str">
        <f t="shared" si="20"/>
        <v/>
      </c>
      <c r="Q136" s="242" t="str">
        <f t="shared" si="21"/>
        <v/>
      </c>
      <c r="R136" s="243" t="str">
        <f t="shared" si="23"/>
        <v/>
      </c>
      <c r="S136" s="244" t="str">
        <f t="shared" si="24"/>
        <v/>
      </c>
      <c r="T136" s="245" t="str">
        <f t="shared" si="25"/>
        <v/>
      </c>
      <c r="U136" s="246" t="str">
        <f t="shared" si="26"/>
        <v/>
      </c>
      <c r="V136" s="8"/>
      <c r="AR136" t="str">
        <f t="shared" si="27"/>
        <v/>
      </c>
      <c r="AS136" t="str">
        <f t="shared" si="22"/>
        <v/>
      </c>
    </row>
    <row r="137" spans="1:45" x14ac:dyDescent="0.3">
      <c r="A137" s="231"/>
      <c r="B137" s="235"/>
      <c r="C137" s="214"/>
      <c r="D137" s="214"/>
      <c r="E137" s="214"/>
      <c r="F137" s="214"/>
      <c r="G137" s="222"/>
      <c r="H137" s="221"/>
      <c r="I137" s="213"/>
      <c r="J137" s="213"/>
      <c r="K137" s="215"/>
      <c r="L137" s="216"/>
      <c r="M137" s="217"/>
      <c r="N137" s="176"/>
      <c r="O137" s="241" t="str">
        <f>IF(Q137 = "", "", COUNT(Q$4:$Q137))</f>
        <v/>
      </c>
      <c r="P137" s="241" t="str">
        <f t="shared" si="20"/>
        <v/>
      </c>
      <c r="Q137" s="242" t="str">
        <f t="shared" si="21"/>
        <v/>
      </c>
      <c r="R137" s="243" t="str">
        <f t="shared" si="23"/>
        <v/>
      </c>
      <c r="S137" s="244" t="str">
        <f t="shared" si="24"/>
        <v/>
      </c>
      <c r="T137" s="245" t="str">
        <f t="shared" si="25"/>
        <v/>
      </c>
      <c r="U137" s="246" t="str">
        <f t="shared" si="26"/>
        <v/>
      </c>
      <c r="V137" s="8"/>
      <c r="AR137" t="str">
        <f t="shared" si="27"/>
        <v/>
      </c>
      <c r="AS137" t="str">
        <f t="shared" si="22"/>
        <v/>
      </c>
    </row>
    <row r="138" spans="1:45" x14ac:dyDescent="0.3">
      <c r="A138" s="231"/>
      <c r="B138" s="235"/>
      <c r="C138" s="214"/>
      <c r="D138" s="214"/>
      <c r="E138" s="214"/>
      <c r="F138" s="214"/>
      <c r="G138" s="222"/>
      <c r="H138" s="221"/>
      <c r="I138" s="213"/>
      <c r="J138" s="213"/>
      <c r="K138" s="215"/>
      <c r="L138" s="216"/>
      <c r="M138" s="217"/>
      <c r="N138" s="176"/>
      <c r="O138" s="241" t="str">
        <f>IF(Q138 = "", "", COUNT(Q$4:$Q138))</f>
        <v/>
      </c>
      <c r="P138" s="241" t="str">
        <f t="shared" si="20"/>
        <v/>
      </c>
      <c r="Q138" s="242" t="str">
        <f t="shared" si="21"/>
        <v/>
      </c>
      <c r="R138" s="243" t="str">
        <f t="shared" si="23"/>
        <v/>
      </c>
      <c r="S138" s="244" t="str">
        <f t="shared" si="24"/>
        <v/>
      </c>
      <c r="T138" s="245" t="str">
        <f t="shared" si="25"/>
        <v/>
      </c>
      <c r="U138" s="246" t="str">
        <f t="shared" si="26"/>
        <v/>
      </c>
      <c r="V138" s="8"/>
      <c r="AR138" t="str">
        <f t="shared" si="27"/>
        <v/>
      </c>
      <c r="AS138" t="str">
        <f t="shared" si="22"/>
        <v/>
      </c>
    </row>
    <row r="139" spans="1:45" x14ac:dyDescent="0.3">
      <c r="A139" s="231"/>
      <c r="B139" s="235"/>
      <c r="C139" s="214"/>
      <c r="D139" s="214"/>
      <c r="E139" s="214"/>
      <c r="F139" s="214"/>
      <c r="G139" s="222"/>
      <c r="H139" s="221"/>
      <c r="I139" s="213"/>
      <c r="J139" s="213"/>
      <c r="K139" s="215"/>
      <c r="L139" s="216"/>
      <c r="M139" s="217"/>
      <c r="N139" s="176"/>
      <c r="O139" s="241" t="str">
        <f>IF(Q139 = "", "", COUNT(Q$4:$Q139))</f>
        <v/>
      </c>
      <c r="P139" s="241" t="str">
        <f t="shared" si="20"/>
        <v/>
      </c>
      <c r="Q139" s="242" t="str">
        <f t="shared" si="21"/>
        <v/>
      </c>
      <c r="R139" s="243" t="str">
        <f t="shared" si="23"/>
        <v/>
      </c>
      <c r="S139" s="244" t="str">
        <f t="shared" si="24"/>
        <v/>
      </c>
      <c r="T139" s="245" t="str">
        <f t="shared" si="25"/>
        <v/>
      </c>
      <c r="U139" s="246" t="str">
        <f t="shared" si="26"/>
        <v/>
      </c>
      <c r="V139" s="8"/>
      <c r="AR139" t="str">
        <f t="shared" si="27"/>
        <v/>
      </c>
      <c r="AS139" t="str">
        <f t="shared" si="22"/>
        <v/>
      </c>
    </row>
    <row r="140" spans="1:45" x14ac:dyDescent="0.3">
      <c r="A140" s="231"/>
      <c r="B140" s="235"/>
      <c r="C140" s="214"/>
      <c r="D140" s="214"/>
      <c r="E140" s="214"/>
      <c r="F140" s="214"/>
      <c r="G140" s="222"/>
      <c r="H140" s="221"/>
      <c r="I140" s="213"/>
      <c r="J140" s="213"/>
      <c r="K140" s="215"/>
      <c r="L140" s="216"/>
      <c r="M140" s="217"/>
      <c r="N140" s="176"/>
      <c r="O140" s="241" t="str">
        <f>IF(Q140 = "", "", COUNT(Q$4:$Q140))</f>
        <v/>
      </c>
      <c r="P140" s="241" t="str">
        <f t="shared" si="20"/>
        <v/>
      </c>
      <c r="Q140" s="242" t="str">
        <f t="shared" si="21"/>
        <v/>
      </c>
      <c r="R140" s="243" t="str">
        <f t="shared" si="23"/>
        <v/>
      </c>
      <c r="S140" s="244" t="str">
        <f t="shared" si="24"/>
        <v/>
      </c>
      <c r="T140" s="245" t="str">
        <f t="shared" si="25"/>
        <v/>
      </c>
      <c r="U140" s="246" t="str">
        <f t="shared" si="26"/>
        <v/>
      </c>
      <c r="V140" s="8"/>
      <c r="AR140" t="str">
        <f t="shared" si="27"/>
        <v/>
      </c>
      <c r="AS140" t="str">
        <f t="shared" si="22"/>
        <v/>
      </c>
    </row>
    <row r="141" spans="1:45" x14ac:dyDescent="0.3">
      <c r="A141" s="231"/>
      <c r="B141" s="235"/>
      <c r="C141" s="214"/>
      <c r="D141" s="214"/>
      <c r="E141" s="214"/>
      <c r="F141" s="214"/>
      <c r="G141" s="222"/>
      <c r="H141" s="221"/>
      <c r="I141" s="213"/>
      <c r="J141" s="213"/>
      <c r="K141" s="215"/>
      <c r="L141" s="216"/>
      <c r="M141" s="217"/>
      <c r="N141" s="176"/>
      <c r="O141" s="241" t="str">
        <f>IF(Q141 = "", "", COUNT(Q$4:$Q141))</f>
        <v/>
      </c>
      <c r="P141" s="241" t="str">
        <f t="shared" si="20"/>
        <v/>
      </c>
      <c r="Q141" s="242" t="str">
        <f t="shared" si="21"/>
        <v/>
      </c>
      <c r="R141" s="243" t="str">
        <f t="shared" si="23"/>
        <v/>
      </c>
      <c r="S141" s="244" t="str">
        <f t="shared" si="24"/>
        <v/>
      </c>
      <c r="T141" s="245" t="str">
        <f t="shared" si="25"/>
        <v/>
      </c>
      <c r="U141" s="246" t="str">
        <f t="shared" si="26"/>
        <v/>
      </c>
      <c r="V141" s="8"/>
      <c r="AR141" t="str">
        <f t="shared" si="27"/>
        <v/>
      </c>
      <c r="AS141" t="str">
        <f t="shared" si="22"/>
        <v/>
      </c>
    </row>
    <row r="142" spans="1:45" x14ac:dyDescent="0.3">
      <c r="A142" s="231"/>
      <c r="B142" s="235"/>
      <c r="C142" s="214"/>
      <c r="D142" s="214"/>
      <c r="E142" s="214"/>
      <c r="F142" s="214"/>
      <c r="G142" s="222"/>
      <c r="H142" s="221"/>
      <c r="I142" s="213"/>
      <c r="J142" s="213"/>
      <c r="K142" s="215"/>
      <c r="L142" s="216"/>
      <c r="M142" s="217"/>
      <c r="N142" s="176"/>
      <c r="O142" s="241" t="str">
        <f>IF(Q142 = "", "", COUNT(Q$4:$Q142))</f>
        <v/>
      </c>
      <c r="P142" s="241" t="str">
        <f t="shared" si="20"/>
        <v/>
      </c>
      <c r="Q142" s="242" t="str">
        <f t="shared" si="21"/>
        <v/>
      </c>
      <c r="R142" s="243" t="str">
        <f t="shared" si="23"/>
        <v/>
      </c>
      <c r="S142" s="244" t="str">
        <f t="shared" si="24"/>
        <v/>
      </c>
      <c r="T142" s="245" t="str">
        <f t="shared" si="25"/>
        <v/>
      </c>
      <c r="U142" s="246" t="str">
        <f t="shared" si="26"/>
        <v/>
      </c>
      <c r="V142" s="8"/>
      <c r="AR142" t="str">
        <f t="shared" si="27"/>
        <v/>
      </c>
      <c r="AS142" t="str">
        <f t="shared" si="22"/>
        <v/>
      </c>
    </row>
    <row r="143" spans="1:45" x14ac:dyDescent="0.3">
      <c r="A143" s="231"/>
      <c r="B143" s="235"/>
      <c r="C143" s="214"/>
      <c r="D143" s="214"/>
      <c r="E143" s="214"/>
      <c r="F143" s="214"/>
      <c r="G143" s="222"/>
      <c r="H143" s="221"/>
      <c r="I143" s="213"/>
      <c r="J143" s="213"/>
      <c r="K143" s="215"/>
      <c r="L143" s="216"/>
      <c r="M143" s="217"/>
      <c r="N143" s="176"/>
      <c r="O143" s="241" t="str">
        <f>IF(Q143 = "", "", COUNT(Q$4:$Q143))</f>
        <v/>
      </c>
      <c r="P143" s="241" t="str">
        <f t="shared" si="20"/>
        <v/>
      </c>
      <c r="Q143" s="242" t="str">
        <f t="shared" si="21"/>
        <v/>
      </c>
      <c r="R143" s="243" t="str">
        <f t="shared" si="23"/>
        <v/>
      </c>
      <c r="S143" s="244" t="str">
        <f t="shared" si="24"/>
        <v/>
      </c>
      <c r="T143" s="245" t="str">
        <f t="shared" si="25"/>
        <v/>
      </c>
      <c r="U143" s="246" t="str">
        <f t="shared" si="26"/>
        <v/>
      </c>
      <c r="V143" s="8"/>
      <c r="AR143" t="str">
        <f t="shared" si="27"/>
        <v/>
      </c>
      <c r="AS143" t="str">
        <f t="shared" si="22"/>
        <v/>
      </c>
    </row>
    <row r="144" spans="1:45" x14ac:dyDescent="0.3">
      <c r="A144" s="231"/>
      <c r="B144" s="235"/>
      <c r="C144" s="214"/>
      <c r="D144" s="214"/>
      <c r="E144" s="214"/>
      <c r="F144" s="214"/>
      <c r="G144" s="222"/>
      <c r="H144" s="221"/>
      <c r="I144" s="213"/>
      <c r="J144" s="213"/>
      <c r="K144" s="215"/>
      <c r="L144" s="216"/>
      <c r="M144" s="217"/>
      <c r="N144" s="176"/>
      <c r="O144" s="241" t="str">
        <f>IF(Q144 = "", "", COUNT(Q$4:$Q144))</f>
        <v/>
      </c>
      <c r="P144" s="241" t="str">
        <f t="shared" si="20"/>
        <v/>
      </c>
      <c r="Q144" s="242" t="str">
        <f t="shared" si="21"/>
        <v/>
      </c>
      <c r="R144" s="243" t="str">
        <f t="shared" si="23"/>
        <v/>
      </c>
      <c r="S144" s="244" t="str">
        <f t="shared" si="24"/>
        <v/>
      </c>
      <c r="T144" s="245" t="str">
        <f t="shared" si="25"/>
        <v/>
      </c>
      <c r="U144" s="246" t="str">
        <f t="shared" si="26"/>
        <v/>
      </c>
      <c r="V144" s="8"/>
      <c r="AR144" t="str">
        <f t="shared" si="27"/>
        <v/>
      </c>
      <c r="AS144" t="str">
        <f t="shared" si="22"/>
        <v/>
      </c>
    </row>
    <row r="145" spans="1:45" x14ac:dyDescent="0.3">
      <c r="A145" s="231"/>
      <c r="B145" s="235"/>
      <c r="C145" s="214"/>
      <c r="D145" s="214"/>
      <c r="E145" s="214"/>
      <c r="F145" s="214"/>
      <c r="G145" s="222"/>
      <c r="H145" s="221"/>
      <c r="I145" s="213"/>
      <c r="J145" s="213"/>
      <c r="K145" s="215"/>
      <c r="L145" s="216"/>
      <c r="M145" s="217"/>
      <c r="N145" s="176"/>
      <c r="O145" s="241" t="str">
        <f>IF(Q145 = "", "", COUNT(Q$4:$Q145))</f>
        <v/>
      </c>
      <c r="P145" s="241" t="str">
        <f t="shared" si="20"/>
        <v/>
      </c>
      <c r="Q145" s="242" t="str">
        <f t="shared" si="21"/>
        <v/>
      </c>
      <c r="R145" s="243" t="str">
        <f t="shared" si="23"/>
        <v/>
      </c>
      <c r="S145" s="244" t="str">
        <f t="shared" si="24"/>
        <v/>
      </c>
      <c r="T145" s="245" t="str">
        <f t="shared" si="25"/>
        <v/>
      </c>
      <c r="U145" s="246" t="str">
        <f t="shared" si="26"/>
        <v/>
      </c>
      <c r="V145" s="8"/>
      <c r="AR145" t="str">
        <f t="shared" si="27"/>
        <v/>
      </c>
      <c r="AS145" t="str">
        <f t="shared" si="22"/>
        <v/>
      </c>
    </row>
    <row r="146" spans="1:45" x14ac:dyDescent="0.3">
      <c r="A146" s="231"/>
      <c r="B146" s="235"/>
      <c r="C146" s="214"/>
      <c r="D146" s="214"/>
      <c r="E146" s="214"/>
      <c r="F146" s="214"/>
      <c r="G146" s="222"/>
      <c r="H146" s="221"/>
      <c r="I146" s="213"/>
      <c r="J146" s="213"/>
      <c r="K146" s="215"/>
      <c r="L146" s="216"/>
      <c r="M146" s="217"/>
      <c r="N146" s="176"/>
      <c r="O146" s="241" t="str">
        <f>IF(Q146 = "", "", COUNT(Q$4:$Q146))</f>
        <v/>
      </c>
      <c r="P146" s="241" t="str">
        <f t="shared" si="20"/>
        <v/>
      </c>
      <c r="Q146" s="242" t="str">
        <f t="shared" si="21"/>
        <v/>
      </c>
      <c r="R146" s="243" t="str">
        <f t="shared" si="23"/>
        <v/>
      </c>
      <c r="S146" s="244" t="str">
        <f t="shared" si="24"/>
        <v/>
      </c>
      <c r="T146" s="245" t="str">
        <f t="shared" si="25"/>
        <v/>
      </c>
      <c r="U146" s="246" t="str">
        <f t="shared" si="26"/>
        <v/>
      </c>
      <c r="V146" s="8"/>
      <c r="AR146" t="str">
        <f t="shared" si="27"/>
        <v/>
      </c>
      <c r="AS146" t="str">
        <f t="shared" si="22"/>
        <v/>
      </c>
    </row>
    <row r="147" spans="1:45" x14ac:dyDescent="0.3">
      <c r="A147" s="231"/>
      <c r="B147" s="235"/>
      <c r="C147" s="214"/>
      <c r="D147" s="214"/>
      <c r="E147" s="214"/>
      <c r="F147" s="214"/>
      <c r="G147" s="222"/>
      <c r="H147" s="221"/>
      <c r="I147" s="213"/>
      <c r="J147" s="213"/>
      <c r="K147" s="215"/>
      <c r="L147" s="216"/>
      <c r="M147" s="217"/>
      <c r="N147" s="176"/>
      <c r="O147" s="241" t="str">
        <f>IF(Q147 = "", "", COUNT(Q$4:$Q147))</f>
        <v/>
      </c>
      <c r="P147" s="241" t="str">
        <f t="shared" si="20"/>
        <v/>
      </c>
      <c r="Q147" s="242" t="str">
        <f t="shared" si="21"/>
        <v/>
      </c>
      <c r="R147" s="243" t="str">
        <f t="shared" si="23"/>
        <v/>
      </c>
      <c r="S147" s="244" t="str">
        <f t="shared" si="24"/>
        <v/>
      </c>
      <c r="T147" s="245" t="str">
        <f t="shared" si="25"/>
        <v/>
      </c>
      <c r="U147" s="246" t="str">
        <f t="shared" si="26"/>
        <v/>
      </c>
      <c r="V147" s="8"/>
      <c r="AR147" t="str">
        <f t="shared" si="27"/>
        <v/>
      </c>
      <c r="AS147" t="str">
        <f t="shared" si="22"/>
        <v/>
      </c>
    </row>
    <row r="148" spans="1:45" x14ac:dyDescent="0.3">
      <c r="A148" s="231"/>
      <c r="B148" s="235"/>
      <c r="C148" s="214"/>
      <c r="D148" s="214"/>
      <c r="E148" s="214"/>
      <c r="F148" s="214"/>
      <c r="G148" s="222"/>
      <c r="H148" s="221"/>
      <c r="I148" s="213"/>
      <c r="J148" s="213"/>
      <c r="K148" s="215"/>
      <c r="L148" s="216"/>
      <c r="M148" s="217"/>
      <c r="N148" s="176"/>
      <c r="O148" s="241" t="str">
        <f>IF(Q148 = "", "", COUNT(Q$4:$Q148))</f>
        <v/>
      </c>
      <c r="P148" s="241" t="str">
        <f t="shared" si="20"/>
        <v/>
      </c>
      <c r="Q148" s="242" t="str">
        <f t="shared" si="21"/>
        <v/>
      </c>
      <c r="R148" s="243" t="str">
        <f t="shared" si="23"/>
        <v/>
      </c>
      <c r="S148" s="244" t="str">
        <f t="shared" si="24"/>
        <v/>
      </c>
      <c r="T148" s="245" t="str">
        <f t="shared" si="25"/>
        <v/>
      </c>
      <c r="U148" s="246" t="str">
        <f t="shared" si="26"/>
        <v/>
      </c>
      <c r="V148" s="8"/>
      <c r="AR148" t="str">
        <f t="shared" si="27"/>
        <v/>
      </c>
      <c r="AS148" t="str">
        <f t="shared" si="22"/>
        <v/>
      </c>
    </row>
    <row r="149" spans="1:45" x14ac:dyDescent="0.3">
      <c r="A149" s="231"/>
      <c r="B149" s="235"/>
      <c r="C149" s="214"/>
      <c r="D149" s="214"/>
      <c r="E149" s="214"/>
      <c r="F149" s="214"/>
      <c r="G149" s="222"/>
      <c r="H149" s="221"/>
      <c r="I149" s="213"/>
      <c r="J149" s="213"/>
      <c r="K149" s="215"/>
      <c r="L149" s="216"/>
      <c r="M149" s="217"/>
      <c r="N149" s="176"/>
      <c r="O149" s="241" t="str">
        <f>IF(Q149 = "", "", COUNT(Q$4:$Q149))</f>
        <v/>
      </c>
      <c r="P149" s="241" t="str">
        <f t="shared" si="20"/>
        <v/>
      </c>
      <c r="Q149" s="242" t="str">
        <f t="shared" si="21"/>
        <v/>
      </c>
      <c r="R149" s="243" t="str">
        <f t="shared" si="23"/>
        <v/>
      </c>
      <c r="S149" s="244" t="str">
        <f t="shared" si="24"/>
        <v/>
      </c>
      <c r="T149" s="245" t="str">
        <f t="shared" si="25"/>
        <v/>
      </c>
      <c r="U149" s="246" t="str">
        <f t="shared" si="26"/>
        <v/>
      </c>
      <c r="V149" s="8"/>
      <c r="AR149" t="str">
        <f t="shared" si="27"/>
        <v/>
      </c>
      <c r="AS149" t="str">
        <f t="shared" si="22"/>
        <v/>
      </c>
    </row>
    <row r="150" spans="1:45" x14ac:dyDescent="0.3">
      <c r="A150" s="231"/>
      <c r="B150" s="235"/>
      <c r="C150" s="214"/>
      <c r="D150" s="214"/>
      <c r="E150" s="214"/>
      <c r="F150" s="214"/>
      <c r="G150" s="222"/>
      <c r="H150" s="221"/>
      <c r="I150" s="213"/>
      <c r="J150" s="213"/>
      <c r="K150" s="215"/>
      <c r="L150" s="216"/>
      <c r="M150" s="217"/>
      <c r="N150" s="176"/>
      <c r="O150" s="241" t="str">
        <f>IF(Q150 = "", "", COUNT(Q$4:$Q150))</f>
        <v/>
      </c>
      <c r="P150" s="241" t="str">
        <f t="shared" si="20"/>
        <v/>
      </c>
      <c r="Q150" s="242" t="str">
        <f t="shared" si="21"/>
        <v/>
      </c>
      <c r="R150" s="243" t="str">
        <f t="shared" si="23"/>
        <v/>
      </c>
      <c r="S150" s="244" t="str">
        <f t="shared" si="24"/>
        <v/>
      </c>
      <c r="T150" s="245" t="str">
        <f t="shared" si="25"/>
        <v/>
      </c>
      <c r="U150" s="246" t="str">
        <f t="shared" si="26"/>
        <v/>
      </c>
      <c r="V150" s="8"/>
      <c r="AR150" t="str">
        <f t="shared" si="27"/>
        <v/>
      </c>
      <c r="AS150" t="str">
        <f t="shared" si="22"/>
        <v/>
      </c>
    </row>
    <row r="151" spans="1:45" x14ac:dyDescent="0.3">
      <c r="A151" s="231"/>
      <c r="B151" s="235"/>
      <c r="C151" s="214"/>
      <c r="D151" s="214"/>
      <c r="E151" s="214"/>
      <c r="F151" s="214"/>
      <c r="G151" s="222"/>
      <c r="H151" s="221"/>
      <c r="I151" s="213"/>
      <c r="J151" s="213"/>
      <c r="K151" s="215"/>
      <c r="L151" s="216"/>
      <c r="M151" s="217"/>
      <c r="N151" s="176"/>
      <c r="O151" s="241" t="str">
        <f>IF(Q151 = "", "", COUNT(Q$4:$Q151))</f>
        <v/>
      </c>
      <c r="P151" s="241" t="str">
        <f t="shared" si="20"/>
        <v/>
      </c>
      <c r="Q151" s="242" t="str">
        <f t="shared" si="21"/>
        <v/>
      </c>
      <c r="R151" s="243" t="str">
        <f t="shared" si="23"/>
        <v/>
      </c>
      <c r="S151" s="244" t="str">
        <f t="shared" si="24"/>
        <v/>
      </c>
      <c r="T151" s="245" t="str">
        <f t="shared" si="25"/>
        <v/>
      </c>
      <c r="U151" s="246" t="str">
        <f t="shared" si="26"/>
        <v/>
      </c>
      <c r="V151" s="8"/>
      <c r="AR151" t="str">
        <f t="shared" si="27"/>
        <v/>
      </c>
      <c r="AS151" t="str">
        <f t="shared" si="22"/>
        <v/>
      </c>
    </row>
    <row r="152" spans="1:45" x14ac:dyDescent="0.3">
      <c r="A152" s="231"/>
      <c r="B152" s="235"/>
      <c r="C152" s="214"/>
      <c r="D152" s="214"/>
      <c r="E152" s="214"/>
      <c r="F152" s="214"/>
      <c r="G152" s="222"/>
      <c r="H152" s="221"/>
      <c r="I152" s="213"/>
      <c r="J152" s="213"/>
      <c r="K152" s="215"/>
      <c r="L152" s="216"/>
      <c r="M152" s="217"/>
      <c r="N152" s="176"/>
      <c r="O152" s="241" t="str">
        <f>IF(Q152 = "", "", COUNT(Q$4:$Q152))</f>
        <v/>
      </c>
      <c r="P152" s="241" t="str">
        <f t="shared" si="20"/>
        <v/>
      </c>
      <c r="Q152" s="242" t="str">
        <f t="shared" si="21"/>
        <v/>
      </c>
      <c r="R152" s="243" t="str">
        <f t="shared" si="23"/>
        <v/>
      </c>
      <c r="S152" s="244" t="str">
        <f t="shared" si="24"/>
        <v/>
      </c>
      <c r="T152" s="245" t="str">
        <f t="shared" si="25"/>
        <v/>
      </c>
      <c r="U152" s="246" t="str">
        <f t="shared" si="26"/>
        <v/>
      </c>
      <c r="V152" s="8"/>
      <c r="AR152" t="str">
        <f t="shared" si="27"/>
        <v/>
      </c>
      <c r="AS152" t="str">
        <f t="shared" si="22"/>
        <v/>
      </c>
    </row>
    <row r="153" spans="1:45" x14ac:dyDescent="0.3">
      <c r="A153" s="231"/>
      <c r="B153" s="235"/>
      <c r="C153" s="214"/>
      <c r="D153" s="214"/>
      <c r="E153" s="214"/>
      <c r="F153" s="214"/>
      <c r="G153" s="222"/>
      <c r="H153" s="221"/>
      <c r="I153" s="213"/>
      <c r="J153" s="213"/>
      <c r="K153" s="215"/>
      <c r="L153" s="216"/>
      <c r="M153" s="217"/>
      <c r="N153" s="176"/>
      <c r="O153" s="241" t="str">
        <f>IF(Q153 = "", "", COUNT(Q$4:$Q153))</f>
        <v/>
      </c>
      <c r="P153" s="241" t="str">
        <f t="shared" si="20"/>
        <v/>
      </c>
      <c r="Q153" s="242" t="str">
        <f t="shared" si="21"/>
        <v/>
      </c>
      <c r="R153" s="243" t="str">
        <f t="shared" si="23"/>
        <v/>
      </c>
      <c r="S153" s="244" t="str">
        <f t="shared" si="24"/>
        <v/>
      </c>
      <c r="T153" s="245" t="str">
        <f t="shared" si="25"/>
        <v/>
      </c>
      <c r="U153" s="246" t="str">
        <f t="shared" si="26"/>
        <v/>
      </c>
      <c r="V153" s="8"/>
      <c r="AR153" t="str">
        <f t="shared" si="27"/>
        <v/>
      </c>
      <c r="AS153" t="str">
        <f t="shared" si="22"/>
        <v/>
      </c>
    </row>
    <row r="154" spans="1:45" x14ac:dyDescent="0.3">
      <c r="A154" s="231"/>
      <c r="B154" s="235"/>
      <c r="C154" s="214"/>
      <c r="D154" s="214"/>
      <c r="E154" s="214"/>
      <c r="F154" s="214"/>
      <c r="G154" s="222"/>
      <c r="H154" s="221"/>
      <c r="I154" s="213"/>
      <c r="J154" s="213"/>
      <c r="K154" s="215"/>
      <c r="L154" s="216"/>
      <c r="M154" s="217"/>
      <c r="N154" s="176"/>
      <c r="O154" s="241" t="str">
        <f>IF(Q154 = "", "", COUNT(Q$4:$Q154))</f>
        <v/>
      </c>
      <c r="P154" s="241" t="str">
        <f t="shared" si="20"/>
        <v/>
      </c>
      <c r="Q154" s="242" t="str">
        <f t="shared" si="21"/>
        <v/>
      </c>
      <c r="R154" s="243" t="str">
        <f t="shared" si="23"/>
        <v/>
      </c>
      <c r="S154" s="244" t="str">
        <f t="shared" si="24"/>
        <v/>
      </c>
      <c r="T154" s="245" t="str">
        <f t="shared" si="25"/>
        <v/>
      </c>
      <c r="U154" s="246" t="str">
        <f t="shared" si="26"/>
        <v/>
      </c>
      <c r="V154" s="8"/>
      <c r="AR154" t="str">
        <f t="shared" si="27"/>
        <v/>
      </c>
      <c r="AS154" t="str">
        <f t="shared" si="22"/>
        <v/>
      </c>
    </row>
    <row r="155" spans="1:45" x14ac:dyDescent="0.3">
      <c r="A155" s="231"/>
      <c r="B155" s="235"/>
      <c r="C155" s="214"/>
      <c r="D155" s="214"/>
      <c r="E155" s="214"/>
      <c r="F155" s="214"/>
      <c r="G155" s="222"/>
      <c r="H155" s="221"/>
      <c r="I155" s="213"/>
      <c r="J155" s="213"/>
      <c r="K155" s="215"/>
      <c r="L155" s="216"/>
      <c r="M155" s="217"/>
      <c r="N155" s="176"/>
      <c r="O155" s="241" t="str">
        <f>IF(Q155 = "", "", COUNT(Q$4:$Q155))</f>
        <v/>
      </c>
      <c r="P155" s="241" t="str">
        <f t="shared" si="20"/>
        <v/>
      </c>
      <c r="Q155" s="242" t="str">
        <f t="shared" si="21"/>
        <v/>
      </c>
      <c r="R155" s="243" t="str">
        <f t="shared" si="23"/>
        <v/>
      </c>
      <c r="S155" s="244" t="str">
        <f t="shared" si="24"/>
        <v/>
      </c>
      <c r="T155" s="245" t="str">
        <f t="shared" si="25"/>
        <v/>
      </c>
      <c r="U155" s="246" t="str">
        <f t="shared" si="26"/>
        <v/>
      </c>
      <c r="V155" s="8"/>
      <c r="AR155" t="str">
        <f t="shared" si="27"/>
        <v/>
      </c>
      <c r="AS155" t="str">
        <f t="shared" si="22"/>
        <v/>
      </c>
    </row>
    <row r="156" spans="1:45" x14ac:dyDescent="0.3">
      <c r="A156" s="231"/>
      <c r="B156" s="235"/>
      <c r="C156" s="214"/>
      <c r="D156" s="214"/>
      <c r="E156" s="214"/>
      <c r="F156" s="214"/>
      <c r="G156" s="222"/>
      <c r="H156" s="221"/>
      <c r="I156" s="213"/>
      <c r="J156" s="213"/>
      <c r="K156" s="215"/>
      <c r="L156" s="216"/>
      <c r="M156" s="217"/>
      <c r="N156" s="176"/>
      <c r="O156" s="241" t="str">
        <f>IF(Q156 = "", "", COUNT(Q$4:$Q156))</f>
        <v/>
      </c>
      <c r="P156" s="241" t="str">
        <f t="shared" si="20"/>
        <v/>
      </c>
      <c r="Q156" s="242" t="str">
        <f t="shared" si="21"/>
        <v/>
      </c>
      <c r="R156" s="243" t="str">
        <f t="shared" si="23"/>
        <v/>
      </c>
      <c r="S156" s="244" t="str">
        <f t="shared" si="24"/>
        <v/>
      </c>
      <c r="T156" s="245" t="str">
        <f t="shared" si="25"/>
        <v/>
      </c>
      <c r="U156" s="246" t="str">
        <f t="shared" si="26"/>
        <v/>
      </c>
      <c r="V156" s="8"/>
      <c r="AR156" t="str">
        <f t="shared" si="27"/>
        <v/>
      </c>
      <c r="AS156" t="str">
        <f t="shared" si="22"/>
        <v/>
      </c>
    </row>
    <row r="157" spans="1:45" x14ac:dyDescent="0.3">
      <c r="A157" s="231"/>
      <c r="B157" s="235"/>
      <c r="C157" s="214"/>
      <c r="D157" s="214"/>
      <c r="E157" s="214"/>
      <c r="F157" s="214"/>
      <c r="G157" s="222"/>
      <c r="H157" s="221"/>
      <c r="I157" s="213"/>
      <c r="J157" s="213"/>
      <c r="K157" s="215"/>
      <c r="L157" s="216"/>
      <c r="M157" s="217"/>
      <c r="N157" s="176"/>
      <c r="O157" s="241" t="str">
        <f>IF(Q157 = "", "", COUNT(Q$4:$Q157))</f>
        <v/>
      </c>
      <c r="P157" s="241" t="str">
        <f t="shared" si="20"/>
        <v/>
      </c>
      <c r="Q157" s="242" t="str">
        <f t="shared" si="21"/>
        <v/>
      </c>
      <c r="R157" s="243" t="str">
        <f t="shared" si="23"/>
        <v/>
      </c>
      <c r="S157" s="244" t="str">
        <f t="shared" si="24"/>
        <v/>
      </c>
      <c r="T157" s="245" t="str">
        <f t="shared" si="25"/>
        <v/>
      </c>
      <c r="U157" s="246" t="str">
        <f t="shared" si="26"/>
        <v/>
      </c>
      <c r="V157" s="8"/>
      <c r="AR157" t="str">
        <f t="shared" si="27"/>
        <v/>
      </c>
      <c r="AS157" t="str">
        <f t="shared" si="22"/>
        <v/>
      </c>
    </row>
    <row r="158" spans="1:45" x14ac:dyDescent="0.3">
      <c r="A158" s="231"/>
      <c r="B158" s="235"/>
      <c r="C158" s="214"/>
      <c r="D158" s="214"/>
      <c r="E158" s="214"/>
      <c r="F158" s="214"/>
      <c r="G158" s="222"/>
      <c r="H158" s="221"/>
      <c r="I158" s="213"/>
      <c r="J158" s="213"/>
      <c r="K158" s="215"/>
      <c r="L158" s="216"/>
      <c r="M158" s="217"/>
      <c r="N158" s="176"/>
      <c r="O158" s="241" t="str">
        <f>IF(Q158 = "", "", COUNT(Q$4:$Q158))</f>
        <v/>
      </c>
      <c r="P158" s="241" t="str">
        <f t="shared" si="20"/>
        <v/>
      </c>
      <c r="Q158" s="242" t="str">
        <f t="shared" si="21"/>
        <v/>
      </c>
      <c r="R158" s="243" t="str">
        <f t="shared" si="23"/>
        <v/>
      </c>
      <c r="S158" s="244" t="str">
        <f t="shared" si="24"/>
        <v/>
      </c>
      <c r="T158" s="245" t="str">
        <f t="shared" si="25"/>
        <v/>
      </c>
      <c r="U158" s="246" t="str">
        <f t="shared" si="26"/>
        <v/>
      </c>
      <c r="V158" s="8"/>
      <c r="AR158" t="str">
        <f t="shared" si="27"/>
        <v/>
      </c>
      <c r="AS158" t="str">
        <f t="shared" si="22"/>
        <v/>
      </c>
    </row>
    <row r="159" spans="1:45" x14ac:dyDescent="0.3">
      <c r="A159" s="231"/>
      <c r="B159" s="235"/>
      <c r="C159" s="214"/>
      <c r="D159" s="214"/>
      <c r="E159" s="214"/>
      <c r="F159" s="214"/>
      <c r="G159" s="222"/>
      <c r="H159" s="221"/>
      <c r="I159" s="213"/>
      <c r="J159" s="213"/>
      <c r="K159" s="215"/>
      <c r="L159" s="216"/>
      <c r="M159" s="217"/>
      <c r="N159" s="176"/>
      <c r="O159" s="241" t="str">
        <f>IF(Q159 = "", "", COUNT(Q$4:$Q159))</f>
        <v/>
      </c>
      <c r="P159" s="241" t="str">
        <f t="shared" si="20"/>
        <v/>
      </c>
      <c r="Q159" s="242" t="str">
        <f t="shared" si="21"/>
        <v/>
      </c>
      <c r="R159" s="243" t="str">
        <f t="shared" si="23"/>
        <v/>
      </c>
      <c r="S159" s="244" t="str">
        <f t="shared" si="24"/>
        <v/>
      </c>
      <c r="T159" s="245" t="str">
        <f t="shared" si="25"/>
        <v/>
      </c>
      <c r="U159" s="246" t="str">
        <f t="shared" si="26"/>
        <v/>
      </c>
      <c r="V159" s="8"/>
      <c r="AR159" t="str">
        <f t="shared" si="27"/>
        <v/>
      </c>
      <c r="AS159" t="str">
        <f t="shared" si="22"/>
        <v/>
      </c>
    </row>
    <row r="160" spans="1:45" x14ac:dyDescent="0.3">
      <c r="A160" s="231"/>
      <c r="B160" s="235"/>
      <c r="C160" s="214"/>
      <c r="D160" s="214"/>
      <c r="E160" s="214"/>
      <c r="F160" s="214"/>
      <c r="G160" s="222"/>
      <c r="H160" s="221"/>
      <c r="I160" s="213"/>
      <c r="J160" s="213"/>
      <c r="K160" s="215"/>
      <c r="L160" s="216"/>
      <c r="M160" s="217"/>
      <c r="N160" s="176"/>
      <c r="O160" s="241" t="str">
        <f>IF(Q160 = "", "", COUNT(Q$4:$Q160))</f>
        <v/>
      </c>
      <c r="P160" s="241" t="str">
        <f t="shared" si="20"/>
        <v/>
      </c>
      <c r="Q160" s="242" t="str">
        <f t="shared" si="21"/>
        <v/>
      </c>
      <c r="R160" s="243" t="str">
        <f t="shared" si="23"/>
        <v/>
      </c>
      <c r="S160" s="244" t="str">
        <f t="shared" si="24"/>
        <v/>
      </c>
      <c r="T160" s="245" t="str">
        <f t="shared" si="25"/>
        <v/>
      </c>
      <c r="U160" s="246" t="str">
        <f t="shared" si="26"/>
        <v/>
      </c>
      <c r="V160" s="8"/>
      <c r="AR160" t="str">
        <f t="shared" si="27"/>
        <v/>
      </c>
      <c r="AS160" t="str">
        <f t="shared" si="22"/>
        <v/>
      </c>
    </row>
    <row r="161" spans="1:45" x14ac:dyDescent="0.3">
      <c r="A161" s="231"/>
      <c r="B161" s="235"/>
      <c r="C161" s="214"/>
      <c r="D161" s="214"/>
      <c r="E161" s="214"/>
      <c r="F161" s="214"/>
      <c r="G161" s="222"/>
      <c r="H161" s="221"/>
      <c r="I161" s="213"/>
      <c r="J161" s="213"/>
      <c r="K161" s="215"/>
      <c r="L161" s="216"/>
      <c r="M161" s="217"/>
      <c r="N161" s="176"/>
      <c r="O161" s="241" t="str">
        <f>IF(Q161 = "", "", COUNT(Q$4:$Q161))</f>
        <v/>
      </c>
      <c r="P161" s="241" t="str">
        <f t="shared" si="20"/>
        <v/>
      </c>
      <c r="Q161" s="242" t="str">
        <f t="shared" si="21"/>
        <v/>
      </c>
      <c r="R161" s="243" t="str">
        <f t="shared" si="23"/>
        <v/>
      </c>
      <c r="S161" s="244" t="str">
        <f t="shared" si="24"/>
        <v/>
      </c>
      <c r="T161" s="245" t="str">
        <f t="shared" si="25"/>
        <v/>
      </c>
      <c r="U161" s="246" t="str">
        <f t="shared" si="26"/>
        <v/>
      </c>
      <c r="V161" s="8"/>
      <c r="AR161" t="str">
        <f t="shared" si="27"/>
        <v/>
      </c>
      <c r="AS161" t="str">
        <f t="shared" si="22"/>
        <v/>
      </c>
    </row>
    <row r="162" spans="1:45" x14ac:dyDescent="0.3">
      <c r="A162" s="231"/>
      <c r="B162" s="235"/>
      <c r="C162" s="214"/>
      <c r="D162" s="214"/>
      <c r="E162" s="214"/>
      <c r="F162" s="214"/>
      <c r="G162" s="222"/>
      <c r="H162" s="221"/>
      <c r="I162" s="213"/>
      <c r="J162" s="213"/>
      <c r="K162" s="215"/>
      <c r="L162" s="216"/>
      <c r="M162" s="217"/>
      <c r="N162" s="176"/>
      <c r="O162" s="241" t="str">
        <f>IF(Q162 = "", "", COUNT(Q$4:$Q162))</f>
        <v/>
      </c>
      <c r="P162" s="241" t="str">
        <f t="shared" si="20"/>
        <v/>
      </c>
      <c r="Q162" s="242" t="str">
        <f t="shared" si="21"/>
        <v/>
      </c>
      <c r="R162" s="243" t="str">
        <f t="shared" si="23"/>
        <v/>
      </c>
      <c r="S162" s="244" t="str">
        <f t="shared" si="24"/>
        <v/>
      </c>
      <c r="T162" s="245" t="str">
        <f t="shared" si="25"/>
        <v/>
      </c>
      <c r="U162" s="246" t="str">
        <f t="shared" si="26"/>
        <v/>
      </c>
      <c r="V162" s="8"/>
      <c r="AR162" t="str">
        <f t="shared" si="27"/>
        <v/>
      </c>
      <c r="AS162" t="str">
        <f t="shared" si="22"/>
        <v/>
      </c>
    </row>
    <row r="163" spans="1:45" x14ac:dyDescent="0.3">
      <c r="A163" s="231"/>
      <c r="B163" s="235"/>
      <c r="C163" s="214"/>
      <c r="D163" s="214"/>
      <c r="E163" s="214"/>
      <c r="F163" s="214"/>
      <c r="G163" s="222"/>
      <c r="H163" s="221"/>
      <c r="I163" s="213"/>
      <c r="J163" s="213"/>
      <c r="K163" s="215"/>
      <c r="L163" s="216"/>
      <c r="M163" s="217"/>
      <c r="N163" s="176"/>
      <c r="O163" s="241" t="str">
        <f>IF(Q163 = "", "", COUNT(Q$4:$Q163))</f>
        <v/>
      </c>
      <c r="P163" s="241" t="str">
        <f t="shared" si="20"/>
        <v/>
      </c>
      <c r="Q163" s="242" t="str">
        <f t="shared" si="21"/>
        <v/>
      </c>
      <c r="R163" s="243" t="str">
        <f t="shared" si="23"/>
        <v/>
      </c>
      <c r="S163" s="244" t="str">
        <f t="shared" si="24"/>
        <v/>
      </c>
      <c r="T163" s="245" t="str">
        <f t="shared" si="25"/>
        <v/>
      </c>
      <c r="U163" s="246" t="str">
        <f t="shared" si="26"/>
        <v/>
      </c>
      <c r="V163" s="8"/>
      <c r="AR163" t="str">
        <f t="shared" si="27"/>
        <v/>
      </c>
      <c r="AS163" t="str">
        <f t="shared" si="22"/>
        <v/>
      </c>
    </row>
    <row r="164" spans="1:45" x14ac:dyDescent="0.3">
      <c r="A164" s="231"/>
      <c r="B164" s="235"/>
      <c r="C164" s="214"/>
      <c r="D164" s="214"/>
      <c r="E164" s="214"/>
      <c r="F164" s="214"/>
      <c r="G164" s="222"/>
      <c r="H164" s="221"/>
      <c r="I164" s="213"/>
      <c r="J164" s="213"/>
      <c r="K164" s="215"/>
      <c r="L164" s="216"/>
      <c r="M164" s="217"/>
      <c r="N164" s="176"/>
      <c r="O164" s="241" t="str">
        <f>IF(Q164 = "", "", COUNT(Q$4:$Q164))</f>
        <v/>
      </c>
      <c r="P164" s="241" t="str">
        <f t="shared" si="20"/>
        <v/>
      </c>
      <c r="Q164" s="242" t="str">
        <f t="shared" si="21"/>
        <v/>
      </c>
      <c r="R164" s="243" t="str">
        <f t="shared" si="23"/>
        <v/>
      </c>
      <c r="S164" s="244" t="str">
        <f t="shared" si="24"/>
        <v/>
      </c>
      <c r="T164" s="245" t="str">
        <f t="shared" si="25"/>
        <v/>
      </c>
      <c r="U164" s="246" t="str">
        <f t="shared" si="26"/>
        <v/>
      </c>
      <c r="V164" s="8"/>
      <c r="AR164" t="str">
        <f t="shared" si="27"/>
        <v/>
      </c>
      <c r="AS164" t="str">
        <f t="shared" si="22"/>
        <v/>
      </c>
    </row>
    <row r="165" spans="1:45" x14ac:dyDescent="0.3">
      <c r="A165" s="231"/>
      <c r="B165" s="235"/>
      <c r="C165" s="214"/>
      <c r="D165" s="214"/>
      <c r="E165" s="214"/>
      <c r="F165" s="214"/>
      <c r="G165" s="222"/>
      <c r="H165" s="221"/>
      <c r="I165" s="213"/>
      <c r="J165" s="213"/>
      <c r="K165" s="215"/>
      <c r="L165" s="216"/>
      <c r="M165" s="217"/>
      <c r="N165" s="176"/>
      <c r="O165" s="241" t="str">
        <f>IF(Q165 = "", "", COUNT(Q$4:$Q165))</f>
        <v/>
      </c>
      <c r="P165" s="241" t="str">
        <f t="shared" si="20"/>
        <v/>
      </c>
      <c r="Q165" s="242" t="str">
        <f t="shared" si="21"/>
        <v/>
      </c>
      <c r="R165" s="243" t="str">
        <f t="shared" si="23"/>
        <v/>
      </c>
      <c r="S165" s="244" t="str">
        <f t="shared" si="24"/>
        <v/>
      </c>
      <c r="T165" s="245" t="str">
        <f t="shared" si="25"/>
        <v/>
      </c>
      <c r="U165" s="246" t="str">
        <f t="shared" si="26"/>
        <v/>
      </c>
      <c r="V165" s="8"/>
      <c r="AR165" t="str">
        <f t="shared" si="27"/>
        <v/>
      </c>
      <c r="AS165" t="str">
        <f t="shared" si="22"/>
        <v/>
      </c>
    </row>
    <row r="166" spans="1:45" x14ac:dyDescent="0.3">
      <c r="A166" s="231"/>
      <c r="B166" s="235"/>
      <c r="C166" s="214"/>
      <c r="D166" s="214"/>
      <c r="E166" s="214"/>
      <c r="F166" s="214"/>
      <c r="G166" s="222"/>
      <c r="H166" s="221"/>
      <c r="I166" s="213"/>
      <c r="J166" s="213"/>
      <c r="K166" s="215"/>
      <c r="L166" s="216"/>
      <c r="M166" s="217"/>
      <c r="N166" s="176"/>
      <c r="O166" s="241" t="str">
        <f>IF(Q166 = "", "", COUNT(Q$4:$Q166))</f>
        <v/>
      </c>
      <c r="P166" s="241" t="str">
        <f t="shared" si="20"/>
        <v/>
      </c>
      <c r="Q166" s="242" t="str">
        <f t="shared" si="21"/>
        <v/>
      </c>
      <c r="R166" s="243" t="str">
        <f t="shared" si="23"/>
        <v/>
      </c>
      <c r="S166" s="244" t="str">
        <f t="shared" si="24"/>
        <v/>
      </c>
      <c r="T166" s="245" t="str">
        <f t="shared" si="25"/>
        <v/>
      </c>
      <c r="U166" s="246" t="str">
        <f t="shared" si="26"/>
        <v/>
      </c>
      <c r="V166" s="8"/>
      <c r="AR166" t="str">
        <f t="shared" si="27"/>
        <v/>
      </c>
      <c r="AS166" t="str">
        <f t="shared" si="22"/>
        <v/>
      </c>
    </row>
    <row r="167" spans="1:45" x14ac:dyDescent="0.3">
      <c r="A167" s="231"/>
      <c r="B167" s="235"/>
      <c r="C167" s="214"/>
      <c r="D167" s="214"/>
      <c r="E167" s="214"/>
      <c r="F167" s="214"/>
      <c r="G167" s="222"/>
      <c r="H167" s="221"/>
      <c r="I167" s="213"/>
      <c r="J167" s="213"/>
      <c r="K167" s="215"/>
      <c r="L167" s="216"/>
      <c r="M167" s="217"/>
      <c r="N167" s="176"/>
      <c r="O167" s="241" t="str">
        <f>IF(Q167 = "", "", COUNT(Q$4:$Q167))</f>
        <v/>
      </c>
      <c r="P167" s="241" t="str">
        <f t="shared" si="20"/>
        <v/>
      </c>
      <c r="Q167" s="242" t="str">
        <f t="shared" si="21"/>
        <v/>
      </c>
      <c r="R167" s="243" t="str">
        <f t="shared" si="23"/>
        <v/>
      </c>
      <c r="S167" s="244" t="str">
        <f t="shared" si="24"/>
        <v/>
      </c>
      <c r="T167" s="245" t="str">
        <f t="shared" si="25"/>
        <v/>
      </c>
      <c r="U167" s="246" t="str">
        <f t="shared" si="26"/>
        <v/>
      </c>
      <c r="V167" s="8"/>
      <c r="AR167" t="str">
        <f t="shared" si="27"/>
        <v/>
      </c>
      <c r="AS167" t="str">
        <f t="shared" si="22"/>
        <v/>
      </c>
    </row>
    <row r="168" spans="1:45" x14ac:dyDescent="0.3">
      <c r="A168" s="231"/>
      <c r="B168" s="235"/>
      <c r="C168" s="214"/>
      <c r="D168" s="214"/>
      <c r="E168" s="214"/>
      <c r="F168" s="214"/>
      <c r="G168" s="222"/>
      <c r="H168" s="221"/>
      <c r="I168" s="213"/>
      <c r="J168" s="213"/>
      <c r="K168" s="215"/>
      <c r="L168" s="216"/>
      <c r="M168" s="217"/>
      <c r="N168" s="176"/>
      <c r="O168" s="241" t="str">
        <f>IF(Q168 = "", "", COUNT(Q$4:$Q168))</f>
        <v/>
      </c>
      <c r="P168" s="241" t="str">
        <f t="shared" si="20"/>
        <v/>
      </c>
      <c r="Q168" s="242" t="str">
        <f t="shared" si="21"/>
        <v/>
      </c>
      <c r="R168" s="243" t="str">
        <f t="shared" si="23"/>
        <v/>
      </c>
      <c r="S168" s="244" t="str">
        <f t="shared" si="24"/>
        <v/>
      </c>
      <c r="T168" s="245" t="str">
        <f t="shared" si="25"/>
        <v/>
      </c>
      <c r="U168" s="246" t="str">
        <f t="shared" si="26"/>
        <v/>
      </c>
      <c r="V168" s="8"/>
      <c r="AR168" t="str">
        <f t="shared" si="27"/>
        <v/>
      </c>
      <c r="AS168" t="str">
        <f t="shared" si="22"/>
        <v/>
      </c>
    </row>
    <row r="169" spans="1:45" x14ac:dyDescent="0.3">
      <c r="A169" s="231"/>
      <c r="B169" s="235"/>
      <c r="C169" s="214"/>
      <c r="D169" s="214"/>
      <c r="E169" s="214"/>
      <c r="F169" s="214"/>
      <c r="G169" s="222"/>
      <c r="H169" s="221"/>
      <c r="I169" s="213"/>
      <c r="J169" s="213"/>
      <c r="K169" s="215"/>
      <c r="L169" s="216"/>
      <c r="M169" s="217"/>
      <c r="N169" s="176"/>
      <c r="O169" s="241" t="str">
        <f>IF(Q169 = "", "", COUNT(Q$4:$Q169))</f>
        <v/>
      </c>
      <c r="P169" s="241" t="str">
        <f t="shared" si="20"/>
        <v/>
      </c>
      <c r="Q169" s="242" t="str">
        <f t="shared" si="21"/>
        <v/>
      </c>
      <c r="R169" s="243" t="str">
        <f t="shared" si="23"/>
        <v/>
      </c>
      <c r="S169" s="244" t="str">
        <f t="shared" si="24"/>
        <v/>
      </c>
      <c r="T169" s="245" t="str">
        <f t="shared" si="25"/>
        <v/>
      </c>
      <c r="U169" s="246" t="str">
        <f t="shared" si="26"/>
        <v/>
      </c>
      <c r="V169" s="8"/>
      <c r="AR169" t="str">
        <f t="shared" si="27"/>
        <v/>
      </c>
      <c r="AS169" t="str">
        <f t="shared" si="22"/>
        <v/>
      </c>
    </row>
    <row r="170" spans="1:45" x14ac:dyDescent="0.3">
      <c r="A170" s="231"/>
      <c r="B170" s="235"/>
      <c r="C170" s="214"/>
      <c r="D170" s="214"/>
      <c r="E170" s="214"/>
      <c r="F170" s="214"/>
      <c r="G170" s="222"/>
      <c r="H170" s="221"/>
      <c r="I170" s="213"/>
      <c r="J170" s="213"/>
      <c r="K170" s="215"/>
      <c r="L170" s="216"/>
      <c r="M170" s="217"/>
      <c r="N170" s="176"/>
      <c r="O170" s="241" t="str">
        <f>IF(Q170 = "", "", COUNT(Q$4:$Q170))</f>
        <v/>
      </c>
      <c r="P170" s="241" t="str">
        <f t="shared" si="20"/>
        <v/>
      </c>
      <c r="Q170" s="242" t="str">
        <f t="shared" si="21"/>
        <v/>
      </c>
      <c r="R170" s="243" t="str">
        <f t="shared" si="23"/>
        <v/>
      </c>
      <c r="S170" s="244" t="str">
        <f t="shared" si="24"/>
        <v/>
      </c>
      <c r="T170" s="245" t="str">
        <f t="shared" si="25"/>
        <v/>
      </c>
      <c r="U170" s="246" t="str">
        <f t="shared" si="26"/>
        <v/>
      </c>
      <c r="V170" s="8"/>
      <c r="AR170" t="str">
        <f t="shared" si="27"/>
        <v/>
      </c>
      <c r="AS170" t="str">
        <f t="shared" si="22"/>
        <v/>
      </c>
    </row>
    <row r="171" spans="1:45" x14ac:dyDescent="0.3">
      <c r="A171" s="231"/>
      <c r="B171" s="235"/>
      <c r="C171" s="214"/>
      <c r="D171" s="214"/>
      <c r="E171" s="214"/>
      <c r="F171" s="214"/>
      <c r="G171" s="222"/>
      <c r="H171" s="221"/>
      <c r="I171" s="213"/>
      <c r="J171" s="213"/>
      <c r="K171" s="215"/>
      <c r="L171" s="216"/>
      <c r="M171" s="217"/>
      <c r="N171" s="176"/>
      <c r="O171" s="241" t="str">
        <f>IF(Q171 = "", "", COUNT(Q$4:$Q171))</f>
        <v/>
      </c>
      <c r="P171" s="241" t="str">
        <f t="shared" si="20"/>
        <v/>
      </c>
      <c r="Q171" s="242" t="str">
        <f t="shared" si="21"/>
        <v/>
      </c>
      <c r="R171" s="243" t="str">
        <f t="shared" si="23"/>
        <v/>
      </c>
      <c r="S171" s="244" t="str">
        <f t="shared" si="24"/>
        <v/>
      </c>
      <c r="T171" s="245" t="str">
        <f t="shared" si="25"/>
        <v/>
      </c>
      <c r="U171" s="246" t="str">
        <f t="shared" si="26"/>
        <v/>
      </c>
      <c r="V171" s="8"/>
      <c r="AR171" t="str">
        <f t="shared" si="27"/>
        <v/>
      </c>
      <c r="AS171" t="str">
        <f t="shared" si="22"/>
        <v/>
      </c>
    </row>
    <row r="172" spans="1:45" x14ac:dyDescent="0.3">
      <c r="A172" s="231"/>
      <c r="B172" s="235"/>
      <c r="C172" s="214"/>
      <c r="D172" s="214"/>
      <c r="E172" s="214"/>
      <c r="F172" s="214"/>
      <c r="G172" s="222"/>
      <c r="H172" s="221"/>
      <c r="I172" s="213"/>
      <c r="J172" s="213"/>
      <c r="K172" s="215"/>
      <c r="L172" s="216"/>
      <c r="M172" s="217"/>
      <c r="N172" s="176"/>
      <c r="O172" s="241" t="str">
        <f>IF(Q172 = "", "", COUNT(Q$4:$Q172))</f>
        <v/>
      </c>
      <c r="P172" s="241" t="str">
        <f t="shared" si="20"/>
        <v/>
      </c>
      <c r="Q172" s="242" t="str">
        <f t="shared" si="21"/>
        <v/>
      </c>
      <c r="R172" s="243" t="str">
        <f t="shared" si="23"/>
        <v/>
      </c>
      <c r="S172" s="244" t="str">
        <f t="shared" si="24"/>
        <v/>
      </c>
      <c r="T172" s="245" t="str">
        <f t="shared" si="25"/>
        <v/>
      </c>
      <c r="U172" s="246" t="str">
        <f t="shared" si="26"/>
        <v/>
      </c>
      <c r="V172" s="8"/>
      <c r="AR172" t="str">
        <f t="shared" si="27"/>
        <v/>
      </c>
      <c r="AS172" t="str">
        <f t="shared" si="22"/>
        <v/>
      </c>
    </row>
    <row r="173" spans="1:45" x14ac:dyDescent="0.3">
      <c r="A173" s="231"/>
      <c r="B173" s="235"/>
      <c r="C173" s="214"/>
      <c r="D173" s="214"/>
      <c r="E173" s="214"/>
      <c r="F173" s="214"/>
      <c r="G173" s="222"/>
      <c r="H173" s="221"/>
      <c r="I173" s="213"/>
      <c r="J173" s="213"/>
      <c r="K173" s="215"/>
      <c r="L173" s="216"/>
      <c r="M173" s="217"/>
      <c r="N173" s="176"/>
      <c r="O173" s="241" t="str">
        <f>IF(Q173 = "", "", COUNT(Q$4:$Q173))</f>
        <v/>
      </c>
      <c r="P173" s="241" t="str">
        <f t="shared" si="20"/>
        <v/>
      </c>
      <c r="Q173" s="242" t="str">
        <f t="shared" si="21"/>
        <v/>
      </c>
      <c r="R173" s="243" t="str">
        <f t="shared" si="23"/>
        <v/>
      </c>
      <c r="S173" s="244" t="str">
        <f t="shared" si="24"/>
        <v/>
      </c>
      <c r="T173" s="245" t="str">
        <f t="shared" si="25"/>
        <v/>
      </c>
      <c r="U173" s="246" t="str">
        <f t="shared" si="26"/>
        <v/>
      </c>
      <c r="V173" s="8"/>
      <c r="AR173" t="str">
        <f t="shared" si="27"/>
        <v/>
      </c>
      <c r="AS173" t="str">
        <f t="shared" si="22"/>
        <v/>
      </c>
    </row>
    <row r="174" spans="1:45" x14ac:dyDescent="0.3">
      <c r="A174" s="231"/>
      <c r="B174" s="235"/>
      <c r="C174" s="214"/>
      <c r="D174" s="214"/>
      <c r="E174" s="214"/>
      <c r="F174" s="214"/>
      <c r="G174" s="222"/>
      <c r="H174" s="221"/>
      <c r="I174" s="213"/>
      <c r="J174" s="213"/>
      <c r="K174" s="215"/>
      <c r="L174" s="216"/>
      <c r="M174" s="217"/>
      <c r="N174" s="176"/>
      <c r="O174" s="241" t="str">
        <f>IF(Q174 = "", "", COUNT(Q$4:$Q174))</f>
        <v/>
      </c>
      <c r="P174" s="241" t="str">
        <f t="shared" si="20"/>
        <v/>
      </c>
      <c r="Q174" s="242" t="str">
        <f t="shared" si="21"/>
        <v/>
      </c>
      <c r="R174" s="243" t="str">
        <f t="shared" si="23"/>
        <v/>
      </c>
      <c r="S174" s="244" t="str">
        <f t="shared" si="24"/>
        <v/>
      </c>
      <c r="T174" s="245" t="str">
        <f t="shared" si="25"/>
        <v/>
      </c>
      <c r="U174" s="246" t="str">
        <f t="shared" si="26"/>
        <v/>
      </c>
      <c r="V174" s="8"/>
      <c r="AR174" t="str">
        <f t="shared" si="27"/>
        <v/>
      </c>
      <c r="AS174" t="str">
        <f t="shared" si="22"/>
        <v/>
      </c>
    </row>
    <row r="175" spans="1:45" x14ac:dyDescent="0.3">
      <c r="A175" s="231"/>
      <c r="B175" s="235"/>
      <c r="C175" s="214"/>
      <c r="D175" s="214"/>
      <c r="E175" s="214"/>
      <c r="F175" s="214"/>
      <c r="G175" s="222"/>
      <c r="H175" s="221"/>
      <c r="I175" s="213"/>
      <c r="J175" s="213"/>
      <c r="K175" s="215"/>
      <c r="L175" s="216"/>
      <c r="M175" s="217"/>
      <c r="N175" s="176"/>
      <c r="O175" s="241" t="str">
        <f>IF(Q175 = "", "", COUNT(Q$4:$Q175))</f>
        <v/>
      </c>
      <c r="P175" s="241" t="str">
        <f t="shared" si="20"/>
        <v/>
      </c>
      <c r="Q175" s="242" t="str">
        <f t="shared" si="21"/>
        <v/>
      </c>
      <c r="R175" s="243" t="str">
        <f t="shared" si="23"/>
        <v/>
      </c>
      <c r="S175" s="244" t="str">
        <f t="shared" si="24"/>
        <v/>
      </c>
      <c r="T175" s="245" t="str">
        <f t="shared" si="25"/>
        <v/>
      </c>
      <c r="U175" s="246" t="str">
        <f t="shared" si="26"/>
        <v/>
      </c>
      <c r="V175" s="8"/>
      <c r="AR175" t="str">
        <f t="shared" si="27"/>
        <v/>
      </c>
      <c r="AS175" t="str">
        <f t="shared" si="22"/>
        <v/>
      </c>
    </row>
    <row r="176" spans="1:45" x14ac:dyDescent="0.3">
      <c r="A176" s="231"/>
      <c r="B176" s="235"/>
      <c r="C176" s="214"/>
      <c r="D176" s="214"/>
      <c r="E176" s="214"/>
      <c r="F176" s="214"/>
      <c r="G176" s="222"/>
      <c r="H176" s="221"/>
      <c r="I176" s="213"/>
      <c r="J176" s="213"/>
      <c r="K176" s="215"/>
      <c r="L176" s="216"/>
      <c r="M176" s="217"/>
      <c r="N176" s="176"/>
      <c r="O176" s="241" t="str">
        <f>IF(Q176 = "", "", COUNT(Q$4:$Q176))</f>
        <v/>
      </c>
      <c r="P176" s="241" t="str">
        <f t="shared" si="20"/>
        <v/>
      </c>
      <c r="Q176" s="242" t="str">
        <f t="shared" si="21"/>
        <v/>
      </c>
      <c r="R176" s="243" t="str">
        <f t="shared" si="23"/>
        <v/>
      </c>
      <c r="S176" s="244" t="str">
        <f t="shared" si="24"/>
        <v/>
      </c>
      <c r="T176" s="245" t="str">
        <f t="shared" si="25"/>
        <v/>
      </c>
      <c r="U176" s="246" t="str">
        <f t="shared" si="26"/>
        <v/>
      </c>
      <c r="V176" s="8"/>
      <c r="AR176" t="str">
        <f t="shared" si="27"/>
        <v/>
      </c>
      <c r="AS176" t="str">
        <f t="shared" si="22"/>
        <v/>
      </c>
    </row>
    <row r="177" spans="1:45" x14ac:dyDescent="0.3">
      <c r="A177" s="231"/>
      <c r="B177" s="235"/>
      <c r="C177" s="214"/>
      <c r="D177" s="214"/>
      <c r="E177" s="214"/>
      <c r="F177" s="214"/>
      <c r="G177" s="222"/>
      <c r="H177" s="221"/>
      <c r="I177" s="213"/>
      <c r="J177" s="213"/>
      <c r="K177" s="215"/>
      <c r="L177" s="216"/>
      <c r="M177" s="217"/>
      <c r="N177" s="176"/>
      <c r="O177" s="241" t="str">
        <f>IF(Q177 = "", "", COUNT(Q$4:$Q177))</f>
        <v/>
      </c>
      <c r="P177" s="241" t="str">
        <f t="shared" si="20"/>
        <v/>
      </c>
      <c r="Q177" s="242" t="str">
        <f t="shared" si="21"/>
        <v/>
      </c>
      <c r="R177" s="243" t="str">
        <f t="shared" si="23"/>
        <v/>
      </c>
      <c r="S177" s="244" t="str">
        <f t="shared" si="24"/>
        <v/>
      </c>
      <c r="T177" s="245" t="str">
        <f t="shared" si="25"/>
        <v/>
      </c>
      <c r="U177" s="246" t="str">
        <f t="shared" si="26"/>
        <v/>
      </c>
      <c r="V177" s="8"/>
      <c r="AR177" t="str">
        <f t="shared" si="27"/>
        <v/>
      </c>
      <c r="AS177" t="str">
        <f t="shared" si="22"/>
        <v/>
      </c>
    </row>
    <row r="178" spans="1:45" x14ac:dyDescent="0.3">
      <c r="A178" s="231"/>
      <c r="B178" s="235"/>
      <c r="C178" s="214"/>
      <c r="D178" s="214"/>
      <c r="E178" s="214"/>
      <c r="F178" s="214"/>
      <c r="G178" s="222"/>
      <c r="H178" s="221"/>
      <c r="I178" s="213"/>
      <c r="J178" s="213"/>
      <c r="K178" s="215"/>
      <c r="L178" s="216"/>
      <c r="M178" s="217"/>
      <c r="N178" s="176"/>
      <c r="O178" s="241" t="str">
        <f>IF(Q178 = "", "", COUNT(Q$4:$Q178))</f>
        <v/>
      </c>
      <c r="P178" s="241" t="str">
        <f t="shared" si="20"/>
        <v/>
      </c>
      <c r="Q178" s="242" t="str">
        <f t="shared" si="21"/>
        <v/>
      </c>
      <c r="R178" s="243" t="str">
        <f t="shared" si="23"/>
        <v/>
      </c>
      <c r="S178" s="244" t="str">
        <f t="shared" si="24"/>
        <v/>
      </c>
      <c r="T178" s="245" t="str">
        <f t="shared" si="25"/>
        <v/>
      </c>
      <c r="U178" s="246" t="str">
        <f t="shared" si="26"/>
        <v/>
      </c>
      <c r="V178" s="8"/>
      <c r="AR178" t="str">
        <f t="shared" si="27"/>
        <v/>
      </c>
      <c r="AS178" t="str">
        <f t="shared" si="22"/>
        <v/>
      </c>
    </row>
    <row r="179" spans="1:45" x14ac:dyDescent="0.3">
      <c r="A179" s="231"/>
      <c r="B179" s="235"/>
      <c r="C179" s="214"/>
      <c r="D179" s="214"/>
      <c r="E179" s="214"/>
      <c r="F179" s="214"/>
      <c r="G179" s="222"/>
      <c r="H179" s="221"/>
      <c r="I179" s="213"/>
      <c r="J179" s="213"/>
      <c r="K179" s="215"/>
      <c r="L179" s="216"/>
      <c r="M179" s="217"/>
      <c r="N179" s="176"/>
      <c r="O179" s="241" t="str">
        <f>IF(Q179 = "", "", COUNT(Q$4:$Q179))</f>
        <v/>
      </c>
      <c r="P179" s="241" t="str">
        <f t="shared" si="20"/>
        <v/>
      </c>
      <c r="Q179" s="242" t="str">
        <f t="shared" si="21"/>
        <v/>
      </c>
      <c r="R179" s="243" t="str">
        <f t="shared" si="23"/>
        <v/>
      </c>
      <c r="S179" s="244" t="str">
        <f t="shared" si="24"/>
        <v/>
      </c>
      <c r="T179" s="245" t="str">
        <f t="shared" si="25"/>
        <v/>
      </c>
      <c r="U179" s="246" t="str">
        <f t="shared" si="26"/>
        <v/>
      </c>
      <c r="V179" s="8"/>
      <c r="AR179" t="str">
        <f t="shared" si="27"/>
        <v/>
      </c>
      <c r="AS179" t="str">
        <f t="shared" si="22"/>
        <v/>
      </c>
    </row>
    <row r="180" spans="1:45" x14ac:dyDescent="0.3">
      <c r="A180" s="231"/>
      <c r="B180" s="235"/>
      <c r="C180" s="214"/>
      <c r="D180" s="214"/>
      <c r="E180" s="214"/>
      <c r="F180" s="214"/>
      <c r="G180" s="222"/>
      <c r="H180" s="221"/>
      <c r="I180" s="213"/>
      <c r="J180" s="213"/>
      <c r="K180" s="215"/>
      <c r="L180" s="216"/>
      <c r="M180" s="217"/>
      <c r="N180" s="176"/>
      <c r="O180" s="241" t="str">
        <f>IF(Q180 = "", "", COUNT(Q$4:$Q180))</f>
        <v/>
      </c>
      <c r="P180" s="241" t="str">
        <f t="shared" si="20"/>
        <v/>
      </c>
      <c r="Q180" s="242" t="str">
        <f t="shared" si="21"/>
        <v/>
      </c>
      <c r="R180" s="243" t="str">
        <f t="shared" si="23"/>
        <v/>
      </c>
      <c r="S180" s="244" t="str">
        <f t="shared" si="24"/>
        <v/>
      </c>
      <c r="T180" s="245" t="str">
        <f t="shared" si="25"/>
        <v/>
      </c>
      <c r="U180" s="246" t="str">
        <f t="shared" si="26"/>
        <v/>
      </c>
      <c r="V180" s="8"/>
      <c r="AR180" t="str">
        <f t="shared" si="27"/>
        <v/>
      </c>
      <c r="AS180" t="str">
        <f t="shared" si="22"/>
        <v/>
      </c>
    </row>
    <row r="181" spans="1:45" x14ac:dyDescent="0.3">
      <c r="A181" s="231"/>
      <c r="B181" s="235"/>
      <c r="C181" s="214"/>
      <c r="D181" s="214"/>
      <c r="E181" s="214"/>
      <c r="F181" s="214"/>
      <c r="G181" s="222"/>
      <c r="H181" s="221"/>
      <c r="I181" s="213"/>
      <c r="J181" s="213"/>
      <c r="K181" s="215"/>
      <c r="L181" s="216"/>
      <c r="M181" s="217"/>
      <c r="N181" s="176"/>
      <c r="O181" s="241" t="str">
        <f>IF(Q181 = "", "", COUNT(Q$4:$Q181))</f>
        <v/>
      </c>
      <c r="P181" s="241" t="str">
        <f t="shared" si="20"/>
        <v/>
      </c>
      <c r="Q181" s="242" t="str">
        <f t="shared" si="21"/>
        <v/>
      </c>
      <c r="R181" s="243" t="str">
        <f t="shared" si="23"/>
        <v/>
      </c>
      <c r="S181" s="244" t="str">
        <f t="shared" si="24"/>
        <v/>
      </c>
      <c r="T181" s="245" t="str">
        <f t="shared" si="25"/>
        <v/>
      </c>
      <c r="U181" s="246" t="str">
        <f t="shared" si="26"/>
        <v/>
      </c>
      <c r="V181" s="8"/>
      <c r="AR181" t="str">
        <f t="shared" si="27"/>
        <v/>
      </c>
      <c r="AS181" t="str">
        <f t="shared" si="22"/>
        <v/>
      </c>
    </row>
    <row r="182" spans="1:45" x14ac:dyDescent="0.3">
      <c r="A182" s="231"/>
      <c r="B182" s="235"/>
      <c r="C182" s="214"/>
      <c r="D182" s="214"/>
      <c r="E182" s="214"/>
      <c r="F182" s="214"/>
      <c r="G182" s="222"/>
      <c r="H182" s="221"/>
      <c r="I182" s="213"/>
      <c r="J182" s="213"/>
      <c r="K182" s="215"/>
      <c r="L182" s="216"/>
      <c r="M182" s="217"/>
      <c r="N182" s="176"/>
      <c r="O182" s="241" t="str">
        <f>IF(Q182 = "", "", COUNT(Q$4:$Q182))</f>
        <v/>
      </c>
      <c r="P182" s="241" t="str">
        <f t="shared" si="20"/>
        <v/>
      </c>
      <c r="Q182" s="242" t="str">
        <f t="shared" si="21"/>
        <v/>
      </c>
      <c r="R182" s="243" t="str">
        <f t="shared" si="23"/>
        <v/>
      </c>
      <c r="S182" s="244" t="str">
        <f t="shared" si="24"/>
        <v/>
      </c>
      <c r="T182" s="245" t="str">
        <f t="shared" si="25"/>
        <v/>
      </c>
      <c r="U182" s="246" t="str">
        <f t="shared" si="26"/>
        <v/>
      </c>
      <c r="V182" s="8"/>
      <c r="AR182" t="str">
        <f t="shared" si="27"/>
        <v/>
      </c>
      <c r="AS182" t="str">
        <f t="shared" si="22"/>
        <v/>
      </c>
    </row>
    <row r="183" spans="1:45" x14ac:dyDescent="0.3">
      <c r="A183" s="231"/>
      <c r="B183" s="235"/>
      <c r="C183" s="214"/>
      <c r="D183" s="214"/>
      <c r="E183" s="214"/>
      <c r="F183" s="214"/>
      <c r="G183" s="222"/>
      <c r="H183" s="221"/>
      <c r="I183" s="213"/>
      <c r="J183" s="213"/>
      <c r="K183" s="215"/>
      <c r="L183" s="216"/>
      <c r="M183" s="217"/>
      <c r="N183" s="176"/>
      <c r="O183" s="241" t="str">
        <f>IF(Q183 = "", "", COUNT(Q$4:$Q183))</f>
        <v/>
      </c>
      <c r="P183" s="241" t="str">
        <f t="shared" si="20"/>
        <v/>
      </c>
      <c r="Q183" s="242" t="str">
        <f t="shared" si="21"/>
        <v/>
      </c>
      <c r="R183" s="243" t="str">
        <f t="shared" si="23"/>
        <v/>
      </c>
      <c r="S183" s="244" t="str">
        <f t="shared" si="24"/>
        <v/>
      </c>
      <c r="T183" s="245" t="str">
        <f t="shared" si="25"/>
        <v/>
      </c>
      <c r="U183" s="246" t="str">
        <f t="shared" si="26"/>
        <v/>
      </c>
      <c r="V183" s="8"/>
      <c r="AR183" t="str">
        <f t="shared" si="27"/>
        <v/>
      </c>
      <c r="AS183" t="str">
        <f t="shared" si="22"/>
        <v/>
      </c>
    </row>
    <row r="184" spans="1:45" x14ac:dyDescent="0.3">
      <c r="A184" s="231"/>
      <c r="B184" s="235"/>
      <c r="C184" s="214"/>
      <c r="D184" s="214"/>
      <c r="E184" s="214"/>
      <c r="F184" s="214"/>
      <c r="G184" s="222"/>
      <c r="H184" s="221"/>
      <c r="I184" s="213"/>
      <c r="J184" s="213"/>
      <c r="K184" s="215"/>
      <c r="L184" s="216"/>
      <c r="M184" s="217"/>
      <c r="N184" s="176"/>
      <c r="O184" s="241" t="str">
        <f>IF(Q184 = "", "", COUNT(Q$4:$Q184))</f>
        <v/>
      </c>
      <c r="P184" s="241" t="str">
        <f t="shared" si="20"/>
        <v/>
      </c>
      <c r="Q184" s="242" t="str">
        <f t="shared" si="21"/>
        <v/>
      </c>
      <c r="R184" s="243" t="str">
        <f t="shared" si="23"/>
        <v/>
      </c>
      <c r="S184" s="244" t="str">
        <f t="shared" si="24"/>
        <v/>
      </c>
      <c r="T184" s="245" t="str">
        <f t="shared" si="25"/>
        <v/>
      </c>
      <c r="U184" s="246" t="str">
        <f t="shared" si="26"/>
        <v/>
      </c>
      <c r="V184" s="8"/>
      <c r="AR184" t="str">
        <f t="shared" si="27"/>
        <v/>
      </c>
      <c r="AS184" t="str">
        <f t="shared" si="22"/>
        <v/>
      </c>
    </row>
    <row r="185" spans="1:45" x14ac:dyDescent="0.3">
      <c r="A185" s="231"/>
      <c r="B185" s="235"/>
      <c r="C185" s="214"/>
      <c r="D185" s="214"/>
      <c r="E185" s="214"/>
      <c r="F185" s="214"/>
      <c r="G185" s="222"/>
      <c r="H185" s="221"/>
      <c r="I185" s="213"/>
      <c r="J185" s="213"/>
      <c r="K185" s="215"/>
      <c r="L185" s="216"/>
      <c r="M185" s="217"/>
      <c r="N185" s="176"/>
      <c r="O185" s="241" t="str">
        <f>IF(Q185 = "", "", COUNT(Q$4:$Q185))</f>
        <v/>
      </c>
      <c r="P185" s="241" t="str">
        <f t="shared" si="20"/>
        <v/>
      </c>
      <c r="Q185" s="242" t="str">
        <f t="shared" si="21"/>
        <v/>
      </c>
      <c r="R185" s="243" t="str">
        <f t="shared" si="23"/>
        <v/>
      </c>
      <c r="S185" s="244" t="str">
        <f t="shared" si="24"/>
        <v/>
      </c>
      <c r="T185" s="245" t="str">
        <f t="shared" si="25"/>
        <v/>
      </c>
      <c r="U185" s="246" t="str">
        <f t="shared" si="26"/>
        <v/>
      </c>
      <c r="V185" s="8"/>
      <c r="AR185" t="str">
        <f t="shared" si="27"/>
        <v/>
      </c>
      <c r="AS185" t="str">
        <f t="shared" si="22"/>
        <v/>
      </c>
    </row>
    <row r="186" spans="1:45" x14ac:dyDescent="0.3">
      <c r="A186" s="231"/>
      <c r="B186" s="235"/>
      <c r="C186" s="214"/>
      <c r="D186" s="214"/>
      <c r="E186" s="214"/>
      <c r="F186" s="214"/>
      <c r="G186" s="222"/>
      <c r="H186" s="221"/>
      <c r="I186" s="213"/>
      <c r="J186" s="213"/>
      <c r="K186" s="215"/>
      <c r="L186" s="216"/>
      <c r="M186" s="217"/>
      <c r="N186" s="176"/>
      <c r="O186" s="241" t="str">
        <f>IF(Q186 = "", "", COUNT(Q$4:$Q186))</f>
        <v/>
      </c>
      <c r="P186" s="241" t="str">
        <f t="shared" si="20"/>
        <v/>
      </c>
      <c r="Q186" s="242" t="str">
        <f t="shared" si="21"/>
        <v/>
      </c>
      <c r="R186" s="243" t="str">
        <f t="shared" si="23"/>
        <v/>
      </c>
      <c r="S186" s="244" t="str">
        <f t="shared" si="24"/>
        <v/>
      </c>
      <c r="T186" s="245" t="str">
        <f t="shared" si="25"/>
        <v/>
      </c>
      <c r="U186" s="246" t="str">
        <f t="shared" si="26"/>
        <v/>
      </c>
      <c r="V186" s="8"/>
      <c r="AR186" t="str">
        <f t="shared" si="27"/>
        <v/>
      </c>
      <c r="AS186" t="str">
        <f t="shared" si="22"/>
        <v/>
      </c>
    </row>
    <row r="187" spans="1:45" x14ac:dyDescent="0.3">
      <c r="A187" s="231"/>
      <c r="B187" s="235"/>
      <c r="C187" s="214"/>
      <c r="D187" s="214"/>
      <c r="E187" s="214"/>
      <c r="F187" s="214"/>
      <c r="G187" s="222"/>
      <c r="H187" s="221"/>
      <c r="I187" s="213"/>
      <c r="J187" s="213"/>
      <c r="K187" s="215"/>
      <c r="L187" s="216"/>
      <c r="M187" s="217"/>
      <c r="N187" s="176"/>
      <c r="O187" s="241" t="str">
        <f>IF(Q187 = "", "", COUNT(Q$4:$Q187))</f>
        <v/>
      </c>
      <c r="P187" s="241" t="str">
        <f t="shared" si="20"/>
        <v/>
      </c>
      <c r="Q187" s="242" t="str">
        <f t="shared" si="21"/>
        <v/>
      </c>
      <c r="R187" s="243" t="str">
        <f t="shared" si="23"/>
        <v/>
      </c>
      <c r="S187" s="244" t="str">
        <f t="shared" si="24"/>
        <v/>
      </c>
      <c r="T187" s="245" t="str">
        <f t="shared" si="25"/>
        <v/>
      </c>
      <c r="U187" s="246" t="str">
        <f t="shared" si="26"/>
        <v/>
      </c>
      <c r="V187" s="8"/>
      <c r="AR187" t="str">
        <f t="shared" si="27"/>
        <v/>
      </c>
      <c r="AS187" t="str">
        <f t="shared" si="22"/>
        <v/>
      </c>
    </row>
    <row r="188" spans="1:45" x14ac:dyDescent="0.3">
      <c r="A188" s="231"/>
      <c r="B188" s="235"/>
      <c r="C188" s="214"/>
      <c r="D188" s="214"/>
      <c r="E188" s="214"/>
      <c r="F188" s="214"/>
      <c r="G188" s="222"/>
      <c r="H188" s="221"/>
      <c r="I188" s="213"/>
      <c r="J188" s="213"/>
      <c r="K188" s="215"/>
      <c r="L188" s="216"/>
      <c r="M188" s="217"/>
      <c r="N188" s="176"/>
      <c r="O188" s="241" t="str">
        <f>IF(Q188 = "", "", COUNT(Q$4:$Q188))</f>
        <v/>
      </c>
      <c r="P188" s="241" t="str">
        <f t="shared" si="20"/>
        <v/>
      </c>
      <c r="Q188" s="242" t="str">
        <f t="shared" si="21"/>
        <v/>
      </c>
      <c r="R188" s="243" t="str">
        <f t="shared" si="23"/>
        <v/>
      </c>
      <c r="S188" s="244" t="str">
        <f t="shared" si="24"/>
        <v/>
      </c>
      <c r="T188" s="245" t="str">
        <f t="shared" si="25"/>
        <v/>
      </c>
      <c r="U188" s="246" t="str">
        <f t="shared" si="26"/>
        <v/>
      </c>
      <c r="V188" s="8"/>
      <c r="AR188" t="str">
        <f t="shared" si="27"/>
        <v/>
      </c>
      <c r="AS188" t="str">
        <f t="shared" si="22"/>
        <v/>
      </c>
    </row>
    <row r="189" spans="1:45" x14ac:dyDescent="0.3">
      <c r="A189" s="231"/>
      <c r="B189" s="235"/>
      <c r="C189" s="214"/>
      <c r="D189" s="214"/>
      <c r="E189" s="214"/>
      <c r="F189" s="214"/>
      <c r="G189" s="222"/>
      <c r="H189" s="221"/>
      <c r="I189" s="213"/>
      <c r="J189" s="213"/>
      <c r="K189" s="215"/>
      <c r="L189" s="216"/>
      <c r="M189" s="217"/>
      <c r="N189" s="176"/>
      <c r="O189" s="241" t="str">
        <f>IF(Q189 = "", "", COUNT(Q$4:$Q189))</f>
        <v/>
      </c>
      <c r="P189" s="241" t="str">
        <f t="shared" si="20"/>
        <v/>
      </c>
      <c r="Q189" s="242" t="str">
        <f t="shared" si="21"/>
        <v/>
      </c>
      <c r="R189" s="243" t="str">
        <f t="shared" si="23"/>
        <v/>
      </c>
      <c r="S189" s="244" t="str">
        <f t="shared" si="24"/>
        <v/>
      </c>
      <c r="T189" s="245" t="str">
        <f t="shared" si="25"/>
        <v/>
      </c>
      <c r="U189" s="246" t="str">
        <f t="shared" si="26"/>
        <v/>
      </c>
      <c r="V189" s="8"/>
      <c r="AR189" t="str">
        <f t="shared" si="27"/>
        <v/>
      </c>
      <c r="AS189" t="str">
        <f t="shared" si="22"/>
        <v/>
      </c>
    </row>
    <row r="190" spans="1:45" x14ac:dyDescent="0.3">
      <c r="A190" s="231"/>
      <c r="B190" s="235"/>
      <c r="C190" s="214"/>
      <c r="D190" s="214"/>
      <c r="E190" s="214"/>
      <c r="F190" s="214"/>
      <c r="G190" s="222"/>
      <c r="H190" s="221"/>
      <c r="I190" s="213"/>
      <c r="J190" s="213"/>
      <c r="K190" s="215"/>
      <c r="L190" s="216"/>
      <c r="M190" s="217"/>
      <c r="N190" s="176"/>
      <c r="O190" s="241" t="str">
        <f>IF(Q190 = "", "", COUNT(Q$4:$Q190))</f>
        <v/>
      </c>
      <c r="P190" s="241" t="str">
        <f t="shared" si="20"/>
        <v/>
      </c>
      <c r="Q190" s="242" t="str">
        <f t="shared" si="21"/>
        <v/>
      </c>
      <c r="R190" s="243" t="str">
        <f t="shared" si="23"/>
        <v/>
      </c>
      <c r="S190" s="244" t="str">
        <f t="shared" si="24"/>
        <v/>
      </c>
      <c r="T190" s="245" t="str">
        <f t="shared" si="25"/>
        <v/>
      </c>
      <c r="U190" s="246" t="str">
        <f t="shared" si="26"/>
        <v/>
      </c>
      <c r="V190" s="8"/>
      <c r="AR190" t="str">
        <f t="shared" si="27"/>
        <v/>
      </c>
      <c r="AS190" t="str">
        <f t="shared" si="22"/>
        <v/>
      </c>
    </row>
    <row r="191" spans="1:45" x14ac:dyDescent="0.3">
      <c r="A191" s="231"/>
      <c r="B191" s="235"/>
      <c r="C191" s="214"/>
      <c r="D191" s="214"/>
      <c r="E191" s="214"/>
      <c r="F191" s="214"/>
      <c r="G191" s="222"/>
      <c r="H191" s="221"/>
      <c r="I191" s="213"/>
      <c r="J191" s="213"/>
      <c r="K191" s="215"/>
      <c r="L191" s="216"/>
      <c r="M191" s="217"/>
      <c r="N191" s="176"/>
      <c r="O191" s="241" t="str">
        <f>IF(Q191 = "", "", COUNT(Q$4:$Q191))</f>
        <v/>
      </c>
      <c r="P191" s="241" t="str">
        <f t="shared" si="20"/>
        <v/>
      </c>
      <c r="Q191" s="242" t="str">
        <f t="shared" si="21"/>
        <v/>
      </c>
      <c r="R191" s="243" t="str">
        <f t="shared" si="23"/>
        <v/>
      </c>
      <c r="S191" s="244" t="str">
        <f t="shared" si="24"/>
        <v/>
      </c>
      <c r="T191" s="245" t="str">
        <f t="shared" si="25"/>
        <v/>
      </c>
      <c r="U191" s="246" t="str">
        <f t="shared" si="26"/>
        <v/>
      </c>
      <c r="V191" s="8"/>
      <c r="AR191" t="str">
        <f t="shared" si="27"/>
        <v/>
      </c>
      <c r="AS191" t="str">
        <f t="shared" si="22"/>
        <v/>
      </c>
    </row>
    <row r="192" spans="1:45" x14ac:dyDescent="0.3">
      <c r="A192" s="231"/>
      <c r="B192" s="235"/>
      <c r="C192" s="214"/>
      <c r="D192" s="214"/>
      <c r="E192" s="214"/>
      <c r="F192" s="214"/>
      <c r="G192" s="222"/>
      <c r="H192" s="221"/>
      <c r="I192" s="213"/>
      <c r="J192" s="213"/>
      <c r="K192" s="215"/>
      <c r="L192" s="216"/>
      <c r="M192" s="217"/>
      <c r="N192" s="176"/>
      <c r="O192" s="241" t="str">
        <f>IF(Q192 = "", "", COUNT(Q$4:$Q192))</f>
        <v/>
      </c>
      <c r="P192" s="241" t="str">
        <f t="shared" si="20"/>
        <v/>
      </c>
      <c r="Q192" s="242" t="str">
        <f t="shared" si="21"/>
        <v/>
      </c>
      <c r="R192" s="243" t="str">
        <f t="shared" si="23"/>
        <v/>
      </c>
      <c r="S192" s="244" t="str">
        <f t="shared" si="24"/>
        <v/>
      </c>
      <c r="T192" s="245" t="str">
        <f t="shared" si="25"/>
        <v/>
      </c>
      <c r="U192" s="246" t="str">
        <f t="shared" si="26"/>
        <v/>
      </c>
      <c r="V192" s="8"/>
      <c r="AR192" t="str">
        <f t="shared" si="27"/>
        <v/>
      </c>
      <c r="AS192" t="str">
        <f t="shared" si="22"/>
        <v/>
      </c>
    </row>
    <row r="193" spans="1:45" x14ac:dyDescent="0.3">
      <c r="A193" s="231"/>
      <c r="B193" s="235"/>
      <c r="C193" s="214"/>
      <c r="D193" s="214"/>
      <c r="E193" s="214"/>
      <c r="F193" s="214"/>
      <c r="G193" s="222"/>
      <c r="H193" s="221"/>
      <c r="I193" s="213"/>
      <c r="J193" s="213"/>
      <c r="K193" s="215"/>
      <c r="L193" s="216"/>
      <c r="M193" s="217"/>
      <c r="N193" s="176"/>
      <c r="O193" s="241" t="str">
        <f>IF(Q193 = "", "", COUNT(Q$4:$Q193))</f>
        <v/>
      </c>
      <c r="P193" s="241" t="str">
        <f t="shared" si="20"/>
        <v/>
      </c>
      <c r="Q193" s="242" t="str">
        <f t="shared" si="21"/>
        <v/>
      </c>
      <c r="R193" s="243" t="str">
        <f t="shared" si="23"/>
        <v/>
      </c>
      <c r="S193" s="244" t="str">
        <f t="shared" si="24"/>
        <v/>
      </c>
      <c r="T193" s="245" t="str">
        <f t="shared" si="25"/>
        <v/>
      </c>
      <c r="U193" s="246" t="str">
        <f t="shared" si="26"/>
        <v/>
      </c>
      <c r="V193" s="8"/>
      <c r="AR193" t="str">
        <f t="shared" si="27"/>
        <v/>
      </c>
      <c r="AS193" t="str">
        <f t="shared" si="22"/>
        <v/>
      </c>
    </row>
    <row r="194" spans="1:45" x14ac:dyDescent="0.3">
      <c r="A194" s="231"/>
      <c r="B194" s="235"/>
      <c r="C194" s="214"/>
      <c r="D194" s="214"/>
      <c r="E194" s="214"/>
      <c r="F194" s="214"/>
      <c r="G194" s="222"/>
      <c r="H194" s="221"/>
      <c r="I194" s="213"/>
      <c r="J194" s="213"/>
      <c r="K194" s="215"/>
      <c r="L194" s="216"/>
      <c r="M194" s="217"/>
      <c r="N194" s="176"/>
      <c r="O194" s="241" t="str">
        <f>IF(Q194 = "", "", COUNT(Q$4:$Q194))</f>
        <v/>
      </c>
      <c r="P194" s="241" t="str">
        <f t="shared" si="20"/>
        <v/>
      </c>
      <c r="Q194" s="242" t="str">
        <f t="shared" si="21"/>
        <v/>
      </c>
      <c r="R194" s="243" t="str">
        <f t="shared" si="23"/>
        <v/>
      </c>
      <c r="S194" s="244" t="str">
        <f t="shared" si="24"/>
        <v/>
      </c>
      <c r="T194" s="245" t="str">
        <f t="shared" si="25"/>
        <v/>
      </c>
      <c r="U194" s="246" t="str">
        <f t="shared" si="26"/>
        <v/>
      </c>
      <c r="V194" s="8"/>
      <c r="AR194" t="str">
        <f t="shared" si="27"/>
        <v/>
      </c>
      <c r="AS194" t="str">
        <f t="shared" si="22"/>
        <v/>
      </c>
    </row>
    <row r="195" spans="1:45" x14ac:dyDescent="0.3">
      <c r="A195" s="231"/>
      <c r="B195" s="235"/>
      <c r="C195" s="214"/>
      <c r="D195" s="214"/>
      <c r="E195" s="214"/>
      <c r="F195" s="214"/>
      <c r="G195" s="222"/>
      <c r="H195" s="221"/>
      <c r="I195" s="213"/>
      <c r="J195" s="213"/>
      <c r="K195" s="215"/>
      <c r="L195" s="216"/>
      <c r="M195" s="217"/>
      <c r="N195" s="176"/>
      <c r="O195" s="241" t="str">
        <f>IF(Q195 = "", "", COUNT(Q$4:$Q195))</f>
        <v/>
      </c>
      <c r="P195" s="241" t="str">
        <f t="shared" si="20"/>
        <v/>
      </c>
      <c r="Q195" s="242" t="str">
        <f t="shared" si="21"/>
        <v/>
      </c>
      <c r="R195" s="243" t="str">
        <f t="shared" si="23"/>
        <v/>
      </c>
      <c r="S195" s="244" t="str">
        <f t="shared" si="24"/>
        <v/>
      </c>
      <c r="T195" s="245" t="str">
        <f t="shared" si="25"/>
        <v/>
      </c>
      <c r="U195" s="246" t="str">
        <f t="shared" si="26"/>
        <v/>
      </c>
      <c r="V195" s="8"/>
      <c r="AR195" t="str">
        <f t="shared" si="27"/>
        <v/>
      </c>
      <c r="AS195" t="str">
        <f t="shared" si="22"/>
        <v/>
      </c>
    </row>
    <row r="196" spans="1:45" x14ac:dyDescent="0.3">
      <c r="A196" s="231"/>
      <c r="B196" s="235"/>
      <c r="C196" s="214"/>
      <c r="D196" s="214"/>
      <c r="E196" s="214"/>
      <c r="F196" s="214"/>
      <c r="G196" s="222"/>
      <c r="H196" s="221"/>
      <c r="I196" s="213"/>
      <c r="J196" s="213"/>
      <c r="K196" s="215"/>
      <c r="L196" s="216"/>
      <c r="M196" s="217"/>
      <c r="N196" s="176"/>
      <c r="O196" s="241" t="str">
        <f>IF(Q196 = "", "", COUNT(Q$4:$Q196))</f>
        <v/>
      </c>
      <c r="P196" s="241" t="str">
        <f t="shared" ref="P196:P259" si="28">IF(C196 &gt; 0, YEAR(B196), "")</f>
        <v/>
      </c>
      <c r="Q196" s="242" t="str">
        <f t="shared" ref="Q196:Q259" si="29">IF(A196="", "", IF(G196="",1,IF(G196="O",1,IF(G196="C",8.4,IF(G196="B",8.4,IF(G196="A",76.8,IF(G196="K",76.8,"ERR")))))))</f>
        <v/>
      </c>
      <c r="R196" s="243" t="str">
        <f t="shared" si="23"/>
        <v/>
      </c>
      <c r="S196" s="244" t="str">
        <f t="shared" si="24"/>
        <v/>
      </c>
      <c r="T196" s="245" t="str">
        <f t="shared" si="25"/>
        <v/>
      </c>
      <c r="U196" s="246" t="str">
        <f t="shared" si="26"/>
        <v/>
      </c>
      <c r="V196" s="8"/>
      <c r="AR196" t="str">
        <f t="shared" si="27"/>
        <v/>
      </c>
      <c r="AS196" t="str">
        <f t="shared" ref="AS196:AS259" si="30">IF(OR(L196="Y",M196="Y"),"Y","")</f>
        <v/>
      </c>
    </row>
    <row r="197" spans="1:45" x14ac:dyDescent="0.3">
      <c r="A197" s="231"/>
      <c r="B197" s="235"/>
      <c r="C197" s="214"/>
      <c r="D197" s="214"/>
      <c r="E197" s="214"/>
      <c r="F197" s="214"/>
      <c r="G197" s="222"/>
      <c r="H197" s="221"/>
      <c r="I197" s="213"/>
      <c r="J197" s="213"/>
      <c r="K197" s="215"/>
      <c r="L197" s="216"/>
      <c r="M197" s="217"/>
      <c r="N197" s="176"/>
      <c r="O197" s="241" t="str">
        <f>IF(Q197 = "", "", COUNT(Q$4:$Q197))</f>
        <v/>
      </c>
      <c r="P197" s="241" t="str">
        <f t="shared" si="28"/>
        <v/>
      </c>
      <c r="Q197" s="242" t="str">
        <f t="shared" si="29"/>
        <v/>
      </c>
      <c r="R197" s="243" t="str">
        <f t="shared" ref="R197:R260" si="31">IF(L197&lt;&gt;"",Q197,"")</f>
        <v/>
      </c>
      <c r="S197" s="244" t="str">
        <f t="shared" ref="S197:S260" si="32">IF(IF(L197&lt;&gt;"",G197,"")=0, "O", IF(L197&lt;&gt;"",G197,""))</f>
        <v/>
      </c>
      <c r="T197" s="245" t="str">
        <f t="shared" ref="T197:T260" si="33">IF(M197&lt;&gt;"",Q197,"")</f>
        <v/>
      </c>
      <c r="U197" s="246" t="str">
        <f t="shared" ref="U197:U260" si="34">IF(IF(M197&lt;&gt;"",G197,"")=0, "O", IF(M197&lt;&gt;"",G197,""))</f>
        <v/>
      </c>
      <c r="V197" s="8"/>
      <c r="AR197" t="str">
        <f t="shared" ref="AR197:AR260" si="35">IF(O197&gt;0, O197, "")</f>
        <v/>
      </c>
      <c r="AS197" t="str">
        <f t="shared" si="30"/>
        <v/>
      </c>
    </row>
    <row r="198" spans="1:45" x14ac:dyDescent="0.3">
      <c r="A198" s="231"/>
      <c r="B198" s="235"/>
      <c r="C198" s="214"/>
      <c r="D198" s="214"/>
      <c r="E198" s="214"/>
      <c r="F198" s="214"/>
      <c r="G198" s="222"/>
      <c r="H198" s="221"/>
      <c r="I198" s="213"/>
      <c r="J198" s="213"/>
      <c r="K198" s="215"/>
      <c r="L198" s="216"/>
      <c r="M198" s="217"/>
      <c r="N198" s="176"/>
      <c r="O198" s="241" t="str">
        <f>IF(Q198 = "", "", COUNT(Q$4:$Q198))</f>
        <v/>
      </c>
      <c r="P198" s="241" t="str">
        <f t="shared" si="28"/>
        <v/>
      </c>
      <c r="Q198" s="242" t="str">
        <f t="shared" si="29"/>
        <v/>
      </c>
      <c r="R198" s="243" t="str">
        <f t="shared" si="31"/>
        <v/>
      </c>
      <c r="S198" s="244" t="str">
        <f t="shared" si="32"/>
        <v/>
      </c>
      <c r="T198" s="245" t="str">
        <f t="shared" si="33"/>
        <v/>
      </c>
      <c r="U198" s="246" t="str">
        <f t="shared" si="34"/>
        <v/>
      </c>
      <c r="V198" s="8"/>
      <c r="AR198" t="str">
        <f t="shared" si="35"/>
        <v/>
      </c>
      <c r="AS198" t="str">
        <f t="shared" si="30"/>
        <v/>
      </c>
    </row>
    <row r="199" spans="1:45" x14ac:dyDescent="0.3">
      <c r="A199" s="231"/>
      <c r="B199" s="235"/>
      <c r="C199" s="214"/>
      <c r="D199" s="214"/>
      <c r="E199" s="214"/>
      <c r="F199" s="214"/>
      <c r="G199" s="222"/>
      <c r="H199" s="221"/>
      <c r="I199" s="213"/>
      <c r="J199" s="213"/>
      <c r="K199" s="215"/>
      <c r="L199" s="216"/>
      <c r="M199" s="217"/>
      <c r="N199" s="176"/>
      <c r="O199" s="241" t="str">
        <f>IF(Q199 = "", "", COUNT(Q$4:$Q199))</f>
        <v/>
      </c>
      <c r="P199" s="241" t="str">
        <f t="shared" si="28"/>
        <v/>
      </c>
      <c r="Q199" s="242" t="str">
        <f t="shared" si="29"/>
        <v/>
      </c>
      <c r="R199" s="243" t="str">
        <f t="shared" si="31"/>
        <v/>
      </c>
      <c r="S199" s="244" t="str">
        <f t="shared" si="32"/>
        <v/>
      </c>
      <c r="T199" s="245" t="str">
        <f t="shared" si="33"/>
        <v/>
      </c>
      <c r="U199" s="246" t="str">
        <f t="shared" si="34"/>
        <v/>
      </c>
      <c r="V199" s="8"/>
      <c r="AR199" t="str">
        <f t="shared" si="35"/>
        <v/>
      </c>
      <c r="AS199" t="str">
        <f t="shared" si="30"/>
        <v/>
      </c>
    </row>
    <row r="200" spans="1:45" x14ac:dyDescent="0.3">
      <c r="A200" s="231"/>
      <c r="B200" s="235"/>
      <c r="C200" s="214"/>
      <c r="D200" s="214"/>
      <c r="E200" s="214"/>
      <c r="F200" s="214"/>
      <c r="G200" s="222"/>
      <c r="H200" s="221"/>
      <c r="I200" s="213"/>
      <c r="J200" s="213"/>
      <c r="K200" s="215"/>
      <c r="L200" s="216"/>
      <c r="M200" s="217"/>
      <c r="N200" s="176"/>
      <c r="O200" s="241" t="str">
        <f>IF(Q200 = "", "", COUNT(Q$4:$Q200))</f>
        <v/>
      </c>
      <c r="P200" s="241" t="str">
        <f t="shared" si="28"/>
        <v/>
      </c>
      <c r="Q200" s="242" t="str">
        <f t="shared" si="29"/>
        <v/>
      </c>
      <c r="R200" s="243" t="str">
        <f t="shared" si="31"/>
        <v/>
      </c>
      <c r="S200" s="244" t="str">
        <f t="shared" si="32"/>
        <v/>
      </c>
      <c r="T200" s="245" t="str">
        <f t="shared" si="33"/>
        <v/>
      </c>
      <c r="U200" s="246" t="str">
        <f t="shared" si="34"/>
        <v/>
      </c>
      <c r="V200" s="8"/>
      <c r="AR200" t="str">
        <f t="shared" si="35"/>
        <v/>
      </c>
      <c r="AS200" t="str">
        <f t="shared" si="30"/>
        <v/>
      </c>
    </row>
    <row r="201" spans="1:45" x14ac:dyDescent="0.3">
      <c r="A201" s="231"/>
      <c r="B201" s="235"/>
      <c r="C201" s="214"/>
      <c r="D201" s="214"/>
      <c r="E201" s="214"/>
      <c r="F201" s="214"/>
      <c r="G201" s="222"/>
      <c r="H201" s="221"/>
      <c r="I201" s="213"/>
      <c r="J201" s="213"/>
      <c r="K201" s="215"/>
      <c r="L201" s="216"/>
      <c r="M201" s="217"/>
      <c r="N201" s="176"/>
      <c r="O201" s="241" t="str">
        <f>IF(Q201 = "", "", COUNT(Q$4:$Q201))</f>
        <v/>
      </c>
      <c r="P201" s="241" t="str">
        <f t="shared" si="28"/>
        <v/>
      </c>
      <c r="Q201" s="242" t="str">
        <f t="shared" si="29"/>
        <v/>
      </c>
      <c r="R201" s="243" t="str">
        <f t="shared" si="31"/>
        <v/>
      </c>
      <c r="S201" s="244" t="str">
        <f t="shared" si="32"/>
        <v/>
      </c>
      <c r="T201" s="245" t="str">
        <f t="shared" si="33"/>
        <v/>
      </c>
      <c r="U201" s="246" t="str">
        <f t="shared" si="34"/>
        <v/>
      </c>
      <c r="V201" s="8"/>
      <c r="AR201" t="str">
        <f t="shared" si="35"/>
        <v/>
      </c>
      <c r="AS201" t="str">
        <f t="shared" si="30"/>
        <v/>
      </c>
    </row>
    <row r="202" spans="1:45" x14ac:dyDescent="0.3">
      <c r="A202" s="231"/>
      <c r="B202" s="235"/>
      <c r="C202" s="214"/>
      <c r="D202" s="214"/>
      <c r="E202" s="214"/>
      <c r="F202" s="214"/>
      <c r="G202" s="222"/>
      <c r="H202" s="221"/>
      <c r="I202" s="213"/>
      <c r="J202" s="213"/>
      <c r="K202" s="215"/>
      <c r="L202" s="216"/>
      <c r="M202" s="217"/>
      <c r="N202" s="176"/>
      <c r="O202" s="241" t="str">
        <f>IF(Q202 = "", "", COUNT(Q$4:$Q202))</f>
        <v/>
      </c>
      <c r="P202" s="241" t="str">
        <f t="shared" si="28"/>
        <v/>
      </c>
      <c r="Q202" s="242" t="str">
        <f t="shared" si="29"/>
        <v/>
      </c>
      <c r="R202" s="243" t="str">
        <f t="shared" si="31"/>
        <v/>
      </c>
      <c r="S202" s="244" t="str">
        <f t="shared" si="32"/>
        <v/>
      </c>
      <c r="T202" s="245" t="str">
        <f t="shared" si="33"/>
        <v/>
      </c>
      <c r="U202" s="246" t="str">
        <f t="shared" si="34"/>
        <v/>
      </c>
      <c r="V202" s="8"/>
      <c r="AR202" t="str">
        <f t="shared" si="35"/>
        <v/>
      </c>
      <c r="AS202" t="str">
        <f t="shared" si="30"/>
        <v/>
      </c>
    </row>
    <row r="203" spans="1:45" x14ac:dyDescent="0.3">
      <c r="A203" s="231"/>
      <c r="B203" s="235"/>
      <c r="C203" s="214"/>
      <c r="D203" s="214"/>
      <c r="E203" s="214"/>
      <c r="F203" s="214"/>
      <c r="G203" s="222"/>
      <c r="H203" s="221"/>
      <c r="I203" s="213"/>
      <c r="J203" s="213"/>
      <c r="K203" s="215"/>
      <c r="L203" s="216"/>
      <c r="M203" s="217"/>
      <c r="N203" s="176"/>
      <c r="O203" s="241" t="str">
        <f>IF(Q203 = "", "", COUNT(Q$4:$Q203))</f>
        <v/>
      </c>
      <c r="P203" s="241" t="str">
        <f t="shared" si="28"/>
        <v/>
      </c>
      <c r="Q203" s="242" t="str">
        <f t="shared" si="29"/>
        <v/>
      </c>
      <c r="R203" s="243" t="str">
        <f t="shared" si="31"/>
        <v/>
      </c>
      <c r="S203" s="244" t="str">
        <f t="shared" si="32"/>
        <v/>
      </c>
      <c r="T203" s="245" t="str">
        <f t="shared" si="33"/>
        <v/>
      </c>
      <c r="U203" s="246" t="str">
        <f t="shared" si="34"/>
        <v/>
      </c>
      <c r="V203" s="8"/>
      <c r="AR203" t="str">
        <f t="shared" si="35"/>
        <v/>
      </c>
      <c r="AS203" t="str">
        <f t="shared" si="30"/>
        <v/>
      </c>
    </row>
    <row r="204" spans="1:45" x14ac:dyDescent="0.3">
      <c r="A204" s="231"/>
      <c r="B204" s="235"/>
      <c r="C204" s="214"/>
      <c r="D204" s="214"/>
      <c r="E204" s="214"/>
      <c r="F204" s="214"/>
      <c r="G204" s="222"/>
      <c r="H204" s="221"/>
      <c r="I204" s="213"/>
      <c r="J204" s="213"/>
      <c r="K204" s="215"/>
      <c r="L204" s="216"/>
      <c r="M204" s="217"/>
      <c r="N204" s="176"/>
      <c r="O204" s="241" t="str">
        <f>IF(Q204 = "", "", COUNT(Q$4:$Q204))</f>
        <v/>
      </c>
      <c r="P204" s="241" t="str">
        <f t="shared" si="28"/>
        <v/>
      </c>
      <c r="Q204" s="242" t="str">
        <f t="shared" si="29"/>
        <v/>
      </c>
      <c r="R204" s="243" t="str">
        <f t="shared" si="31"/>
        <v/>
      </c>
      <c r="S204" s="244" t="str">
        <f t="shared" si="32"/>
        <v/>
      </c>
      <c r="T204" s="245" t="str">
        <f t="shared" si="33"/>
        <v/>
      </c>
      <c r="U204" s="246" t="str">
        <f t="shared" si="34"/>
        <v/>
      </c>
      <c r="V204" s="8"/>
      <c r="AR204" t="str">
        <f t="shared" si="35"/>
        <v/>
      </c>
      <c r="AS204" t="str">
        <f t="shared" si="30"/>
        <v/>
      </c>
    </row>
    <row r="205" spans="1:45" x14ac:dyDescent="0.3">
      <c r="A205" s="231"/>
      <c r="B205" s="235"/>
      <c r="C205" s="214"/>
      <c r="D205" s="214"/>
      <c r="E205" s="214"/>
      <c r="F205" s="214"/>
      <c r="G205" s="222"/>
      <c r="H205" s="221"/>
      <c r="I205" s="213"/>
      <c r="J205" s="213"/>
      <c r="K205" s="215"/>
      <c r="L205" s="216"/>
      <c r="M205" s="217"/>
      <c r="N205" s="176"/>
      <c r="O205" s="241" t="str">
        <f>IF(Q205 = "", "", COUNT(Q$4:$Q205))</f>
        <v/>
      </c>
      <c r="P205" s="241" t="str">
        <f t="shared" si="28"/>
        <v/>
      </c>
      <c r="Q205" s="242" t="str">
        <f t="shared" si="29"/>
        <v/>
      </c>
      <c r="R205" s="243" t="str">
        <f t="shared" si="31"/>
        <v/>
      </c>
      <c r="S205" s="244" t="str">
        <f t="shared" si="32"/>
        <v/>
      </c>
      <c r="T205" s="245" t="str">
        <f t="shared" si="33"/>
        <v/>
      </c>
      <c r="U205" s="246" t="str">
        <f t="shared" si="34"/>
        <v/>
      </c>
      <c r="V205" s="8"/>
      <c r="AR205" t="str">
        <f t="shared" si="35"/>
        <v/>
      </c>
      <c r="AS205" t="str">
        <f t="shared" si="30"/>
        <v/>
      </c>
    </row>
    <row r="206" spans="1:45" x14ac:dyDescent="0.3">
      <c r="A206" s="231"/>
      <c r="B206" s="235"/>
      <c r="C206" s="214"/>
      <c r="D206" s="214"/>
      <c r="E206" s="214"/>
      <c r="F206" s="214"/>
      <c r="G206" s="222"/>
      <c r="H206" s="221"/>
      <c r="I206" s="213"/>
      <c r="J206" s="213"/>
      <c r="K206" s="215"/>
      <c r="L206" s="216"/>
      <c r="M206" s="217"/>
      <c r="N206" s="176"/>
      <c r="O206" s="241" t="str">
        <f>IF(Q206 = "", "", COUNT(Q$4:$Q206))</f>
        <v/>
      </c>
      <c r="P206" s="241" t="str">
        <f t="shared" si="28"/>
        <v/>
      </c>
      <c r="Q206" s="242" t="str">
        <f t="shared" si="29"/>
        <v/>
      </c>
      <c r="R206" s="243" t="str">
        <f t="shared" si="31"/>
        <v/>
      </c>
      <c r="S206" s="244" t="str">
        <f t="shared" si="32"/>
        <v/>
      </c>
      <c r="T206" s="245" t="str">
        <f t="shared" si="33"/>
        <v/>
      </c>
      <c r="U206" s="246" t="str">
        <f t="shared" si="34"/>
        <v/>
      </c>
      <c r="V206" s="8"/>
      <c r="AR206" t="str">
        <f t="shared" si="35"/>
        <v/>
      </c>
      <c r="AS206" t="str">
        <f t="shared" si="30"/>
        <v/>
      </c>
    </row>
    <row r="207" spans="1:45" x14ac:dyDescent="0.3">
      <c r="A207" s="231"/>
      <c r="B207" s="235"/>
      <c r="C207" s="214"/>
      <c r="D207" s="214"/>
      <c r="E207" s="214"/>
      <c r="F207" s="214"/>
      <c r="G207" s="222"/>
      <c r="H207" s="221"/>
      <c r="I207" s="213"/>
      <c r="J207" s="213"/>
      <c r="K207" s="215"/>
      <c r="L207" s="216"/>
      <c r="M207" s="217"/>
      <c r="N207" s="176"/>
      <c r="O207" s="241" t="str">
        <f>IF(Q207 = "", "", COUNT(Q$4:$Q207))</f>
        <v/>
      </c>
      <c r="P207" s="241" t="str">
        <f t="shared" si="28"/>
        <v/>
      </c>
      <c r="Q207" s="242" t="str">
        <f t="shared" si="29"/>
        <v/>
      </c>
      <c r="R207" s="243" t="str">
        <f t="shared" si="31"/>
        <v/>
      </c>
      <c r="S207" s="244" t="str">
        <f t="shared" si="32"/>
        <v/>
      </c>
      <c r="T207" s="245" t="str">
        <f t="shared" si="33"/>
        <v/>
      </c>
      <c r="U207" s="246" t="str">
        <f t="shared" si="34"/>
        <v/>
      </c>
      <c r="V207" s="8"/>
      <c r="AR207" t="str">
        <f t="shared" si="35"/>
        <v/>
      </c>
      <c r="AS207" t="str">
        <f t="shared" si="30"/>
        <v/>
      </c>
    </row>
    <row r="208" spans="1:45" x14ac:dyDescent="0.3">
      <c r="A208" s="231"/>
      <c r="B208" s="235"/>
      <c r="C208" s="214"/>
      <c r="D208" s="214"/>
      <c r="E208" s="214"/>
      <c r="F208" s="214"/>
      <c r="G208" s="222"/>
      <c r="H208" s="221"/>
      <c r="I208" s="213"/>
      <c r="J208" s="213"/>
      <c r="K208" s="215"/>
      <c r="L208" s="216"/>
      <c r="M208" s="217"/>
      <c r="N208" s="176"/>
      <c r="O208" s="241" t="str">
        <f>IF(Q208 = "", "", COUNT(Q$4:$Q208))</f>
        <v/>
      </c>
      <c r="P208" s="241" t="str">
        <f t="shared" si="28"/>
        <v/>
      </c>
      <c r="Q208" s="242" t="str">
        <f t="shared" si="29"/>
        <v/>
      </c>
      <c r="R208" s="243" t="str">
        <f t="shared" si="31"/>
        <v/>
      </c>
      <c r="S208" s="244" t="str">
        <f t="shared" si="32"/>
        <v/>
      </c>
      <c r="T208" s="245" t="str">
        <f t="shared" si="33"/>
        <v/>
      </c>
      <c r="U208" s="246" t="str">
        <f t="shared" si="34"/>
        <v/>
      </c>
      <c r="V208" s="8"/>
      <c r="AR208" t="str">
        <f t="shared" si="35"/>
        <v/>
      </c>
      <c r="AS208" t="str">
        <f t="shared" si="30"/>
        <v/>
      </c>
    </row>
    <row r="209" spans="1:45" x14ac:dyDescent="0.3">
      <c r="A209" s="231"/>
      <c r="B209" s="235"/>
      <c r="C209" s="214"/>
      <c r="D209" s="214"/>
      <c r="E209" s="214"/>
      <c r="F209" s="214"/>
      <c r="G209" s="222"/>
      <c r="H209" s="221"/>
      <c r="I209" s="213"/>
      <c r="J209" s="213"/>
      <c r="K209" s="215"/>
      <c r="L209" s="216"/>
      <c r="M209" s="217"/>
      <c r="N209" s="176"/>
      <c r="O209" s="241" t="str">
        <f>IF(Q209 = "", "", COUNT(Q$4:$Q209))</f>
        <v/>
      </c>
      <c r="P209" s="241" t="str">
        <f t="shared" si="28"/>
        <v/>
      </c>
      <c r="Q209" s="242" t="str">
        <f t="shared" si="29"/>
        <v/>
      </c>
      <c r="R209" s="243" t="str">
        <f t="shared" si="31"/>
        <v/>
      </c>
      <c r="S209" s="244" t="str">
        <f t="shared" si="32"/>
        <v/>
      </c>
      <c r="T209" s="245" t="str">
        <f t="shared" si="33"/>
        <v/>
      </c>
      <c r="U209" s="246" t="str">
        <f t="shared" si="34"/>
        <v/>
      </c>
      <c r="V209" s="8"/>
      <c r="AR209" t="str">
        <f t="shared" si="35"/>
        <v/>
      </c>
      <c r="AS209" t="str">
        <f t="shared" si="30"/>
        <v/>
      </c>
    </row>
    <row r="210" spans="1:45" x14ac:dyDescent="0.3">
      <c r="A210" s="231"/>
      <c r="B210" s="235"/>
      <c r="C210" s="214"/>
      <c r="D210" s="214"/>
      <c r="E210" s="214"/>
      <c r="F210" s="214"/>
      <c r="G210" s="222"/>
      <c r="H210" s="221"/>
      <c r="I210" s="213"/>
      <c r="J210" s="213"/>
      <c r="K210" s="215"/>
      <c r="L210" s="216"/>
      <c r="M210" s="217"/>
      <c r="N210" s="176"/>
      <c r="O210" s="241" t="str">
        <f>IF(Q210 = "", "", COUNT(Q$4:$Q210))</f>
        <v/>
      </c>
      <c r="P210" s="241" t="str">
        <f t="shared" si="28"/>
        <v/>
      </c>
      <c r="Q210" s="242" t="str">
        <f t="shared" si="29"/>
        <v/>
      </c>
      <c r="R210" s="243" t="str">
        <f t="shared" si="31"/>
        <v/>
      </c>
      <c r="S210" s="244" t="str">
        <f t="shared" si="32"/>
        <v/>
      </c>
      <c r="T210" s="245" t="str">
        <f t="shared" si="33"/>
        <v/>
      </c>
      <c r="U210" s="246" t="str">
        <f t="shared" si="34"/>
        <v/>
      </c>
      <c r="V210" s="8"/>
      <c r="AR210" t="str">
        <f t="shared" si="35"/>
        <v/>
      </c>
      <c r="AS210" t="str">
        <f t="shared" si="30"/>
        <v/>
      </c>
    </row>
    <row r="211" spans="1:45" x14ac:dyDescent="0.3">
      <c r="A211" s="231"/>
      <c r="B211" s="235"/>
      <c r="C211" s="214"/>
      <c r="D211" s="214"/>
      <c r="E211" s="214"/>
      <c r="F211" s="214"/>
      <c r="G211" s="222"/>
      <c r="H211" s="221"/>
      <c r="I211" s="213"/>
      <c r="J211" s="213"/>
      <c r="K211" s="215"/>
      <c r="L211" s="216"/>
      <c r="M211" s="217"/>
      <c r="N211" s="176"/>
      <c r="O211" s="241" t="str">
        <f>IF(Q211 = "", "", COUNT(Q$4:$Q211))</f>
        <v/>
      </c>
      <c r="P211" s="241" t="str">
        <f t="shared" si="28"/>
        <v/>
      </c>
      <c r="Q211" s="242" t="str">
        <f t="shared" si="29"/>
        <v/>
      </c>
      <c r="R211" s="243" t="str">
        <f t="shared" si="31"/>
        <v/>
      </c>
      <c r="S211" s="244" t="str">
        <f t="shared" si="32"/>
        <v/>
      </c>
      <c r="T211" s="245" t="str">
        <f t="shared" si="33"/>
        <v/>
      </c>
      <c r="U211" s="246" t="str">
        <f t="shared" si="34"/>
        <v/>
      </c>
      <c r="V211" s="8"/>
      <c r="AR211" t="str">
        <f t="shared" si="35"/>
        <v/>
      </c>
      <c r="AS211" t="str">
        <f t="shared" si="30"/>
        <v/>
      </c>
    </row>
    <row r="212" spans="1:45" x14ac:dyDescent="0.3">
      <c r="A212" s="231"/>
      <c r="B212" s="235"/>
      <c r="C212" s="214"/>
      <c r="D212" s="214"/>
      <c r="E212" s="214"/>
      <c r="F212" s="214"/>
      <c r="G212" s="222"/>
      <c r="H212" s="221"/>
      <c r="I212" s="213"/>
      <c r="J212" s="213"/>
      <c r="K212" s="215"/>
      <c r="L212" s="216"/>
      <c r="M212" s="217"/>
      <c r="N212" s="176"/>
      <c r="O212" s="241" t="str">
        <f>IF(Q212 = "", "", COUNT(Q$4:$Q212))</f>
        <v/>
      </c>
      <c r="P212" s="241" t="str">
        <f t="shared" si="28"/>
        <v/>
      </c>
      <c r="Q212" s="242" t="str">
        <f t="shared" si="29"/>
        <v/>
      </c>
      <c r="R212" s="243" t="str">
        <f t="shared" si="31"/>
        <v/>
      </c>
      <c r="S212" s="244" t="str">
        <f t="shared" si="32"/>
        <v/>
      </c>
      <c r="T212" s="245" t="str">
        <f t="shared" si="33"/>
        <v/>
      </c>
      <c r="U212" s="246" t="str">
        <f t="shared" si="34"/>
        <v/>
      </c>
      <c r="V212" s="8"/>
      <c r="AR212" t="str">
        <f t="shared" si="35"/>
        <v/>
      </c>
      <c r="AS212" t="str">
        <f t="shared" si="30"/>
        <v/>
      </c>
    </row>
    <row r="213" spans="1:45" x14ac:dyDescent="0.3">
      <c r="A213" s="231"/>
      <c r="B213" s="235"/>
      <c r="C213" s="214"/>
      <c r="D213" s="214"/>
      <c r="E213" s="214"/>
      <c r="F213" s="214"/>
      <c r="G213" s="222"/>
      <c r="H213" s="221"/>
      <c r="I213" s="213"/>
      <c r="J213" s="213"/>
      <c r="K213" s="215"/>
      <c r="L213" s="216"/>
      <c r="M213" s="217"/>
      <c r="N213" s="176"/>
      <c r="O213" s="241" t="str">
        <f>IF(Q213 = "", "", COUNT(Q$4:$Q213))</f>
        <v/>
      </c>
      <c r="P213" s="241" t="str">
        <f t="shared" si="28"/>
        <v/>
      </c>
      <c r="Q213" s="242" t="str">
        <f t="shared" si="29"/>
        <v/>
      </c>
      <c r="R213" s="243" t="str">
        <f t="shared" si="31"/>
        <v/>
      </c>
      <c r="S213" s="244" t="str">
        <f t="shared" si="32"/>
        <v/>
      </c>
      <c r="T213" s="245" t="str">
        <f t="shared" si="33"/>
        <v/>
      </c>
      <c r="U213" s="246" t="str">
        <f t="shared" si="34"/>
        <v/>
      </c>
      <c r="V213" s="8"/>
      <c r="AR213" t="str">
        <f t="shared" si="35"/>
        <v/>
      </c>
      <c r="AS213" t="str">
        <f t="shared" si="30"/>
        <v/>
      </c>
    </row>
    <row r="214" spans="1:45" x14ac:dyDescent="0.3">
      <c r="A214" s="231"/>
      <c r="B214" s="235"/>
      <c r="C214" s="214"/>
      <c r="D214" s="214"/>
      <c r="E214" s="214"/>
      <c r="F214" s="214"/>
      <c r="G214" s="222"/>
      <c r="H214" s="221"/>
      <c r="I214" s="213"/>
      <c r="J214" s="213"/>
      <c r="K214" s="215"/>
      <c r="L214" s="216"/>
      <c r="M214" s="217"/>
      <c r="N214" s="176"/>
      <c r="O214" s="241" t="str">
        <f>IF(Q214 = "", "", COUNT(Q$4:$Q214))</f>
        <v/>
      </c>
      <c r="P214" s="241" t="str">
        <f t="shared" si="28"/>
        <v/>
      </c>
      <c r="Q214" s="242" t="str">
        <f t="shared" si="29"/>
        <v/>
      </c>
      <c r="R214" s="243" t="str">
        <f t="shared" si="31"/>
        <v/>
      </c>
      <c r="S214" s="244" t="str">
        <f t="shared" si="32"/>
        <v/>
      </c>
      <c r="T214" s="245" t="str">
        <f t="shared" si="33"/>
        <v/>
      </c>
      <c r="U214" s="246" t="str">
        <f t="shared" si="34"/>
        <v/>
      </c>
      <c r="V214" s="8"/>
      <c r="AR214" t="str">
        <f t="shared" si="35"/>
        <v/>
      </c>
      <c r="AS214" t="str">
        <f t="shared" si="30"/>
        <v/>
      </c>
    </row>
    <row r="215" spans="1:45" x14ac:dyDescent="0.3">
      <c r="A215" s="231"/>
      <c r="B215" s="235"/>
      <c r="C215" s="214"/>
      <c r="D215" s="214"/>
      <c r="E215" s="214"/>
      <c r="F215" s="214"/>
      <c r="G215" s="222"/>
      <c r="H215" s="221"/>
      <c r="I215" s="213"/>
      <c r="J215" s="213"/>
      <c r="K215" s="215"/>
      <c r="L215" s="216"/>
      <c r="M215" s="217"/>
      <c r="N215" s="176"/>
      <c r="O215" s="241" t="str">
        <f>IF(Q215 = "", "", COUNT(Q$4:$Q215))</f>
        <v/>
      </c>
      <c r="P215" s="241" t="str">
        <f t="shared" si="28"/>
        <v/>
      </c>
      <c r="Q215" s="242" t="str">
        <f t="shared" si="29"/>
        <v/>
      </c>
      <c r="R215" s="243" t="str">
        <f t="shared" si="31"/>
        <v/>
      </c>
      <c r="S215" s="244" t="str">
        <f t="shared" si="32"/>
        <v/>
      </c>
      <c r="T215" s="245" t="str">
        <f t="shared" si="33"/>
        <v/>
      </c>
      <c r="U215" s="246" t="str">
        <f t="shared" si="34"/>
        <v/>
      </c>
      <c r="V215" s="8"/>
      <c r="AR215" t="str">
        <f t="shared" si="35"/>
        <v/>
      </c>
      <c r="AS215" t="str">
        <f t="shared" si="30"/>
        <v/>
      </c>
    </row>
    <row r="216" spans="1:45" x14ac:dyDescent="0.3">
      <c r="A216" s="231"/>
      <c r="B216" s="235"/>
      <c r="C216" s="214"/>
      <c r="D216" s="214"/>
      <c r="E216" s="214"/>
      <c r="F216" s="214"/>
      <c r="G216" s="222"/>
      <c r="H216" s="221"/>
      <c r="I216" s="213"/>
      <c r="J216" s="213"/>
      <c r="K216" s="215"/>
      <c r="L216" s="216"/>
      <c r="M216" s="217"/>
      <c r="N216" s="176"/>
      <c r="O216" s="241" t="str">
        <f>IF(Q216 = "", "", COUNT(Q$4:$Q216))</f>
        <v/>
      </c>
      <c r="P216" s="241" t="str">
        <f t="shared" si="28"/>
        <v/>
      </c>
      <c r="Q216" s="242" t="str">
        <f t="shared" si="29"/>
        <v/>
      </c>
      <c r="R216" s="243" t="str">
        <f t="shared" si="31"/>
        <v/>
      </c>
      <c r="S216" s="244" t="str">
        <f t="shared" si="32"/>
        <v/>
      </c>
      <c r="T216" s="245" t="str">
        <f t="shared" si="33"/>
        <v/>
      </c>
      <c r="U216" s="246" t="str">
        <f t="shared" si="34"/>
        <v/>
      </c>
      <c r="V216" s="8"/>
      <c r="AR216" t="str">
        <f t="shared" si="35"/>
        <v/>
      </c>
      <c r="AS216" t="str">
        <f t="shared" si="30"/>
        <v/>
      </c>
    </row>
    <row r="217" spans="1:45" x14ac:dyDescent="0.3">
      <c r="A217" s="231"/>
      <c r="B217" s="235"/>
      <c r="C217" s="214"/>
      <c r="D217" s="214"/>
      <c r="E217" s="214"/>
      <c r="F217" s="214"/>
      <c r="G217" s="222"/>
      <c r="H217" s="221"/>
      <c r="I217" s="213"/>
      <c r="J217" s="213"/>
      <c r="K217" s="215"/>
      <c r="L217" s="216"/>
      <c r="M217" s="217"/>
      <c r="N217" s="176"/>
      <c r="O217" s="241" t="str">
        <f>IF(Q217 = "", "", COUNT(Q$4:$Q217))</f>
        <v/>
      </c>
      <c r="P217" s="241" t="str">
        <f t="shared" si="28"/>
        <v/>
      </c>
      <c r="Q217" s="242" t="str">
        <f t="shared" si="29"/>
        <v/>
      </c>
      <c r="R217" s="243" t="str">
        <f t="shared" si="31"/>
        <v/>
      </c>
      <c r="S217" s="244" t="str">
        <f t="shared" si="32"/>
        <v/>
      </c>
      <c r="T217" s="245" t="str">
        <f t="shared" si="33"/>
        <v/>
      </c>
      <c r="U217" s="246" t="str">
        <f t="shared" si="34"/>
        <v/>
      </c>
      <c r="V217" s="8"/>
      <c r="AR217" t="str">
        <f t="shared" si="35"/>
        <v/>
      </c>
      <c r="AS217" t="str">
        <f t="shared" si="30"/>
        <v/>
      </c>
    </row>
    <row r="218" spans="1:45" x14ac:dyDescent="0.3">
      <c r="A218" s="231"/>
      <c r="B218" s="235"/>
      <c r="C218" s="214"/>
      <c r="D218" s="214"/>
      <c r="E218" s="214"/>
      <c r="F218" s="214"/>
      <c r="G218" s="222"/>
      <c r="H218" s="221"/>
      <c r="I218" s="213"/>
      <c r="J218" s="213"/>
      <c r="K218" s="215"/>
      <c r="L218" s="216"/>
      <c r="M218" s="217"/>
      <c r="N218" s="176"/>
      <c r="O218" s="241" t="str">
        <f>IF(Q218 = "", "", COUNT(Q$4:$Q218))</f>
        <v/>
      </c>
      <c r="P218" s="241" t="str">
        <f t="shared" si="28"/>
        <v/>
      </c>
      <c r="Q218" s="242" t="str">
        <f t="shared" si="29"/>
        <v/>
      </c>
      <c r="R218" s="243" t="str">
        <f t="shared" si="31"/>
        <v/>
      </c>
      <c r="S218" s="244" t="str">
        <f t="shared" si="32"/>
        <v/>
      </c>
      <c r="T218" s="245" t="str">
        <f t="shared" si="33"/>
        <v/>
      </c>
      <c r="U218" s="246" t="str">
        <f t="shared" si="34"/>
        <v/>
      </c>
      <c r="V218" s="8"/>
      <c r="AR218" t="str">
        <f t="shared" si="35"/>
        <v/>
      </c>
      <c r="AS218" t="str">
        <f t="shared" si="30"/>
        <v/>
      </c>
    </row>
    <row r="219" spans="1:45" x14ac:dyDescent="0.3">
      <c r="A219" s="231"/>
      <c r="B219" s="235"/>
      <c r="C219" s="214"/>
      <c r="D219" s="214"/>
      <c r="E219" s="214"/>
      <c r="F219" s="214"/>
      <c r="G219" s="222"/>
      <c r="H219" s="221"/>
      <c r="I219" s="213"/>
      <c r="J219" s="213"/>
      <c r="K219" s="215"/>
      <c r="L219" s="216"/>
      <c r="M219" s="217"/>
      <c r="N219" s="176"/>
      <c r="O219" s="241" t="str">
        <f>IF(Q219 = "", "", COUNT(Q$4:$Q219))</f>
        <v/>
      </c>
      <c r="P219" s="241" t="str">
        <f t="shared" si="28"/>
        <v/>
      </c>
      <c r="Q219" s="242" t="str">
        <f t="shared" si="29"/>
        <v/>
      </c>
      <c r="R219" s="243" t="str">
        <f t="shared" si="31"/>
        <v/>
      </c>
      <c r="S219" s="244" t="str">
        <f t="shared" si="32"/>
        <v/>
      </c>
      <c r="T219" s="245" t="str">
        <f t="shared" si="33"/>
        <v/>
      </c>
      <c r="U219" s="246" t="str">
        <f t="shared" si="34"/>
        <v/>
      </c>
      <c r="V219" s="8"/>
      <c r="AR219" t="str">
        <f t="shared" si="35"/>
        <v/>
      </c>
      <c r="AS219" t="str">
        <f t="shared" si="30"/>
        <v/>
      </c>
    </row>
    <row r="220" spans="1:45" x14ac:dyDescent="0.3">
      <c r="A220" s="231"/>
      <c r="B220" s="235"/>
      <c r="C220" s="214"/>
      <c r="D220" s="214"/>
      <c r="E220" s="214"/>
      <c r="F220" s="214"/>
      <c r="G220" s="222"/>
      <c r="H220" s="221"/>
      <c r="I220" s="213"/>
      <c r="J220" s="213"/>
      <c r="K220" s="215"/>
      <c r="L220" s="216"/>
      <c r="M220" s="217"/>
      <c r="N220" s="176"/>
      <c r="O220" s="241" t="str">
        <f>IF(Q220 = "", "", COUNT(Q$4:$Q220))</f>
        <v/>
      </c>
      <c r="P220" s="241" t="str">
        <f t="shared" si="28"/>
        <v/>
      </c>
      <c r="Q220" s="242" t="str">
        <f t="shared" si="29"/>
        <v/>
      </c>
      <c r="R220" s="243" t="str">
        <f t="shared" si="31"/>
        <v/>
      </c>
      <c r="S220" s="244" t="str">
        <f t="shared" si="32"/>
        <v/>
      </c>
      <c r="T220" s="245" t="str">
        <f t="shared" si="33"/>
        <v/>
      </c>
      <c r="U220" s="246" t="str">
        <f t="shared" si="34"/>
        <v/>
      </c>
      <c r="V220" s="8"/>
      <c r="AR220" t="str">
        <f t="shared" si="35"/>
        <v/>
      </c>
      <c r="AS220" t="str">
        <f t="shared" si="30"/>
        <v/>
      </c>
    </row>
    <row r="221" spans="1:45" x14ac:dyDescent="0.3">
      <c r="A221" s="231"/>
      <c r="B221" s="235"/>
      <c r="C221" s="214"/>
      <c r="D221" s="214"/>
      <c r="E221" s="214"/>
      <c r="F221" s="214"/>
      <c r="G221" s="222"/>
      <c r="H221" s="221"/>
      <c r="I221" s="213"/>
      <c r="J221" s="213"/>
      <c r="K221" s="215"/>
      <c r="L221" s="216"/>
      <c r="M221" s="217"/>
      <c r="N221" s="176"/>
      <c r="O221" s="241" t="str">
        <f>IF(Q221 = "", "", COUNT(Q$4:$Q221))</f>
        <v/>
      </c>
      <c r="P221" s="241" t="str">
        <f t="shared" si="28"/>
        <v/>
      </c>
      <c r="Q221" s="242" t="str">
        <f t="shared" si="29"/>
        <v/>
      </c>
      <c r="R221" s="243" t="str">
        <f t="shared" si="31"/>
        <v/>
      </c>
      <c r="S221" s="244" t="str">
        <f t="shared" si="32"/>
        <v/>
      </c>
      <c r="T221" s="245" t="str">
        <f t="shared" si="33"/>
        <v/>
      </c>
      <c r="U221" s="246" t="str">
        <f t="shared" si="34"/>
        <v/>
      </c>
      <c r="V221" s="8"/>
      <c r="AR221" t="str">
        <f t="shared" si="35"/>
        <v/>
      </c>
      <c r="AS221" t="str">
        <f t="shared" si="30"/>
        <v/>
      </c>
    </row>
    <row r="222" spans="1:45" x14ac:dyDescent="0.3">
      <c r="A222" s="231"/>
      <c r="B222" s="235"/>
      <c r="C222" s="214"/>
      <c r="D222" s="214"/>
      <c r="E222" s="214"/>
      <c r="F222" s="214"/>
      <c r="G222" s="222"/>
      <c r="H222" s="221"/>
      <c r="I222" s="213"/>
      <c r="J222" s="213"/>
      <c r="K222" s="215"/>
      <c r="L222" s="216"/>
      <c r="M222" s="217"/>
      <c r="N222" s="176"/>
      <c r="O222" s="241" t="str">
        <f>IF(Q222 = "", "", COUNT(Q$4:$Q222))</f>
        <v/>
      </c>
      <c r="P222" s="241" t="str">
        <f t="shared" si="28"/>
        <v/>
      </c>
      <c r="Q222" s="242" t="str">
        <f t="shared" si="29"/>
        <v/>
      </c>
      <c r="R222" s="243" t="str">
        <f t="shared" si="31"/>
        <v/>
      </c>
      <c r="S222" s="244" t="str">
        <f t="shared" si="32"/>
        <v/>
      </c>
      <c r="T222" s="245" t="str">
        <f t="shared" si="33"/>
        <v/>
      </c>
      <c r="U222" s="246" t="str">
        <f t="shared" si="34"/>
        <v/>
      </c>
      <c r="V222" s="8"/>
      <c r="AR222" t="str">
        <f t="shared" si="35"/>
        <v/>
      </c>
      <c r="AS222" t="str">
        <f t="shared" si="30"/>
        <v/>
      </c>
    </row>
    <row r="223" spans="1:45" x14ac:dyDescent="0.3">
      <c r="A223" s="231"/>
      <c r="B223" s="235"/>
      <c r="C223" s="214"/>
      <c r="D223" s="214"/>
      <c r="E223" s="214"/>
      <c r="F223" s="214"/>
      <c r="G223" s="222"/>
      <c r="H223" s="221"/>
      <c r="I223" s="213"/>
      <c r="J223" s="213"/>
      <c r="K223" s="215"/>
      <c r="L223" s="216"/>
      <c r="M223" s="217"/>
      <c r="N223" s="176"/>
      <c r="O223" s="241" t="str">
        <f>IF(Q223 = "", "", COUNT(Q$4:$Q223))</f>
        <v/>
      </c>
      <c r="P223" s="241" t="str">
        <f t="shared" si="28"/>
        <v/>
      </c>
      <c r="Q223" s="242" t="str">
        <f t="shared" si="29"/>
        <v/>
      </c>
      <c r="R223" s="243" t="str">
        <f t="shared" si="31"/>
        <v/>
      </c>
      <c r="S223" s="244" t="str">
        <f t="shared" si="32"/>
        <v/>
      </c>
      <c r="T223" s="245" t="str">
        <f t="shared" si="33"/>
        <v/>
      </c>
      <c r="U223" s="246" t="str">
        <f t="shared" si="34"/>
        <v/>
      </c>
      <c r="V223" s="8"/>
      <c r="AR223" t="str">
        <f t="shared" si="35"/>
        <v/>
      </c>
      <c r="AS223" t="str">
        <f t="shared" si="30"/>
        <v/>
      </c>
    </row>
    <row r="224" spans="1:45" x14ac:dyDescent="0.3">
      <c r="A224" s="231"/>
      <c r="B224" s="235"/>
      <c r="C224" s="214"/>
      <c r="D224" s="214"/>
      <c r="E224" s="214"/>
      <c r="F224" s="214"/>
      <c r="G224" s="222"/>
      <c r="H224" s="221"/>
      <c r="I224" s="213"/>
      <c r="J224" s="213"/>
      <c r="K224" s="215"/>
      <c r="L224" s="216"/>
      <c r="M224" s="217"/>
      <c r="N224" s="176"/>
      <c r="O224" s="241" t="str">
        <f>IF(Q224 = "", "", COUNT(Q$4:$Q224))</f>
        <v/>
      </c>
      <c r="P224" s="241" t="str">
        <f t="shared" si="28"/>
        <v/>
      </c>
      <c r="Q224" s="242" t="str">
        <f t="shared" si="29"/>
        <v/>
      </c>
      <c r="R224" s="243" t="str">
        <f t="shared" si="31"/>
        <v/>
      </c>
      <c r="S224" s="244" t="str">
        <f t="shared" si="32"/>
        <v/>
      </c>
      <c r="T224" s="245" t="str">
        <f t="shared" si="33"/>
        <v/>
      </c>
      <c r="U224" s="246" t="str">
        <f t="shared" si="34"/>
        <v/>
      </c>
      <c r="V224" s="8"/>
      <c r="AR224" t="str">
        <f t="shared" si="35"/>
        <v/>
      </c>
      <c r="AS224" t="str">
        <f t="shared" si="30"/>
        <v/>
      </c>
    </row>
    <row r="225" spans="1:45" x14ac:dyDescent="0.3">
      <c r="A225" s="231"/>
      <c r="B225" s="235"/>
      <c r="C225" s="214"/>
      <c r="D225" s="214"/>
      <c r="E225" s="214"/>
      <c r="F225" s="214"/>
      <c r="G225" s="222"/>
      <c r="H225" s="221"/>
      <c r="I225" s="213"/>
      <c r="J225" s="213"/>
      <c r="K225" s="215"/>
      <c r="L225" s="216"/>
      <c r="M225" s="217"/>
      <c r="N225" s="176"/>
      <c r="O225" s="241" t="str">
        <f>IF(Q225 = "", "", COUNT(Q$4:$Q225))</f>
        <v/>
      </c>
      <c r="P225" s="241" t="str">
        <f t="shared" si="28"/>
        <v/>
      </c>
      <c r="Q225" s="242" t="str">
        <f t="shared" si="29"/>
        <v/>
      </c>
      <c r="R225" s="243" t="str">
        <f t="shared" si="31"/>
        <v/>
      </c>
      <c r="S225" s="244" t="str">
        <f t="shared" si="32"/>
        <v/>
      </c>
      <c r="T225" s="245" t="str">
        <f t="shared" si="33"/>
        <v/>
      </c>
      <c r="U225" s="246" t="str">
        <f t="shared" si="34"/>
        <v/>
      </c>
      <c r="V225" s="8"/>
      <c r="AR225" t="str">
        <f t="shared" si="35"/>
        <v/>
      </c>
      <c r="AS225" t="str">
        <f t="shared" si="30"/>
        <v/>
      </c>
    </row>
    <row r="226" spans="1:45" x14ac:dyDescent="0.3">
      <c r="A226" s="231"/>
      <c r="B226" s="235"/>
      <c r="C226" s="214"/>
      <c r="D226" s="214"/>
      <c r="E226" s="214"/>
      <c r="F226" s="214"/>
      <c r="G226" s="222"/>
      <c r="H226" s="221"/>
      <c r="I226" s="213"/>
      <c r="J226" s="213"/>
      <c r="K226" s="215"/>
      <c r="L226" s="216"/>
      <c r="M226" s="217"/>
      <c r="N226" s="176"/>
      <c r="O226" s="241" t="str">
        <f>IF(Q226 = "", "", COUNT(Q$4:$Q226))</f>
        <v/>
      </c>
      <c r="P226" s="241" t="str">
        <f t="shared" si="28"/>
        <v/>
      </c>
      <c r="Q226" s="242" t="str">
        <f t="shared" si="29"/>
        <v/>
      </c>
      <c r="R226" s="243" t="str">
        <f t="shared" si="31"/>
        <v/>
      </c>
      <c r="S226" s="244" t="str">
        <f t="shared" si="32"/>
        <v/>
      </c>
      <c r="T226" s="245" t="str">
        <f t="shared" si="33"/>
        <v/>
      </c>
      <c r="U226" s="246" t="str">
        <f t="shared" si="34"/>
        <v/>
      </c>
      <c r="V226" s="8"/>
      <c r="AR226" t="str">
        <f t="shared" si="35"/>
        <v/>
      </c>
      <c r="AS226" t="str">
        <f t="shared" si="30"/>
        <v/>
      </c>
    </row>
    <row r="227" spans="1:45" x14ac:dyDescent="0.3">
      <c r="A227" s="231"/>
      <c r="B227" s="235"/>
      <c r="C227" s="214"/>
      <c r="D227" s="214"/>
      <c r="E227" s="214"/>
      <c r="F227" s="214"/>
      <c r="G227" s="222"/>
      <c r="H227" s="221"/>
      <c r="I227" s="213"/>
      <c r="J227" s="213"/>
      <c r="K227" s="215"/>
      <c r="L227" s="216"/>
      <c r="M227" s="217"/>
      <c r="N227" s="176"/>
      <c r="O227" s="241" t="str">
        <f>IF(Q227 = "", "", COUNT(Q$4:$Q227))</f>
        <v/>
      </c>
      <c r="P227" s="241" t="str">
        <f t="shared" si="28"/>
        <v/>
      </c>
      <c r="Q227" s="242" t="str">
        <f t="shared" si="29"/>
        <v/>
      </c>
      <c r="R227" s="243" t="str">
        <f t="shared" si="31"/>
        <v/>
      </c>
      <c r="S227" s="244" t="str">
        <f t="shared" si="32"/>
        <v/>
      </c>
      <c r="T227" s="245" t="str">
        <f t="shared" si="33"/>
        <v/>
      </c>
      <c r="U227" s="246" t="str">
        <f t="shared" si="34"/>
        <v/>
      </c>
      <c r="V227" s="8"/>
      <c r="AR227" t="str">
        <f t="shared" si="35"/>
        <v/>
      </c>
      <c r="AS227" t="str">
        <f t="shared" si="30"/>
        <v/>
      </c>
    </row>
    <row r="228" spans="1:45" x14ac:dyDescent="0.3">
      <c r="A228" s="231"/>
      <c r="B228" s="235"/>
      <c r="C228" s="214"/>
      <c r="D228" s="214"/>
      <c r="E228" s="214"/>
      <c r="F228" s="214"/>
      <c r="G228" s="222"/>
      <c r="H228" s="221"/>
      <c r="I228" s="213"/>
      <c r="J228" s="213"/>
      <c r="K228" s="215"/>
      <c r="L228" s="216"/>
      <c r="M228" s="217"/>
      <c r="N228" s="176"/>
      <c r="O228" s="241" t="str">
        <f>IF(Q228 = "", "", COUNT(Q$4:$Q228))</f>
        <v/>
      </c>
      <c r="P228" s="241" t="str">
        <f t="shared" si="28"/>
        <v/>
      </c>
      <c r="Q228" s="242" t="str">
        <f t="shared" si="29"/>
        <v/>
      </c>
      <c r="R228" s="243" t="str">
        <f t="shared" si="31"/>
        <v/>
      </c>
      <c r="S228" s="244" t="str">
        <f t="shared" si="32"/>
        <v/>
      </c>
      <c r="T228" s="245" t="str">
        <f t="shared" si="33"/>
        <v/>
      </c>
      <c r="U228" s="246" t="str">
        <f t="shared" si="34"/>
        <v/>
      </c>
      <c r="V228" s="8"/>
      <c r="AR228" t="str">
        <f t="shared" si="35"/>
        <v/>
      </c>
      <c r="AS228" t="str">
        <f t="shared" si="30"/>
        <v/>
      </c>
    </row>
    <row r="229" spans="1:45" x14ac:dyDescent="0.3">
      <c r="A229" s="231"/>
      <c r="B229" s="235"/>
      <c r="C229" s="214"/>
      <c r="D229" s="214"/>
      <c r="E229" s="214"/>
      <c r="F229" s="214"/>
      <c r="G229" s="222"/>
      <c r="H229" s="221"/>
      <c r="I229" s="213"/>
      <c r="J229" s="213"/>
      <c r="K229" s="215"/>
      <c r="L229" s="216"/>
      <c r="M229" s="217"/>
      <c r="N229" s="176"/>
      <c r="O229" s="241" t="str">
        <f>IF(Q229 = "", "", COUNT(Q$4:$Q229))</f>
        <v/>
      </c>
      <c r="P229" s="241" t="str">
        <f t="shared" si="28"/>
        <v/>
      </c>
      <c r="Q229" s="242" t="str">
        <f t="shared" si="29"/>
        <v/>
      </c>
      <c r="R229" s="243" t="str">
        <f t="shared" si="31"/>
        <v/>
      </c>
      <c r="S229" s="244" t="str">
        <f t="shared" si="32"/>
        <v/>
      </c>
      <c r="T229" s="245" t="str">
        <f t="shared" si="33"/>
        <v/>
      </c>
      <c r="U229" s="246" t="str">
        <f t="shared" si="34"/>
        <v/>
      </c>
      <c r="V229" s="8"/>
      <c r="AR229" t="str">
        <f t="shared" si="35"/>
        <v/>
      </c>
      <c r="AS229" t="str">
        <f t="shared" si="30"/>
        <v/>
      </c>
    </row>
    <row r="230" spans="1:45" x14ac:dyDescent="0.3">
      <c r="A230" s="231"/>
      <c r="B230" s="235"/>
      <c r="C230" s="214"/>
      <c r="D230" s="214"/>
      <c r="E230" s="214"/>
      <c r="F230" s="214"/>
      <c r="G230" s="222"/>
      <c r="H230" s="221"/>
      <c r="I230" s="213"/>
      <c r="J230" s="213"/>
      <c r="K230" s="215"/>
      <c r="L230" s="216"/>
      <c r="M230" s="217"/>
      <c r="N230" s="176"/>
      <c r="O230" s="241" t="str">
        <f>IF(Q230 = "", "", COUNT(Q$4:$Q230))</f>
        <v/>
      </c>
      <c r="P230" s="241" t="str">
        <f t="shared" si="28"/>
        <v/>
      </c>
      <c r="Q230" s="242" t="str">
        <f t="shared" si="29"/>
        <v/>
      </c>
      <c r="R230" s="243" t="str">
        <f t="shared" si="31"/>
        <v/>
      </c>
      <c r="S230" s="244" t="str">
        <f t="shared" si="32"/>
        <v/>
      </c>
      <c r="T230" s="245" t="str">
        <f t="shared" si="33"/>
        <v/>
      </c>
      <c r="U230" s="246" t="str">
        <f t="shared" si="34"/>
        <v/>
      </c>
      <c r="V230" s="8"/>
      <c r="AR230" t="str">
        <f t="shared" si="35"/>
        <v/>
      </c>
      <c r="AS230" t="str">
        <f t="shared" si="30"/>
        <v/>
      </c>
    </row>
    <row r="231" spans="1:45" x14ac:dyDescent="0.3">
      <c r="A231" s="231"/>
      <c r="B231" s="235"/>
      <c r="C231" s="214"/>
      <c r="D231" s="214"/>
      <c r="E231" s="214"/>
      <c r="F231" s="214"/>
      <c r="G231" s="222"/>
      <c r="H231" s="221"/>
      <c r="I231" s="213"/>
      <c r="J231" s="213"/>
      <c r="K231" s="215"/>
      <c r="L231" s="216"/>
      <c r="M231" s="217"/>
      <c r="N231" s="176"/>
      <c r="O231" s="241" t="str">
        <f>IF(Q231 = "", "", COUNT(Q$4:$Q231))</f>
        <v/>
      </c>
      <c r="P231" s="241" t="str">
        <f t="shared" si="28"/>
        <v/>
      </c>
      <c r="Q231" s="242" t="str">
        <f t="shared" si="29"/>
        <v/>
      </c>
      <c r="R231" s="243" t="str">
        <f t="shared" si="31"/>
        <v/>
      </c>
      <c r="S231" s="244" t="str">
        <f t="shared" si="32"/>
        <v/>
      </c>
      <c r="T231" s="245" t="str">
        <f t="shared" si="33"/>
        <v/>
      </c>
      <c r="U231" s="246" t="str">
        <f t="shared" si="34"/>
        <v/>
      </c>
      <c r="V231" s="8"/>
      <c r="AR231" t="str">
        <f t="shared" si="35"/>
        <v/>
      </c>
      <c r="AS231" t="str">
        <f t="shared" si="30"/>
        <v/>
      </c>
    </row>
    <row r="232" spans="1:45" x14ac:dyDescent="0.3">
      <c r="A232" s="231"/>
      <c r="B232" s="235"/>
      <c r="C232" s="214"/>
      <c r="D232" s="214"/>
      <c r="E232" s="214"/>
      <c r="F232" s="214"/>
      <c r="G232" s="222"/>
      <c r="H232" s="221"/>
      <c r="I232" s="213"/>
      <c r="J232" s="213"/>
      <c r="K232" s="215"/>
      <c r="L232" s="216"/>
      <c r="M232" s="217"/>
      <c r="N232" s="176"/>
      <c r="O232" s="241" t="str">
        <f>IF(Q232 = "", "", COUNT(Q$4:$Q232))</f>
        <v/>
      </c>
      <c r="P232" s="241" t="str">
        <f t="shared" si="28"/>
        <v/>
      </c>
      <c r="Q232" s="242" t="str">
        <f t="shared" si="29"/>
        <v/>
      </c>
      <c r="R232" s="243" t="str">
        <f t="shared" si="31"/>
        <v/>
      </c>
      <c r="S232" s="244" t="str">
        <f t="shared" si="32"/>
        <v/>
      </c>
      <c r="T232" s="245" t="str">
        <f t="shared" si="33"/>
        <v/>
      </c>
      <c r="U232" s="246" t="str">
        <f t="shared" si="34"/>
        <v/>
      </c>
      <c r="V232" s="8"/>
      <c r="AR232" t="str">
        <f t="shared" si="35"/>
        <v/>
      </c>
      <c r="AS232" t="str">
        <f t="shared" si="30"/>
        <v/>
      </c>
    </row>
    <row r="233" spans="1:45" x14ac:dyDescent="0.3">
      <c r="A233" s="231"/>
      <c r="B233" s="235"/>
      <c r="C233" s="214"/>
      <c r="D233" s="214"/>
      <c r="E233" s="214"/>
      <c r="F233" s="214"/>
      <c r="G233" s="222"/>
      <c r="H233" s="221"/>
      <c r="I233" s="213"/>
      <c r="J233" s="213"/>
      <c r="K233" s="215"/>
      <c r="L233" s="216"/>
      <c r="M233" s="217"/>
      <c r="N233" s="176"/>
      <c r="O233" s="241" t="str">
        <f>IF(Q233 = "", "", COUNT(Q$4:$Q233))</f>
        <v/>
      </c>
      <c r="P233" s="241" t="str">
        <f t="shared" si="28"/>
        <v/>
      </c>
      <c r="Q233" s="242" t="str">
        <f t="shared" si="29"/>
        <v/>
      </c>
      <c r="R233" s="243" t="str">
        <f t="shared" si="31"/>
        <v/>
      </c>
      <c r="S233" s="244" t="str">
        <f t="shared" si="32"/>
        <v/>
      </c>
      <c r="T233" s="245" t="str">
        <f t="shared" si="33"/>
        <v/>
      </c>
      <c r="U233" s="246" t="str">
        <f t="shared" si="34"/>
        <v/>
      </c>
      <c r="V233" s="8"/>
      <c r="AR233" t="str">
        <f t="shared" si="35"/>
        <v/>
      </c>
      <c r="AS233" t="str">
        <f t="shared" si="30"/>
        <v/>
      </c>
    </row>
    <row r="234" spans="1:45" x14ac:dyDescent="0.3">
      <c r="A234" s="231"/>
      <c r="B234" s="235"/>
      <c r="C234" s="214"/>
      <c r="D234" s="214"/>
      <c r="E234" s="214"/>
      <c r="F234" s="214"/>
      <c r="G234" s="222"/>
      <c r="H234" s="221"/>
      <c r="I234" s="213"/>
      <c r="J234" s="213"/>
      <c r="K234" s="215"/>
      <c r="L234" s="216"/>
      <c r="M234" s="217"/>
      <c r="N234" s="176"/>
      <c r="O234" s="241" t="str">
        <f>IF(Q234 = "", "", COUNT(Q$4:$Q234))</f>
        <v/>
      </c>
      <c r="P234" s="241" t="str">
        <f t="shared" si="28"/>
        <v/>
      </c>
      <c r="Q234" s="242" t="str">
        <f t="shared" si="29"/>
        <v/>
      </c>
      <c r="R234" s="243" t="str">
        <f t="shared" si="31"/>
        <v/>
      </c>
      <c r="S234" s="244" t="str">
        <f t="shared" si="32"/>
        <v/>
      </c>
      <c r="T234" s="245" t="str">
        <f t="shared" si="33"/>
        <v/>
      </c>
      <c r="U234" s="246" t="str">
        <f t="shared" si="34"/>
        <v/>
      </c>
      <c r="V234" s="8"/>
      <c r="AR234" t="str">
        <f t="shared" si="35"/>
        <v/>
      </c>
      <c r="AS234" t="str">
        <f t="shared" si="30"/>
        <v/>
      </c>
    </row>
    <row r="235" spans="1:45" x14ac:dyDescent="0.3">
      <c r="A235" s="231"/>
      <c r="B235" s="235"/>
      <c r="C235" s="214"/>
      <c r="D235" s="214"/>
      <c r="E235" s="214"/>
      <c r="F235" s="214"/>
      <c r="G235" s="222"/>
      <c r="H235" s="221"/>
      <c r="I235" s="213"/>
      <c r="J235" s="213"/>
      <c r="K235" s="215"/>
      <c r="L235" s="216"/>
      <c r="M235" s="217"/>
      <c r="N235" s="176"/>
      <c r="O235" s="241" t="str">
        <f>IF(Q235 = "", "", COUNT(Q$4:$Q235))</f>
        <v/>
      </c>
      <c r="P235" s="241" t="str">
        <f t="shared" si="28"/>
        <v/>
      </c>
      <c r="Q235" s="242" t="str">
        <f t="shared" si="29"/>
        <v/>
      </c>
      <c r="R235" s="243" t="str">
        <f t="shared" si="31"/>
        <v/>
      </c>
      <c r="S235" s="244" t="str">
        <f t="shared" si="32"/>
        <v/>
      </c>
      <c r="T235" s="245" t="str">
        <f t="shared" si="33"/>
        <v/>
      </c>
      <c r="U235" s="246" t="str">
        <f t="shared" si="34"/>
        <v/>
      </c>
      <c r="V235" s="8"/>
      <c r="AR235" t="str">
        <f t="shared" si="35"/>
        <v/>
      </c>
      <c r="AS235" t="str">
        <f t="shared" si="30"/>
        <v/>
      </c>
    </row>
    <row r="236" spans="1:45" x14ac:dyDescent="0.3">
      <c r="A236" s="231"/>
      <c r="B236" s="235"/>
      <c r="C236" s="214"/>
      <c r="D236" s="214"/>
      <c r="E236" s="214"/>
      <c r="F236" s="214"/>
      <c r="G236" s="222"/>
      <c r="H236" s="221"/>
      <c r="I236" s="213"/>
      <c r="J236" s="213"/>
      <c r="K236" s="215"/>
      <c r="L236" s="216"/>
      <c r="M236" s="217"/>
      <c r="N236" s="176"/>
      <c r="O236" s="241" t="str">
        <f>IF(Q236 = "", "", COUNT(Q$4:$Q236))</f>
        <v/>
      </c>
      <c r="P236" s="241" t="str">
        <f t="shared" si="28"/>
        <v/>
      </c>
      <c r="Q236" s="242" t="str">
        <f t="shared" si="29"/>
        <v/>
      </c>
      <c r="R236" s="243" t="str">
        <f t="shared" si="31"/>
        <v/>
      </c>
      <c r="S236" s="244" t="str">
        <f t="shared" si="32"/>
        <v/>
      </c>
      <c r="T236" s="245" t="str">
        <f t="shared" si="33"/>
        <v/>
      </c>
      <c r="U236" s="246" t="str">
        <f t="shared" si="34"/>
        <v/>
      </c>
      <c r="V236" s="8"/>
      <c r="AR236" t="str">
        <f t="shared" si="35"/>
        <v/>
      </c>
      <c r="AS236" t="str">
        <f t="shared" si="30"/>
        <v/>
      </c>
    </row>
    <row r="237" spans="1:45" x14ac:dyDescent="0.3">
      <c r="A237" s="231"/>
      <c r="B237" s="235"/>
      <c r="C237" s="214"/>
      <c r="D237" s="214"/>
      <c r="E237" s="214"/>
      <c r="F237" s="214"/>
      <c r="G237" s="222"/>
      <c r="H237" s="221"/>
      <c r="I237" s="213"/>
      <c r="J237" s="213"/>
      <c r="K237" s="215"/>
      <c r="L237" s="216"/>
      <c r="M237" s="217"/>
      <c r="N237" s="176"/>
      <c r="O237" s="241" t="str">
        <f>IF(Q237 = "", "", COUNT(Q$4:$Q237))</f>
        <v/>
      </c>
      <c r="P237" s="241" t="str">
        <f t="shared" si="28"/>
        <v/>
      </c>
      <c r="Q237" s="242" t="str">
        <f t="shared" si="29"/>
        <v/>
      </c>
      <c r="R237" s="243" t="str">
        <f t="shared" si="31"/>
        <v/>
      </c>
      <c r="S237" s="244" t="str">
        <f t="shared" si="32"/>
        <v/>
      </c>
      <c r="T237" s="245" t="str">
        <f t="shared" si="33"/>
        <v/>
      </c>
      <c r="U237" s="246" t="str">
        <f t="shared" si="34"/>
        <v/>
      </c>
      <c r="V237" s="8"/>
      <c r="AR237" t="str">
        <f t="shared" si="35"/>
        <v/>
      </c>
      <c r="AS237" t="str">
        <f t="shared" si="30"/>
        <v/>
      </c>
    </row>
    <row r="238" spans="1:45" x14ac:dyDescent="0.3">
      <c r="A238" s="231"/>
      <c r="B238" s="235"/>
      <c r="C238" s="214"/>
      <c r="D238" s="214"/>
      <c r="E238" s="214"/>
      <c r="F238" s="214"/>
      <c r="G238" s="222"/>
      <c r="H238" s="221"/>
      <c r="I238" s="213"/>
      <c r="J238" s="213"/>
      <c r="K238" s="215"/>
      <c r="L238" s="216"/>
      <c r="M238" s="217"/>
      <c r="N238" s="176"/>
      <c r="O238" s="241" t="str">
        <f>IF(Q238 = "", "", COUNT(Q$4:$Q238))</f>
        <v/>
      </c>
      <c r="P238" s="241" t="str">
        <f t="shared" si="28"/>
        <v/>
      </c>
      <c r="Q238" s="242" t="str">
        <f t="shared" si="29"/>
        <v/>
      </c>
      <c r="R238" s="243" t="str">
        <f t="shared" si="31"/>
        <v/>
      </c>
      <c r="S238" s="244" t="str">
        <f t="shared" si="32"/>
        <v/>
      </c>
      <c r="T238" s="245" t="str">
        <f t="shared" si="33"/>
        <v/>
      </c>
      <c r="U238" s="246" t="str">
        <f t="shared" si="34"/>
        <v/>
      </c>
      <c r="V238" s="8"/>
      <c r="AR238" t="str">
        <f t="shared" si="35"/>
        <v/>
      </c>
      <c r="AS238" t="str">
        <f t="shared" si="30"/>
        <v/>
      </c>
    </row>
    <row r="239" spans="1:45" x14ac:dyDescent="0.3">
      <c r="A239" s="231"/>
      <c r="B239" s="235"/>
      <c r="C239" s="214"/>
      <c r="D239" s="214"/>
      <c r="E239" s="214"/>
      <c r="F239" s="214"/>
      <c r="G239" s="222"/>
      <c r="H239" s="221"/>
      <c r="I239" s="213"/>
      <c r="J239" s="213"/>
      <c r="K239" s="215"/>
      <c r="L239" s="216"/>
      <c r="M239" s="217"/>
      <c r="N239" s="176"/>
      <c r="O239" s="241" t="str">
        <f>IF(Q239 = "", "", COUNT(Q$4:$Q239))</f>
        <v/>
      </c>
      <c r="P239" s="241" t="str">
        <f t="shared" si="28"/>
        <v/>
      </c>
      <c r="Q239" s="242" t="str">
        <f t="shared" si="29"/>
        <v/>
      </c>
      <c r="R239" s="243" t="str">
        <f t="shared" si="31"/>
        <v/>
      </c>
      <c r="S239" s="244" t="str">
        <f t="shared" si="32"/>
        <v/>
      </c>
      <c r="T239" s="245" t="str">
        <f t="shared" si="33"/>
        <v/>
      </c>
      <c r="U239" s="246" t="str">
        <f t="shared" si="34"/>
        <v/>
      </c>
      <c r="V239" s="8"/>
      <c r="AR239" t="str">
        <f t="shared" si="35"/>
        <v/>
      </c>
      <c r="AS239" t="str">
        <f t="shared" si="30"/>
        <v/>
      </c>
    </row>
    <row r="240" spans="1:45" x14ac:dyDescent="0.3">
      <c r="A240" s="231"/>
      <c r="B240" s="235"/>
      <c r="C240" s="214"/>
      <c r="D240" s="214"/>
      <c r="E240" s="214"/>
      <c r="F240" s="214"/>
      <c r="G240" s="222"/>
      <c r="H240" s="221"/>
      <c r="I240" s="213"/>
      <c r="J240" s="213"/>
      <c r="K240" s="215"/>
      <c r="L240" s="216"/>
      <c r="M240" s="217"/>
      <c r="N240" s="176"/>
      <c r="O240" s="241" t="str">
        <f>IF(Q240 = "", "", COUNT(Q$4:$Q240))</f>
        <v/>
      </c>
      <c r="P240" s="241" t="str">
        <f t="shared" si="28"/>
        <v/>
      </c>
      <c r="Q240" s="242" t="str">
        <f t="shared" si="29"/>
        <v/>
      </c>
      <c r="R240" s="243" t="str">
        <f t="shared" si="31"/>
        <v/>
      </c>
      <c r="S240" s="244" t="str">
        <f t="shared" si="32"/>
        <v/>
      </c>
      <c r="T240" s="245" t="str">
        <f t="shared" si="33"/>
        <v/>
      </c>
      <c r="U240" s="246" t="str">
        <f t="shared" si="34"/>
        <v/>
      </c>
      <c r="V240" s="8"/>
      <c r="AR240" t="str">
        <f t="shared" si="35"/>
        <v/>
      </c>
      <c r="AS240" t="str">
        <f t="shared" si="30"/>
        <v/>
      </c>
    </row>
    <row r="241" spans="1:45" x14ac:dyDescent="0.3">
      <c r="A241" s="231"/>
      <c r="B241" s="235"/>
      <c r="C241" s="214"/>
      <c r="D241" s="214"/>
      <c r="E241" s="214"/>
      <c r="F241" s="214"/>
      <c r="G241" s="222"/>
      <c r="H241" s="221"/>
      <c r="I241" s="213"/>
      <c r="J241" s="213"/>
      <c r="K241" s="215"/>
      <c r="L241" s="216"/>
      <c r="M241" s="217"/>
      <c r="N241" s="176"/>
      <c r="O241" s="241" t="str">
        <f>IF(Q241 = "", "", COUNT(Q$4:$Q241))</f>
        <v/>
      </c>
      <c r="P241" s="241" t="str">
        <f t="shared" si="28"/>
        <v/>
      </c>
      <c r="Q241" s="242" t="str">
        <f t="shared" si="29"/>
        <v/>
      </c>
      <c r="R241" s="243" t="str">
        <f t="shared" si="31"/>
        <v/>
      </c>
      <c r="S241" s="244" t="str">
        <f t="shared" si="32"/>
        <v/>
      </c>
      <c r="T241" s="245" t="str">
        <f t="shared" si="33"/>
        <v/>
      </c>
      <c r="U241" s="246" t="str">
        <f t="shared" si="34"/>
        <v/>
      </c>
      <c r="V241" s="8"/>
      <c r="AR241" t="str">
        <f t="shared" si="35"/>
        <v/>
      </c>
      <c r="AS241" t="str">
        <f t="shared" si="30"/>
        <v/>
      </c>
    </row>
    <row r="242" spans="1:45" x14ac:dyDescent="0.3">
      <c r="A242" s="231"/>
      <c r="B242" s="235"/>
      <c r="C242" s="214"/>
      <c r="D242" s="214"/>
      <c r="E242" s="214"/>
      <c r="F242" s="214"/>
      <c r="G242" s="222"/>
      <c r="H242" s="221"/>
      <c r="I242" s="213"/>
      <c r="J242" s="213"/>
      <c r="K242" s="215"/>
      <c r="L242" s="216"/>
      <c r="M242" s="217"/>
      <c r="N242" s="176"/>
      <c r="O242" s="241" t="str">
        <f>IF(Q242 = "", "", COUNT(Q$4:$Q242))</f>
        <v/>
      </c>
      <c r="P242" s="241" t="str">
        <f t="shared" si="28"/>
        <v/>
      </c>
      <c r="Q242" s="242" t="str">
        <f t="shared" si="29"/>
        <v/>
      </c>
      <c r="R242" s="243" t="str">
        <f t="shared" si="31"/>
        <v/>
      </c>
      <c r="S242" s="244" t="str">
        <f t="shared" si="32"/>
        <v/>
      </c>
      <c r="T242" s="245" t="str">
        <f t="shared" si="33"/>
        <v/>
      </c>
      <c r="U242" s="246" t="str">
        <f t="shared" si="34"/>
        <v/>
      </c>
      <c r="V242" s="8"/>
      <c r="AR242" t="str">
        <f t="shared" si="35"/>
        <v/>
      </c>
      <c r="AS242" t="str">
        <f t="shared" si="30"/>
        <v/>
      </c>
    </row>
    <row r="243" spans="1:45" x14ac:dyDescent="0.3">
      <c r="A243" s="231"/>
      <c r="B243" s="235"/>
      <c r="C243" s="214"/>
      <c r="D243" s="214"/>
      <c r="E243" s="214"/>
      <c r="F243" s="214"/>
      <c r="G243" s="222"/>
      <c r="H243" s="221"/>
      <c r="I243" s="213"/>
      <c r="J243" s="213"/>
      <c r="K243" s="215"/>
      <c r="L243" s="216"/>
      <c r="M243" s="217"/>
      <c r="N243" s="176"/>
      <c r="O243" s="241" t="str">
        <f>IF(Q243 = "", "", COUNT(Q$4:$Q243))</f>
        <v/>
      </c>
      <c r="P243" s="241" t="str">
        <f t="shared" si="28"/>
        <v/>
      </c>
      <c r="Q243" s="242" t="str">
        <f t="shared" si="29"/>
        <v/>
      </c>
      <c r="R243" s="243" t="str">
        <f t="shared" si="31"/>
        <v/>
      </c>
      <c r="S243" s="244" t="str">
        <f t="shared" si="32"/>
        <v/>
      </c>
      <c r="T243" s="245" t="str">
        <f t="shared" si="33"/>
        <v/>
      </c>
      <c r="U243" s="246" t="str">
        <f t="shared" si="34"/>
        <v/>
      </c>
      <c r="V243" s="8"/>
      <c r="AR243" t="str">
        <f t="shared" si="35"/>
        <v/>
      </c>
      <c r="AS243" t="str">
        <f t="shared" si="30"/>
        <v/>
      </c>
    </row>
    <row r="244" spans="1:45" x14ac:dyDescent="0.3">
      <c r="A244" s="231"/>
      <c r="B244" s="235"/>
      <c r="C244" s="214"/>
      <c r="D244" s="214"/>
      <c r="E244" s="214"/>
      <c r="F244" s="214"/>
      <c r="G244" s="222"/>
      <c r="H244" s="221"/>
      <c r="I244" s="213"/>
      <c r="J244" s="213"/>
      <c r="K244" s="215"/>
      <c r="L244" s="216"/>
      <c r="M244" s="217"/>
      <c r="N244" s="176"/>
      <c r="O244" s="241" t="str">
        <f>IF(Q244 = "", "", COUNT(Q$4:$Q244))</f>
        <v/>
      </c>
      <c r="P244" s="241" t="str">
        <f t="shared" si="28"/>
        <v/>
      </c>
      <c r="Q244" s="242" t="str">
        <f t="shared" si="29"/>
        <v/>
      </c>
      <c r="R244" s="243" t="str">
        <f t="shared" si="31"/>
        <v/>
      </c>
      <c r="S244" s="244" t="str">
        <f t="shared" si="32"/>
        <v/>
      </c>
      <c r="T244" s="245" t="str">
        <f t="shared" si="33"/>
        <v/>
      </c>
      <c r="U244" s="246" t="str">
        <f t="shared" si="34"/>
        <v/>
      </c>
      <c r="V244" s="8"/>
      <c r="AR244" t="str">
        <f t="shared" si="35"/>
        <v/>
      </c>
      <c r="AS244" t="str">
        <f t="shared" si="30"/>
        <v/>
      </c>
    </row>
    <row r="245" spans="1:45" x14ac:dyDescent="0.3">
      <c r="A245" s="231"/>
      <c r="B245" s="235"/>
      <c r="C245" s="214"/>
      <c r="D245" s="214"/>
      <c r="E245" s="214"/>
      <c r="F245" s="214"/>
      <c r="G245" s="222"/>
      <c r="H245" s="221"/>
      <c r="I245" s="213"/>
      <c r="J245" s="213"/>
      <c r="K245" s="215"/>
      <c r="L245" s="216"/>
      <c r="M245" s="217"/>
      <c r="N245" s="176"/>
      <c r="O245" s="241" t="str">
        <f>IF(Q245 = "", "", COUNT(Q$4:$Q245))</f>
        <v/>
      </c>
      <c r="P245" s="241" t="str">
        <f t="shared" si="28"/>
        <v/>
      </c>
      <c r="Q245" s="242" t="str">
        <f t="shared" si="29"/>
        <v/>
      </c>
      <c r="R245" s="243" t="str">
        <f t="shared" si="31"/>
        <v/>
      </c>
      <c r="S245" s="244" t="str">
        <f t="shared" si="32"/>
        <v/>
      </c>
      <c r="T245" s="245" t="str">
        <f t="shared" si="33"/>
        <v/>
      </c>
      <c r="U245" s="246" t="str">
        <f t="shared" si="34"/>
        <v/>
      </c>
      <c r="V245" s="8"/>
      <c r="AR245" t="str">
        <f t="shared" si="35"/>
        <v/>
      </c>
      <c r="AS245" t="str">
        <f t="shared" si="30"/>
        <v/>
      </c>
    </row>
    <row r="246" spans="1:45" x14ac:dyDescent="0.3">
      <c r="A246" s="231"/>
      <c r="B246" s="235"/>
      <c r="C246" s="214"/>
      <c r="D246" s="214"/>
      <c r="E246" s="214"/>
      <c r="F246" s="214"/>
      <c r="G246" s="222"/>
      <c r="H246" s="221"/>
      <c r="I246" s="213"/>
      <c r="J246" s="213"/>
      <c r="K246" s="215"/>
      <c r="L246" s="216"/>
      <c r="M246" s="217"/>
      <c r="N246" s="176"/>
      <c r="O246" s="241" t="str">
        <f>IF(Q246 = "", "", COUNT(Q$4:$Q246))</f>
        <v/>
      </c>
      <c r="P246" s="241" t="str">
        <f t="shared" si="28"/>
        <v/>
      </c>
      <c r="Q246" s="242" t="str">
        <f t="shared" si="29"/>
        <v/>
      </c>
      <c r="R246" s="243" t="str">
        <f t="shared" si="31"/>
        <v/>
      </c>
      <c r="S246" s="244" t="str">
        <f t="shared" si="32"/>
        <v/>
      </c>
      <c r="T246" s="245" t="str">
        <f t="shared" si="33"/>
        <v/>
      </c>
      <c r="U246" s="246" t="str">
        <f t="shared" si="34"/>
        <v/>
      </c>
      <c r="V246" s="8"/>
      <c r="AR246" t="str">
        <f t="shared" si="35"/>
        <v/>
      </c>
      <c r="AS246" t="str">
        <f t="shared" si="30"/>
        <v/>
      </c>
    </row>
    <row r="247" spans="1:45" x14ac:dyDescent="0.3">
      <c r="A247" s="231"/>
      <c r="B247" s="235"/>
      <c r="C247" s="214"/>
      <c r="D247" s="214"/>
      <c r="E247" s="214"/>
      <c r="F247" s="214"/>
      <c r="G247" s="222"/>
      <c r="H247" s="221"/>
      <c r="I247" s="213"/>
      <c r="J247" s="213"/>
      <c r="K247" s="215"/>
      <c r="L247" s="216"/>
      <c r="M247" s="217"/>
      <c r="N247" s="176"/>
      <c r="O247" s="241" t="str">
        <f>IF(Q247 = "", "", COUNT(Q$4:$Q247))</f>
        <v/>
      </c>
      <c r="P247" s="241" t="str">
        <f t="shared" si="28"/>
        <v/>
      </c>
      <c r="Q247" s="242" t="str">
        <f t="shared" si="29"/>
        <v/>
      </c>
      <c r="R247" s="243" t="str">
        <f t="shared" si="31"/>
        <v/>
      </c>
      <c r="S247" s="244" t="str">
        <f t="shared" si="32"/>
        <v/>
      </c>
      <c r="T247" s="245" t="str">
        <f t="shared" si="33"/>
        <v/>
      </c>
      <c r="U247" s="246" t="str">
        <f t="shared" si="34"/>
        <v/>
      </c>
      <c r="V247" s="8"/>
      <c r="AR247" t="str">
        <f t="shared" si="35"/>
        <v/>
      </c>
      <c r="AS247" t="str">
        <f t="shared" si="30"/>
        <v/>
      </c>
    </row>
    <row r="248" spans="1:45" x14ac:dyDescent="0.3">
      <c r="A248" s="231"/>
      <c r="B248" s="235"/>
      <c r="C248" s="214"/>
      <c r="D248" s="214"/>
      <c r="E248" s="214"/>
      <c r="F248" s="214"/>
      <c r="G248" s="222"/>
      <c r="H248" s="221"/>
      <c r="I248" s="213"/>
      <c r="J248" s="213"/>
      <c r="K248" s="215"/>
      <c r="L248" s="216"/>
      <c r="M248" s="217"/>
      <c r="N248" s="176"/>
      <c r="O248" s="241" t="str">
        <f>IF(Q248 = "", "", COUNT(Q$4:$Q248))</f>
        <v/>
      </c>
      <c r="P248" s="241" t="str">
        <f t="shared" si="28"/>
        <v/>
      </c>
      <c r="Q248" s="242" t="str">
        <f t="shared" si="29"/>
        <v/>
      </c>
      <c r="R248" s="243" t="str">
        <f t="shared" si="31"/>
        <v/>
      </c>
      <c r="S248" s="244" t="str">
        <f t="shared" si="32"/>
        <v/>
      </c>
      <c r="T248" s="245" t="str">
        <f t="shared" si="33"/>
        <v/>
      </c>
      <c r="U248" s="246" t="str">
        <f t="shared" si="34"/>
        <v/>
      </c>
      <c r="V248" s="8"/>
      <c r="AR248" t="str">
        <f t="shared" si="35"/>
        <v/>
      </c>
      <c r="AS248" t="str">
        <f t="shared" si="30"/>
        <v/>
      </c>
    </row>
    <row r="249" spans="1:45" x14ac:dyDescent="0.3">
      <c r="A249" s="231"/>
      <c r="B249" s="235"/>
      <c r="C249" s="214"/>
      <c r="D249" s="214"/>
      <c r="E249" s="214"/>
      <c r="F249" s="214"/>
      <c r="G249" s="222"/>
      <c r="H249" s="221"/>
      <c r="I249" s="213"/>
      <c r="J249" s="213"/>
      <c r="K249" s="215"/>
      <c r="L249" s="216"/>
      <c r="M249" s="217"/>
      <c r="N249" s="176"/>
      <c r="O249" s="241" t="str">
        <f>IF(Q249 = "", "", COUNT(Q$4:$Q249))</f>
        <v/>
      </c>
      <c r="P249" s="241" t="str">
        <f t="shared" si="28"/>
        <v/>
      </c>
      <c r="Q249" s="242" t="str">
        <f t="shared" si="29"/>
        <v/>
      </c>
      <c r="R249" s="243" t="str">
        <f t="shared" si="31"/>
        <v/>
      </c>
      <c r="S249" s="244" t="str">
        <f t="shared" si="32"/>
        <v/>
      </c>
      <c r="T249" s="245" t="str">
        <f t="shared" si="33"/>
        <v/>
      </c>
      <c r="U249" s="246" t="str">
        <f t="shared" si="34"/>
        <v/>
      </c>
      <c r="V249" s="8"/>
      <c r="AR249" t="str">
        <f t="shared" si="35"/>
        <v/>
      </c>
      <c r="AS249" t="str">
        <f t="shared" si="30"/>
        <v/>
      </c>
    </row>
    <row r="250" spans="1:45" x14ac:dyDescent="0.3">
      <c r="A250" s="231"/>
      <c r="B250" s="235"/>
      <c r="C250" s="214"/>
      <c r="D250" s="214"/>
      <c r="E250" s="214"/>
      <c r="F250" s="214"/>
      <c r="G250" s="222"/>
      <c r="H250" s="221"/>
      <c r="I250" s="213"/>
      <c r="J250" s="213"/>
      <c r="K250" s="215"/>
      <c r="L250" s="216"/>
      <c r="M250" s="217"/>
      <c r="N250" s="176"/>
      <c r="O250" s="241" t="str">
        <f>IF(Q250 = "", "", COUNT(Q$4:$Q250))</f>
        <v/>
      </c>
      <c r="P250" s="241" t="str">
        <f t="shared" si="28"/>
        <v/>
      </c>
      <c r="Q250" s="242" t="str">
        <f t="shared" si="29"/>
        <v/>
      </c>
      <c r="R250" s="243" t="str">
        <f t="shared" si="31"/>
        <v/>
      </c>
      <c r="S250" s="244" t="str">
        <f t="shared" si="32"/>
        <v/>
      </c>
      <c r="T250" s="245" t="str">
        <f t="shared" si="33"/>
        <v/>
      </c>
      <c r="U250" s="246" t="str">
        <f t="shared" si="34"/>
        <v/>
      </c>
      <c r="V250" s="8"/>
      <c r="AR250" t="str">
        <f t="shared" si="35"/>
        <v/>
      </c>
      <c r="AS250" t="str">
        <f t="shared" si="30"/>
        <v/>
      </c>
    </row>
    <row r="251" spans="1:45" x14ac:dyDescent="0.3">
      <c r="A251" s="231"/>
      <c r="B251" s="235"/>
      <c r="C251" s="214"/>
      <c r="D251" s="214"/>
      <c r="E251" s="214"/>
      <c r="F251" s="214"/>
      <c r="G251" s="222"/>
      <c r="H251" s="221"/>
      <c r="I251" s="213"/>
      <c r="J251" s="213"/>
      <c r="K251" s="215"/>
      <c r="L251" s="216"/>
      <c r="M251" s="217"/>
      <c r="N251" s="176"/>
      <c r="O251" s="241" t="str">
        <f>IF(Q251 = "", "", COUNT(Q$4:$Q251))</f>
        <v/>
      </c>
      <c r="P251" s="241" t="str">
        <f t="shared" si="28"/>
        <v/>
      </c>
      <c r="Q251" s="242" t="str">
        <f t="shared" si="29"/>
        <v/>
      </c>
      <c r="R251" s="243" t="str">
        <f t="shared" si="31"/>
        <v/>
      </c>
      <c r="S251" s="244" t="str">
        <f t="shared" si="32"/>
        <v/>
      </c>
      <c r="T251" s="245" t="str">
        <f t="shared" si="33"/>
        <v/>
      </c>
      <c r="U251" s="246" t="str">
        <f t="shared" si="34"/>
        <v/>
      </c>
      <c r="V251" s="8"/>
      <c r="AR251" t="str">
        <f t="shared" si="35"/>
        <v/>
      </c>
      <c r="AS251" t="str">
        <f t="shared" si="30"/>
        <v/>
      </c>
    </row>
    <row r="252" spans="1:45" x14ac:dyDescent="0.3">
      <c r="A252" s="231"/>
      <c r="B252" s="235"/>
      <c r="C252" s="214"/>
      <c r="D252" s="214"/>
      <c r="E252" s="214"/>
      <c r="F252" s="214"/>
      <c r="G252" s="222"/>
      <c r="H252" s="221"/>
      <c r="I252" s="213"/>
      <c r="J252" s="213"/>
      <c r="K252" s="215"/>
      <c r="L252" s="216"/>
      <c r="M252" s="217"/>
      <c r="N252" s="176"/>
      <c r="O252" s="241" t="str">
        <f>IF(Q252 = "", "", COUNT(Q$4:$Q252))</f>
        <v/>
      </c>
      <c r="P252" s="241" t="str">
        <f t="shared" si="28"/>
        <v/>
      </c>
      <c r="Q252" s="242" t="str">
        <f t="shared" si="29"/>
        <v/>
      </c>
      <c r="R252" s="243" t="str">
        <f t="shared" si="31"/>
        <v/>
      </c>
      <c r="S252" s="244" t="str">
        <f t="shared" si="32"/>
        <v/>
      </c>
      <c r="T252" s="245" t="str">
        <f t="shared" si="33"/>
        <v/>
      </c>
      <c r="U252" s="246" t="str">
        <f t="shared" si="34"/>
        <v/>
      </c>
      <c r="V252" s="8"/>
      <c r="AR252" t="str">
        <f t="shared" si="35"/>
        <v/>
      </c>
      <c r="AS252" t="str">
        <f t="shared" si="30"/>
        <v/>
      </c>
    </row>
    <row r="253" spans="1:45" x14ac:dyDescent="0.3">
      <c r="A253" s="231"/>
      <c r="B253" s="235"/>
      <c r="C253" s="214"/>
      <c r="D253" s="214"/>
      <c r="E253" s="214"/>
      <c r="F253" s="214"/>
      <c r="G253" s="222"/>
      <c r="H253" s="221"/>
      <c r="I253" s="213"/>
      <c r="J253" s="213"/>
      <c r="K253" s="215"/>
      <c r="L253" s="216"/>
      <c r="M253" s="217"/>
      <c r="N253" s="176"/>
      <c r="O253" s="241" t="str">
        <f>IF(Q253 = "", "", COUNT(Q$4:$Q253))</f>
        <v/>
      </c>
      <c r="P253" s="241" t="str">
        <f t="shared" si="28"/>
        <v/>
      </c>
      <c r="Q253" s="242" t="str">
        <f t="shared" si="29"/>
        <v/>
      </c>
      <c r="R253" s="243" t="str">
        <f t="shared" si="31"/>
        <v/>
      </c>
      <c r="S253" s="244" t="str">
        <f t="shared" si="32"/>
        <v/>
      </c>
      <c r="T253" s="245" t="str">
        <f t="shared" si="33"/>
        <v/>
      </c>
      <c r="U253" s="246" t="str">
        <f t="shared" si="34"/>
        <v/>
      </c>
      <c r="V253" s="8"/>
      <c r="AR253" t="str">
        <f t="shared" si="35"/>
        <v/>
      </c>
      <c r="AS253" t="str">
        <f t="shared" si="30"/>
        <v/>
      </c>
    </row>
    <row r="254" spans="1:45" x14ac:dyDescent="0.3">
      <c r="A254" s="231"/>
      <c r="B254" s="235"/>
      <c r="C254" s="214"/>
      <c r="D254" s="214"/>
      <c r="E254" s="214"/>
      <c r="F254" s="214"/>
      <c r="G254" s="222"/>
      <c r="H254" s="221"/>
      <c r="I254" s="213"/>
      <c r="J254" s="213"/>
      <c r="K254" s="215"/>
      <c r="L254" s="216"/>
      <c r="M254" s="217"/>
      <c r="N254" s="176"/>
      <c r="O254" s="241" t="str">
        <f>IF(Q254 = "", "", COUNT(Q$4:$Q254))</f>
        <v/>
      </c>
      <c r="P254" s="241" t="str">
        <f t="shared" si="28"/>
        <v/>
      </c>
      <c r="Q254" s="242" t="str">
        <f t="shared" si="29"/>
        <v/>
      </c>
      <c r="R254" s="243" t="str">
        <f t="shared" si="31"/>
        <v/>
      </c>
      <c r="S254" s="244" t="str">
        <f t="shared" si="32"/>
        <v/>
      </c>
      <c r="T254" s="245" t="str">
        <f t="shared" si="33"/>
        <v/>
      </c>
      <c r="U254" s="246" t="str">
        <f t="shared" si="34"/>
        <v/>
      </c>
      <c r="V254" s="8"/>
      <c r="AR254" t="str">
        <f t="shared" si="35"/>
        <v/>
      </c>
      <c r="AS254" t="str">
        <f t="shared" si="30"/>
        <v/>
      </c>
    </row>
    <row r="255" spans="1:45" x14ac:dyDescent="0.3">
      <c r="A255" s="231"/>
      <c r="B255" s="235"/>
      <c r="C255" s="214"/>
      <c r="D255" s="214"/>
      <c r="E255" s="214"/>
      <c r="F255" s="214"/>
      <c r="G255" s="222"/>
      <c r="H255" s="221"/>
      <c r="I255" s="213"/>
      <c r="J255" s="213"/>
      <c r="K255" s="215"/>
      <c r="L255" s="216"/>
      <c r="M255" s="217"/>
      <c r="N255" s="176"/>
      <c r="O255" s="241" t="str">
        <f>IF(Q255 = "", "", COUNT(Q$4:$Q255))</f>
        <v/>
      </c>
      <c r="P255" s="241" t="str">
        <f t="shared" si="28"/>
        <v/>
      </c>
      <c r="Q255" s="242" t="str">
        <f t="shared" si="29"/>
        <v/>
      </c>
      <c r="R255" s="243" t="str">
        <f t="shared" si="31"/>
        <v/>
      </c>
      <c r="S255" s="244" t="str">
        <f t="shared" si="32"/>
        <v/>
      </c>
      <c r="T255" s="245" t="str">
        <f t="shared" si="33"/>
        <v/>
      </c>
      <c r="U255" s="246" t="str">
        <f t="shared" si="34"/>
        <v/>
      </c>
      <c r="V255" s="8"/>
      <c r="AR255" t="str">
        <f t="shared" si="35"/>
        <v/>
      </c>
      <c r="AS255" t="str">
        <f t="shared" si="30"/>
        <v/>
      </c>
    </row>
    <row r="256" spans="1:45" x14ac:dyDescent="0.3">
      <c r="A256" s="231"/>
      <c r="B256" s="235"/>
      <c r="C256" s="214"/>
      <c r="D256" s="214"/>
      <c r="E256" s="214"/>
      <c r="F256" s="214"/>
      <c r="G256" s="222"/>
      <c r="H256" s="221"/>
      <c r="I256" s="213"/>
      <c r="J256" s="213"/>
      <c r="K256" s="215"/>
      <c r="L256" s="216"/>
      <c r="M256" s="217"/>
      <c r="N256" s="176"/>
      <c r="O256" s="241" t="str">
        <f>IF(Q256 = "", "", COUNT(Q$4:$Q256))</f>
        <v/>
      </c>
      <c r="P256" s="241" t="str">
        <f t="shared" si="28"/>
        <v/>
      </c>
      <c r="Q256" s="242" t="str">
        <f t="shared" si="29"/>
        <v/>
      </c>
      <c r="R256" s="243" t="str">
        <f t="shared" si="31"/>
        <v/>
      </c>
      <c r="S256" s="244" t="str">
        <f t="shared" si="32"/>
        <v/>
      </c>
      <c r="T256" s="245" t="str">
        <f t="shared" si="33"/>
        <v/>
      </c>
      <c r="U256" s="246" t="str">
        <f t="shared" si="34"/>
        <v/>
      </c>
      <c r="V256" s="8"/>
      <c r="AR256" t="str">
        <f t="shared" si="35"/>
        <v/>
      </c>
      <c r="AS256" t="str">
        <f t="shared" si="30"/>
        <v/>
      </c>
    </row>
    <row r="257" spans="1:45" x14ac:dyDescent="0.3">
      <c r="A257" s="231"/>
      <c r="B257" s="235"/>
      <c r="C257" s="214"/>
      <c r="D257" s="214"/>
      <c r="E257" s="214"/>
      <c r="F257" s="214"/>
      <c r="G257" s="222"/>
      <c r="H257" s="221"/>
      <c r="I257" s="213"/>
      <c r="J257" s="213"/>
      <c r="K257" s="215"/>
      <c r="L257" s="216"/>
      <c r="M257" s="217"/>
      <c r="N257" s="176"/>
      <c r="O257" s="241" t="str">
        <f>IF(Q257 = "", "", COUNT(Q$4:$Q257))</f>
        <v/>
      </c>
      <c r="P257" s="241" t="str">
        <f t="shared" si="28"/>
        <v/>
      </c>
      <c r="Q257" s="242" t="str">
        <f t="shared" si="29"/>
        <v/>
      </c>
      <c r="R257" s="243" t="str">
        <f t="shared" si="31"/>
        <v/>
      </c>
      <c r="S257" s="244" t="str">
        <f t="shared" si="32"/>
        <v/>
      </c>
      <c r="T257" s="245" t="str">
        <f t="shared" si="33"/>
        <v/>
      </c>
      <c r="U257" s="246" t="str">
        <f t="shared" si="34"/>
        <v/>
      </c>
      <c r="V257" s="8"/>
      <c r="AR257" t="str">
        <f t="shared" si="35"/>
        <v/>
      </c>
      <c r="AS257" t="str">
        <f t="shared" si="30"/>
        <v/>
      </c>
    </row>
    <row r="258" spans="1:45" x14ac:dyDescent="0.3">
      <c r="A258" s="231"/>
      <c r="B258" s="235"/>
      <c r="C258" s="214"/>
      <c r="D258" s="214"/>
      <c r="E258" s="214"/>
      <c r="F258" s="214"/>
      <c r="G258" s="222"/>
      <c r="H258" s="221"/>
      <c r="I258" s="213"/>
      <c r="J258" s="213"/>
      <c r="K258" s="215"/>
      <c r="L258" s="216"/>
      <c r="M258" s="217"/>
      <c r="N258" s="176"/>
      <c r="O258" s="241" t="str">
        <f>IF(Q258 = "", "", COUNT(Q$4:$Q258))</f>
        <v/>
      </c>
      <c r="P258" s="241" t="str">
        <f t="shared" si="28"/>
        <v/>
      </c>
      <c r="Q258" s="242" t="str">
        <f t="shared" si="29"/>
        <v/>
      </c>
      <c r="R258" s="243" t="str">
        <f t="shared" si="31"/>
        <v/>
      </c>
      <c r="S258" s="244" t="str">
        <f t="shared" si="32"/>
        <v/>
      </c>
      <c r="T258" s="245" t="str">
        <f t="shared" si="33"/>
        <v/>
      </c>
      <c r="U258" s="246" t="str">
        <f t="shared" si="34"/>
        <v/>
      </c>
      <c r="V258" s="8"/>
      <c r="AR258" t="str">
        <f t="shared" si="35"/>
        <v/>
      </c>
      <c r="AS258" t="str">
        <f t="shared" si="30"/>
        <v/>
      </c>
    </row>
    <row r="259" spans="1:45" x14ac:dyDescent="0.3">
      <c r="A259" s="231"/>
      <c r="B259" s="235"/>
      <c r="C259" s="214"/>
      <c r="D259" s="214"/>
      <c r="E259" s="214"/>
      <c r="F259" s="214"/>
      <c r="G259" s="222"/>
      <c r="H259" s="221"/>
      <c r="I259" s="213"/>
      <c r="J259" s="213"/>
      <c r="K259" s="215"/>
      <c r="L259" s="216"/>
      <c r="M259" s="217"/>
      <c r="N259" s="176"/>
      <c r="O259" s="241" t="str">
        <f>IF(Q259 = "", "", COUNT(Q$4:$Q259))</f>
        <v/>
      </c>
      <c r="P259" s="241" t="str">
        <f t="shared" si="28"/>
        <v/>
      </c>
      <c r="Q259" s="242" t="str">
        <f t="shared" si="29"/>
        <v/>
      </c>
      <c r="R259" s="243" t="str">
        <f t="shared" si="31"/>
        <v/>
      </c>
      <c r="S259" s="244" t="str">
        <f t="shared" si="32"/>
        <v/>
      </c>
      <c r="T259" s="245" t="str">
        <f t="shared" si="33"/>
        <v/>
      </c>
      <c r="U259" s="246" t="str">
        <f t="shared" si="34"/>
        <v/>
      </c>
      <c r="V259" s="8"/>
      <c r="AR259" t="str">
        <f t="shared" si="35"/>
        <v/>
      </c>
      <c r="AS259" t="str">
        <f t="shared" si="30"/>
        <v/>
      </c>
    </row>
    <row r="260" spans="1:45" x14ac:dyDescent="0.3">
      <c r="A260" s="231"/>
      <c r="B260" s="235"/>
      <c r="C260" s="214"/>
      <c r="D260" s="214"/>
      <c r="E260" s="214"/>
      <c r="F260" s="214"/>
      <c r="G260" s="222"/>
      <c r="H260" s="221"/>
      <c r="I260" s="213"/>
      <c r="J260" s="213"/>
      <c r="K260" s="215"/>
      <c r="L260" s="216"/>
      <c r="M260" s="217"/>
      <c r="N260" s="176"/>
      <c r="O260" s="241" t="str">
        <f>IF(Q260 = "", "", COUNT(Q$4:$Q260))</f>
        <v/>
      </c>
      <c r="P260" s="241" t="str">
        <f t="shared" ref="P260:P323" si="36">IF(C260 &gt; 0, YEAR(B260), "")</f>
        <v/>
      </c>
      <c r="Q260" s="242" t="str">
        <f t="shared" ref="Q260:Q323" si="37">IF(A260="", "", IF(G260="",1,IF(G260="O",1,IF(G260="C",8.4,IF(G260="B",8.4,IF(G260="A",76.8,IF(G260="K",76.8,"ERR")))))))</f>
        <v/>
      </c>
      <c r="R260" s="243" t="str">
        <f t="shared" si="31"/>
        <v/>
      </c>
      <c r="S260" s="244" t="str">
        <f t="shared" si="32"/>
        <v/>
      </c>
      <c r="T260" s="245" t="str">
        <f t="shared" si="33"/>
        <v/>
      </c>
      <c r="U260" s="246" t="str">
        <f t="shared" si="34"/>
        <v/>
      </c>
      <c r="V260" s="8"/>
      <c r="AR260" t="str">
        <f t="shared" si="35"/>
        <v/>
      </c>
      <c r="AS260" t="str">
        <f t="shared" ref="AS260:AS323" si="38">IF(OR(L260="Y",M260="Y"),"Y","")</f>
        <v/>
      </c>
    </row>
    <row r="261" spans="1:45" x14ac:dyDescent="0.3">
      <c r="A261" s="231"/>
      <c r="B261" s="235"/>
      <c r="C261" s="214"/>
      <c r="D261" s="214"/>
      <c r="E261" s="214"/>
      <c r="F261" s="214"/>
      <c r="G261" s="222"/>
      <c r="H261" s="221"/>
      <c r="I261" s="213"/>
      <c r="J261" s="213"/>
      <c r="K261" s="215"/>
      <c r="L261" s="216"/>
      <c r="M261" s="217"/>
      <c r="N261" s="176"/>
      <c r="O261" s="241" t="str">
        <f>IF(Q261 = "", "", COUNT(Q$4:$Q261))</f>
        <v/>
      </c>
      <c r="P261" s="241" t="str">
        <f t="shared" si="36"/>
        <v/>
      </c>
      <c r="Q261" s="242" t="str">
        <f t="shared" si="37"/>
        <v/>
      </c>
      <c r="R261" s="243" t="str">
        <f t="shared" ref="R261:R324" si="39">IF(L261&lt;&gt;"",Q261,"")</f>
        <v/>
      </c>
      <c r="S261" s="244" t="str">
        <f t="shared" ref="S261:S324" si="40">IF(IF(L261&lt;&gt;"",G261,"")=0, "O", IF(L261&lt;&gt;"",G261,""))</f>
        <v/>
      </c>
      <c r="T261" s="245" t="str">
        <f t="shared" ref="T261:T324" si="41">IF(M261&lt;&gt;"",Q261,"")</f>
        <v/>
      </c>
      <c r="U261" s="246" t="str">
        <f t="shared" ref="U261:U324" si="42">IF(IF(M261&lt;&gt;"",G261,"")=0, "O", IF(M261&lt;&gt;"",G261,""))</f>
        <v/>
      </c>
      <c r="V261" s="8"/>
      <c r="AR261" t="str">
        <f t="shared" ref="AR261:AR324" si="43">IF(O261&gt;0, O261, "")</f>
        <v/>
      </c>
      <c r="AS261" t="str">
        <f t="shared" si="38"/>
        <v/>
      </c>
    </row>
    <row r="262" spans="1:45" x14ac:dyDescent="0.3">
      <c r="A262" s="231"/>
      <c r="B262" s="235"/>
      <c r="C262" s="214"/>
      <c r="D262" s="214"/>
      <c r="E262" s="214"/>
      <c r="F262" s="214"/>
      <c r="G262" s="222"/>
      <c r="H262" s="221"/>
      <c r="I262" s="213"/>
      <c r="J262" s="213"/>
      <c r="K262" s="215"/>
      <c r="L262" s="216"/>
      <c r="M262" s="217"/>
      <c r="N262" s="176"/>
      <c r="O262" s="241" t="str">
        <f>IF(Q262 = "", "", COUNT(Q$4:$Q262))</f>
        <v/>
      </c>
      <c r="P262" s="241" t="str">
        <f t="shared" si="36"/>
        <v/>
      </c>
      <c r="Q262" s="242" t="str">
        <f t="shared" si="37"/>
        <v/>
      </c>
      <c r="R262" s="243" t="str">
        <f t="shared" si="39"/>
        <v/>
      </c>
      <c r="S262" s="244" t="str">
        <f t="shared" si="40"/>
        <v/>
      </c>
      <c r="T262" s="245" t="str">
        <f t="shared" si="41"/>
        <v/>
      </c>
      <c r="U262" s="246" t="str">
        <f t="shared" si="42"/>
        <v/>
      </c>
      <c r="V262" s="8"/>
      <c r="AR262" t="str">
        <f t="shared" si="43"/>
        <v/>
      </c>
      <c r="AS262" t="str">
        <f t="shared" si="38"/>
        <v/>
      </c>
    </row>
    <row r="263" spans="1:45" x14ac:dyDescent="0.3">
      <c r="A263" s="231"/>
      <c r="B263" s="235"/>
      <c r="C263" s="214"/>
      <c r="D263" s="214"/>
      <c r="E263" s="214"/>
      <c r="F263" s="214"/>
      <c r="G263" s="222"/>
      <c r="H263" s="221"/>
      <c r="I263" s="213"/>
      <c r="J263" s="213"/>
      <c r="K263" s="215"/>
      <c r="L263" s="216"/>
      <c r="M263" s="217"/>
      <c r="N263" s="176"/>
      <c r="O263" s="241" t="str">
        <f>IF(Q263 = "", "", COUNT(Q$4:$Q263))</f>
        <v/>
      </c>
      <c r="P263" s="241" t="str">
        <f t="shared" si="36"/>
        <v/>
      </c>
      <c r="Q263" s="242" t="str">
        <f t="shared" si="37"/>
        <v/>
      </c>
      <c r="R263" s="243" t="str">
        <f t="shared" si="39"/>
        <v/>
      </c>
      <c r="S263" s="244" t="str">
        <f t="shared" si="40"/>
        <v/>
      </c>
      <c r="T263" s="245" t="str">
        <f t="shared" si="41"/>
        <v/>
      </c>
      <c r="U263" s="246" t="str">
        <f t="shared" si="42"/>
        <v/>
      </c>
      <c r="V263" s="8"/>
      <c r="AR263" t="str">
        <f t="shared" si="43"/>
        <v/>
      </c>
      <c r="AS263" t="str">
        <f t="shared" si="38"/>
        <v/>
      </c>
    </row>
    <row r="264" spans="1:45" x14ac:dyDescent="0.3">
      <c r="A264" s="231"/>
      <c r="B264" s="235"/>
      <c r="C264" s="214"/>
      <c r="D264" s="214"/>
      <c r="E264" s="214"/>
      <c r="F264" s="214"/>
      <c r="G264" s="222"/>
      <c r="H264" s="221"/>
      <c r="I264" s="213"/>
      <c r="J264" s="213"/>
      <c r="K264" s="215"/>
      <c r="L264" s="216"/>
      <c r="M264" s="217"/>
      <c r="N264" s="176"/>
      <c r="O264" s="241" t="str">
        <f>IF(Q264 = "", "", COUNT(Q$4:$Q264))</f>
        <v/>
      </c>
      <c r="P264" s="241" t="str">
        <f t="shared" si="36"/>
        <v/>
      </c>
      <c r="Q264" s="242" t="str">
        <f t="shared" si="37"/>
        <v/>
      </c>
      <c r="R264" s="243" t="str">
        <f t="shared" si="39"/>
        <v/>
      </c>
      <c r="S264" s="244" t="str">
        <f t="shared" si="40"/>
        <v/>
      </c>
      <c r="T264" s="245" t="str">
        <f t="shared" si="41"/>
        <v/>
      </c>
      <c r="U264" s="246" t="str">
        <f t="shared" si="42"/>
        <v/>
      </c>
      <c r="V264" s="8"/>
      <c r="AR264" t="str">
        <f t="shared" si="43"/>
        <v/>
      </c>
      <c r="AS264" t="str">
        <f t="shared" si="38"/>
        <v/>
      </c>
    </row>
    <row r="265" spans="1:45" x14ac:dyDescent="0.3">
      <c r="A265" s="231"/>
      <c r="B265" s="235"/>
      <c r="C265" s="214"/>
      <c r="D265" s="214"/>
      <c r="E265" s="214"/>
      <c r="F265" s="214"/>
      <c r="G265" s="222"/>
      <c r="H265" s="221"/>
      <c r="I265" s="213"/>
      <c r="J265" s="213"/>
      <c r="K265" s="215"/>
      <c r="L265" s="216"/>
      <c r="M265" s="217"/>
      <c r="N265" s="176"/>
      <c r="O265" s="241" t="str">
        <f>IF(Q265 = "", "", COUNT(Q$4:$Q265))</f>
        <v/>
      </c>
      <c r="P265" s="241" t="str">
        <f t="shared" si="36"/>
        <v/>
      </c>
      <c r="Q265" s="242" t="str">
        <f t="shared" si="37"/>
        <v/>
      </c>
      <c r="R265" s="243" t="str">
        <f t="shared" si="39"/>
        <v/>
      </c>
      <c r="S265" s="244" t="str">
        <f t="shared" si="40"/>
        <v/>
      </c>
      <c r="T265" s="245" t="str">
        <f t="shared" si="41"/>
        <v/>
      </c>
      <c r="U265" s="246" t="str">
        <f t="shared" si="42"/>
        <v/>
      </c>
      <c r="V265" s="8"/>
      <c r="AR265" t="str">
        <f t="shared" si="43"/>
        <v/>
      </c>
      <c r="AS265" t="str">
        <f t="shared" si="38"/>
        <v/>
      </c>
    </row>
    <row r="266" spans="1:45" x14ac:dyDescent="0.3">
      <c r="A266" s="231"/>
      <c r="B266" s="235"/>
      <c r="C266" s="214"/>
      <c r="D266" s="214"/>
      <c r="E266" s="214"/>
      <c r="F266" s="214"/>
      <c r="G266" s="222"/>
      <c r="H266" s="221"/>
      <c r="I266" s="213"/>
      <c r="J266" s="213"/>
      <c r="K266" s="215"/>
      <c r="L266" s="216"/>
      <c r="M266" s="217"/>
      <c r="N266" s="176"/>
      <c r="O266" s="241" t="str">
        <f>IF(Q266 = "", "", COUNT(Q$4:$Q266))</f>
        <v/>
      </c>
      <c r="P266" s="241" t="str">
        <f t="shared" si="36"/>
        <v/>
      </c>
      <c r="Q266" s="242" t="str">
        <f t="shared" si="37"/>
        <v/>
      </c>
      <c r="R266" s="243" t="str">
        <f t="shared" si="39"/>
        <v/>
      </c>
      <c r="S266" s="244" t="str">
        <f t="shared" si="40"/>
        <v/>
      </c>
      <c r="T266" s="245" t="str">
        <f t="shared" si="41"/>
        <v/>
      </c>
      <c r="U266" s="246" t="str">
        <f t="shared" si="42"/>
        <v/>
      </c>
      <c r="V266" s="8"/>
      <c r="AR266" t="str">
        <f t="shared" si="43"/>
        <v/>
      </c>
      <c r="AS266" t="str">
        <f t="shared" si="38"/>
        <v/>
      </c>
    </row>
    <row r="267" spans="1:45" x14ac:dyDescent="0.3">
      <c r="A267" s="231"/>
      <c r="B267" s="235"/>
      <c r="C267" s="214"/>
      <c r="D267" s="214"/>
      <c r="E267" s="214"/>
      <c r="F267" s="214"/>
      <c r="G267" s="222"/>
      <c r="H267" s="221"/>
      <c r="I267" s="213"/>
      <c r="J267" s="213"/>
      <c r="K267" s="215"/>
      <c r="L267" s="216"/>
      <c r="M267" s="217"/>
      <c r="N267" s="176"/>
      <c r="O267" s="241" t="str">
        <f>IF(Q267 = "", "", COUNT(Q$4:$Q267))</f>
        <v/>
      </c>
      <c r="P267" s="241" t="str">
        <f t="shared" si="36"/>
        <v/>
      </c>
      <c r="Q267" s="242" t="str">
        <f t="shared" si="37"/>
        <v/>
      </c>
      <c r="R267" s="243" t="str">
        <f t="shared" si="39"/>
        <v/>
      </c>
      <c r="S267" s="244" t="str">
        <f t="shared" si="40"/>
        <v/>
      </c>
      <c r="T267" s="245" t="str">
        <f t="shared" si="41"/>
        <v/>
      </c>
      <c r="U267" s="246" t="str">
        <f t="shared" si="42"/>
        <v/>
      </c>
      <c r="V267" s="8"/>
      <c r="AR267" t="str">
        <f t="shared" si="43"/>
        <v/>
      </c>
      <c r="AS267" t="str">
        <f t="shared" si="38"/>
        <v/>
      </c>
    </row>
    <row r="268" spans="1:45" x14ac:dyDescent="0.3">
      <c r="A268" s="231"/>
      <c r="B268" s="235"/>
      <c r="C268" s="214"/>
      <c r="D268" s="214"/>
      <c r="E268" s="214"/>
      <c r="F268" s="214"/>
      <c r="G268" s="222"/>
      <c r="H268" s="221"/>
      <c r="I268" s="213"/>
      <c r="J268" s="213"/>
      <c r="K268" s="215"/>
      <c r="L268" s="216"/>
      <c r="M268" s="217"/>
      <c r="N268" s="176"/>
      <c r="O268" s="241" t="str">
        <f>IF(Q268 = "", "", COUNT(Q$4:$Q268))</f>
        <v/>
      </c>
      <c r="P268" s="241" t="str">
        <f t="shared" si="36"/>
        <v/>
      </c>
      <c r="Q268" s="242" t="str">
        <f t="shared" si="37"/>
        <v/>
      </c>
      <c r="R268" s="243" t="str">
        <f t="shared" si="39"/>
        <v/>
      </c>
      <c r="S268" s="244" t="str">
        <f t="shared" si="40"/>
        <v/>
      </c>
      <c r="T268" s="245" t="str">
        <f t="shared" si="41"/>
        <v/>
      </c>
      <c r="U268" s="246" t="str">
        <f t="shared" si="42"/>
        <v/>
      </c>
      <c r="V268" s="8"/>
      <c r="AR268" t="str">
        <f t="shared" si="43"/>
        <v/>
      </c>
      <c r="AS268" t="str">
        <f t="shared" si="38"/>
        <v/>
      </c>
    </row>
    <row r="269" spans="1:45" x14ac:dyDescent="0.3">
      <c r="A269" s="231"/>
      <c r="B269" s="235"/>
      <c r="C269" s="214"/>
      <c r="D269" s="214"/>
      <c r="E269" s="214"/>
      <c r="F269" s="214"/>
      <c r="G269" s="222"/>
      <c r="H269" s="221"/>
      <c r="I269" s="213"/>
      <c r="J269" s="213"/>
      <c r="K269" s="215"/>
      <c r="L269" s="216"/>
      <c r="M269" s="217"/>
      <c r="N269" s="176"/>
      <c r="O269" s="241" t="str">
        <f>IF(Q269 = "", "", COUNT(Q$4:$Q269))</f>
        <v/>
      </c>
      <c r="P269" s="241" t="str">
        <f t="shared" si="36"/>
        <v/>
      </c>
      <c r="Q269" s="242" t="str">
        <f t="shared" si="37"/>
        <v/>
      </c>
      <c r="R269" s="243" t="str">
        <f t="shared" si="39"/>
        <v/>
      </c>
      <c r="S269" s="244" t="str">
        <f t="shared" si="40"/>
        <v/>
      </c>
      <c r="T269" s="245" t="str">
        <f t="shared" si="41"/>
        <v/>
      </c>
      <c r="U269" s="246" t="str">
        <f t="shared" si="42"/>
        <v/>
      </c>
      <c r="V269" s="8"/>
      <c r="AR269" t="str">
        <f t="shared" si="43"/>
        <v/>
      </c>
      <c r="AS269" t="str">
        <f t="shared" si="38"/>
        <v/>
      </c>
    </row>
    <row r="270" spans="1:45" x14ac:dyDescent="0.3">
      <c r="A270" s="231"/>
      <c r="B270" s="235"/>
      <c r="C270" s="214"/>
      <c r="D270" s="214"/>
      <c r="E270" s="214"/>
      <c r="F270" s="214"/>
      <c r="G270" s="222"/>
      <c r="H270" s="221"/>
      <c r="I270" s="213"/>
      <c r="J270" s="213"/>
      <c r="K270" s="215"/>
      <c r="L270" s="216"/>
      <c r="M270" s="217"/>
      <c r="N270" s="176"/>
      <c r="O270" s="241" t="str">
        <f>IF(Q270 = "", "", COUNT(Q$4:$Q270))</f>
        <v/>
      </c>
      <c r="P270" s="241" t="str">
        <f t="shared" si="36"/>
        <v/>
      </c>
      <c r="Q270" s="242" t="str">
        <f t="shared" si="37"/>
        <v/>
      </c>
      <c r="R270" s="243" t="str">
        <f t="shared" si="39"/>
        <v/>
      </c>
      <c r="S270" s="244" t="str">
        <f t="shared" si="40"/>
        <v/>
      </c>
      <c r="T270" s="245" t="str">
        <f t="shared" si="41"/>
        <v/>
      </c>
      <c r="U270" s="246" t="str">
        <f t="shared" si="42"/>
        <v/>
      </c>
      <c r="V270" s="8"/>
      <c r="AR270" t="str">
        <f t="shared" si="43"/>
        <v/>
      </c>
      <c r="AS270" t="str">
        <f t="shared" si="38"/>
        <v/>
      </c>
    </row>
    <row r="271" spans="1:45" x14ac:dyDescent="0.3">
      <c r="A271" s="231"/>
      <c r="B271" s="235"/>
      <c r="C271" s="214"/>
      <c r="D271" s="214"/>
      <c r="E271" s="214"/>
      <c r="F271" s="214"/>
      <c r="G271" s="222"/>
      <c r="H271" s="221"/>
      <c r="I271" s="213"/>
      <c r="J271" s="213"/>
      <c r="K271" s="215"/>
      <c r="L271" s="216"/>
      <c r="M271" s="217"/>
      <c r="N271" s="176"/>
      <c r="O271" s="241" t="str">
        <f>IF(Q271 = "", "", COUNT(Q$4:$Q271))</f>
        <v/>
      </c>
      <c r="P271" s="241" t="str">
        <f t="shared" si="36"/>
        <v/>
      </c>
      <c r="Q271" s="242" t="str">
        <f t="shared" si="37"/>
        <v/>
      </c>
      <c r="R271" s="243" t="str">
        <f t="shared" si="39"/>
        <v/>
      </c>
      <c r="S271" s="244" t="str">
        <f t="shared" si="40"/>
        <v/>
      </c>
      <c r="T271" s="245" t="str">
        <f t="shared" si="41"/>
        <v/>
      </c>
      <c r="U271" s="246" t="str">
        <f t="shared" si="42"/>
        <v/>
      </c>
      <c r="V271" s="8"/>
      <c r="AR271" t="str">
        <f t="shared" si="43"/>
        <v/>
      </c>
      <c r="AS271" t="str">
        <f t="shared" si="38"/>
        <v/>
      </c>
    </row>
    <row r="272" spans="1:45" x14ac:dyDescent="0.3">
      <c r="A272" s="231"/>
      <c r="B272" s="235"/>
      <c r="C272" s="214"/>
      <c r="D272" s="214"/>
      <c r="E272" s="214"/>
      <c r="F272" s="214"/>
      <c r="G272" s="222"/>
      <c r="H272" s="221"/>
      <c r="I272" s="213"/>
      <c r="J272" s="213"/>
      <c r="K272" s="215"/>
      <c r="L272" s="216"/>
      <c r="M272" s="217"/>
      <c r="N272" s="176"/>
      <c r="O272" s="241" t="str">
        <f>IF(Q272 = "", "", COUNT(Q$4:$Q272))</f>
        <v/>
      </c>
      <c r="P272" s="241" t="str">
        <f t="shared" si="36"/>
        <v/>
      </c>
      <c r="Q272" s="242" t="str">
        <f t="shared" si="37"/>
        <v/>
      </c>
      <c r="R272" s="243" t="str">
        <f t="shared" si="39"/>
        <v/>
      </c>
      <c r="S272" s="244" t="str">
        <f t="shared" si="40"/>
        <v/>
      </c>
      <c r="T272" s="245" t="str">
        <f t="shared" si="41"/>
        <v/>
      </c>
      <c r="U272" s="246" t="str">
        <f t="shared" si="42"/>
        <v/>
      </c>
      <c r="V272" s="8"/>
      <c r="AR272" t="str">
        <f t="shared" si="43"/>
        <v/>
      </c>
      <c r="AS272" t="str">
        <f t="shared" si="38"/>
        <v/>
      </c>
    </row>
    <row r="273" spans="1:45" x14ac:dyDescent="0.3">
      <c r="A273" s="231"/>
      <c r="B273" s="235"/>
      <c r="C273" s="214"/>
      <c r="D273" s="214"/>
      <c r="E273" s="214"/>
      <c r="F273" s="214"/>
      <c r="G273" s="222"/>
      <c r="H273" s="221"/>
      <c r="I273" s="213"/>
      <c r="J273" s="213"/>
      <c r="K273" s="215"/>
      <c r="L273" s="216"/>
      <c r="M273" s="217"/>
      <c r="N273" s="176"/>
      <c r="O273" s="241" t="str">
        <f>IF(Q273 = "", "", COUNT(Q$4:$Q273))</f>
        <v/>
      </c>
      <c r="P273" s="241" t="str">
        <f t="shared" si="36"/>
        <v/>
      </c>
      <c r="Q273" s="242" t="str">
        <f t="shared" si="37"/>
        <v/>
      </c>
      <c r="R273" s="243" t="str">
        <f t="shared" si="39"/>
        <v/>
      </c>
      <c r="S273" s="244" t="str">
        <f t="shared" si="40"/>
        <v/>
      </c>
      <c r="T273" s="245" t="str">
        <f t="shared" si="41"/>
        <v/>
      </c>
      <c r="U273" s="246" t="str">
        <f t="shared" si="42"/>
        <v/>
      </c>
      <c r="V273" s="8"/>
      <c r="AR273" t="str">
        <f t="shared" si="43"/>
        <v/>
      </c>
      <c r="AS273" t="str">
        <f t="shared" si="38"/>
        <v/>
      </c>
    </row>
    <row r="274" spans="1:45" x14ac:dyDescent="0.3">
      <c r="A274" s="231"/>
      <c r="B274" s="235"/>
      <c r="C274" s="214"/>
      <c r="D274" s="214"/>
      <c r="E274" s="214"/>
      <c r="F274" s="214"/>
      <c r="G274" s="222"/>
      <c r="H274" s="221"/>
      <c r="I274" s="213"/>
      <c r="J274" s="213"/>
      <c r="K274" s="215"/>
      <c r="L274" s="216"/>
      <c r="M274" s="217"/>
      <c r="N274" s="176"/>
      <c r="O274" s="241" t="str">
        <f>IF(Q274 = "", "", COUNT(Q$4:$Q274))</f>
        <v/>
      </c>
      <c r="P274" s="241" t="str">
        <f t="shared" si="36"/>
        <v/>
      </c>
      <c r="Q274" s="242" t="str">
        <f t="shared" si="37"/>
        <v/>
      </c>
      <c r="R274" s="243" t="str">
        <f t="shared" si="39"/>
        <v/>
      </c>
      <c r="S274" s="244" t="str">
        <f t="shared" si="40"/>
        <v/>
      </c>
      <c r="T274" s="245" t="str">
        <f t="shared" si="41"/>
        <v/>
      </c>
      <c r="U274" s="246" t="str">
        <f t="shared" si="42"/>
        <v/>
      </c>
      <c r="V274" s="8"/>
      <c r="AR274" t="str">
        <f t="shared" si="43"/>
        <v/>
      </c>
      <c r="AS274" t="str">
        <f t="shared" si="38"/>
        <v/>
      </c>
    </row>
    <row r="275" spans="1:45" x14ac:dyDescent="0.3">
      <c r="A275" s="231"/>
      <c r="B275" s="235"/>
      <c r="C275" s="214"/>
      <c r="D275" s="214"/>
      <c r="E275" s="214"/>
      <c r="F275" s="214"/>
      <c r="G275" s="222"/>
      <c r="H275" s="221"/>
      <c r="I275" s="213"/>
      <c r="J275" s="213"/>
      <c r="K275" s="215"/>
      <c r="L275" s="216"/>
      <c r="M275" s="217"/>
      <c r="N275" s="176"/>
      <c r="O275" s="241" t="str">
        <f>IF(Q275 = "", "", COUNT(Q$4:$Q275))</f>
        <v/>
      </c>
      <c r="P275" s="241" t="str">
        <f t="shared" si="36"/>
        <v/>
      </c>
      <c r="Q275" s="242" t="str">
        <f t="shared" si="37"/>
        <v/>
      </c>
      <c r="R275" s="243" t="str">
        <f t="shared" si="39"/>
        <v/>
      </c>
      <c r="S275" s="244" t="str">
        <f t="shared" si="40"/>
        <v/>
      </c>
      <c r="T275" s="245" t="str">
        <f t="shared" si="41"/>
        <v/>
      </c>
      <c r="U275" s="246" t="str">
        <f t="shared" si="42"/>
        <v/>
      </c>
      <c r="V275" s="8"/>
      <c r="AR275" t="str">
        <f t="shared" si="43"/>
        <v/>
      </c>
      <c r="AS275" t="str">
        <f t="shared" si="38"/>
        <v/>
      </c>
    </row>
    <row r="276" spans="1:45" x14ac:dyDescent="0.3">
      <c r="A276" s="231"/>
      <c r="B276" s="235"/>
      <c r="C276" s="214"/>
      <c r="D276" s="214"/>
      <c r="E276" s="214"/>
      <c r="F276" s="214"/>
      <c r="G276" s="222"/>
      <c r="H276" s="221"/>
      <c r="I276" s="213"/>
      <c r="J276" s="213"/>
      <c r="K276" s="215"/>
      <c r="L276" s="216"/>
      <c r="M276" s="217"/>
      <c r="N276" s="176"/>
      <c r="O276" s="241" t="str">
        <f>IF(Q276 = "", "", COUNT(Q$4:$Q276))</f>
        <v/>
      </c>
      <c r="P276" s="241" t="str">
        <f t="shared" si="36"/>
        <v/>
      </c>
      <c r="Q276" s="242" t="str">
        <f t="shared" si="37"/>
        <v/>
      </c>
      <c r="R276" s="243" t="str">
        <f t="shared" si="39"/>
        <v/>
      </c>
      <c r="S276" s="244" t="str">
        <f t="shared" si="40"/>
        <v/>
      </c>
      <c r="T276" s="245" t="str">
        <f t="shared" si="41"/>
        <v/>
      </c>
      <c r="U276" s="246" t="str">
        <f t="shared" si="42"/>
        <v/>
      </c>
      <c r="V276" s="8"/>
      <c r="AR276" t="str">
        <f t="shared" si="43"/>
        <v/>
      </c>
      <c r="AS276" t="str">
        <f t="shared" si="38"/>
        <v/>
      </c>
    </row>
    <row r="277" spans="1:45" x14ac:dyDescent="0.3">
      <c r="A277" s="231"/>
      <c r="B277" s="235"/>
      <c r="C277" s="214"/>
      <c r="D277" s="214"/>
      <c r="E277" s="214"/>
      <c r="F277" s="214"/>
      <c r="G277" s="222"/>
      <c r="H277" s="221"/>
      <c r="I277" s="213"/>
      <c r="J277" s="213"/>
      <c r="K277" s="215"/>
      <c r="L277" s="216"/>
      <c r="M277" s="217"/>
      <c r="N277" s="176"/>
      <c r="O277" s="241" t="str">
        <f>IF(Q277 = "", "", COUNT(Q$4:$Q277))</f>
        <v/>
      </c>
      <c r="P277" s="241" t="str">
        <f t="shared" si="36"/>
        <v/>
      </c>
      <c r="Q277" s="242" t="str">
        <f t="shared" si="37"/>
        <v/>
      </c>
      <c r="R277" s="243" t="str">
        <f t="shared" si="39"/>
        <v/>
      </c>
      <c r="S277" s="244" t="str">
        <f t="shared" si="40"/>
        <v/>
      </c>
      <c r="T277" s="245" t="str">
        <f t="shared" si="41"/>
        <v/>
      </c>
      <c r="U277" s="246" t="str">
        <f t="shared" si="42"/>
        <v/>
      </c>
      <c r="V277" s="8"/>
      <c r="AR277" t="str">
        <f t="shared" si="43"/>
        <v/>
      </c>
      <c r="AS277" t="str">
        <f t="shared" si="38"/>
        <v/>
      </c>
    </row>
    <row r="278" spans="1:45" x14ac:dyDescent="0.3">
      <c r="A278" s="231"/>
      <c r="B278" s="235"/>
      <c r="C278" s="214"/>
      <c r="D278" s="214"/>
      <c r="E278" s="214"/>
      <c r="F278" s="214"/>
      <c r="G278" s="222"/>
      <c r="H278" s="221"/>
      <c r="I278" s="213"/>
      <c r="J278" s="213"/>
      <c r="K278" s="215"/>
      <c r="L278" s="216"/>
      <c r="M278" s="217"/>
      <c r="N278" s="176"/>
      <c r="O278" s="241" t="str">
        <f>IF(Q278 = "", "", COUNT(Q$4:$Q278))</f>
        <v/>
      </c>
      <c r="P278" s="241" t="str">
        <f t="shared" si="36"/>
        <v/>
      </c>
      <c r="Q278" s="242" t="str">
        <f t="shared" si="37"/>
        <v/>
      </c>
      <c r="R278" s="243" t="str">
        <f t="shared" si="39"/>
        <v/>
      </c>
      <c r="S278" s="244" t="str">
        <f t="shared" si="40"/>
        <v/>
      </c>
      <c r="T278" s="245" t="str">
        <f t="shared" si="41"/>
        <v/>
      </c>
      <c r="U278" s="246" t="str">
        <f t="shared" si="42"/>
        <v/>
      </c>
      <c r="V278" s="8"/>
      <c r="AR278" t="str">
        <f t="shared" si="43"/>
        <v/>
      </c>
      <c r="AS278" t="str">
        <f t="shared" si="38"/>
        <v/>
      </c>
    </row>
    <row r="279" spans="1:45" x14ac:dyDescent="0.3">
      <c r="A279" s="231"/>
      <c r="B279" s="235"/>
      <c r="C279" s="214"/>
      <c r="D279" s="214"/>
      <c r="E279" s="214"/>
      <c r="F279" s="214"/>
      <c r="G279" s="222"/>
      <c r="H279" s="221"/>
      <c r="I279" s="213"/>
      <c r="J279" s="213"/>
      <c r="K279" s="215"/>
      <c r="L279" s="216"/>
      <c r="M279" s="217"/>
      <c r="N279" s="176"/>
      <c r="O279" s="241" t="str">
        <f>IF(Q279 = "", "", COUNT(Q$4:$Q279))</f>
        <v/>
      </c>
      <c r="P279" s="241" t="str">
        <f t="shared" si="36"/>
        <v/>
      </c>
      <c r="Q279" s="242" t="str">
        <f t="shared" si="37"/>
        <v/>
      </c>
      <c r="R279" s="243" t="str">
        <f t="shared" si="39"/>
        <v/>
      </c>
      <c r="S279" s="244" t="str">
        <f t="shared" si="40"/>
        <v/>
      </c>
      <c r="T279" s="245" t="str">
        <f t="shared" si="41"/>
        <v/>
      </c>
      <c r="U279" s="246" t="str">
        <f t="shared" si="42"/>
        <v/>
      </c>
      <c r="V279" s="8"/>
      <c r="AR279" t="str">
        <f t="shared" si="43"/>
        <v/>
      </c>
      <c r="AS279" t="str">
        <f t="shared" si="38"/>
        <v/>
      </c>
    </row>
    <row r="280" spans="1:45" x14ac:dyDescent="0.3">
      <c r="A280" s="231"/>
      <c r="B280" s="235"/>
      <c r="C280" s="214"/>
      <c r="D280" s="214"/>
      <c r="E280" s="214"/>
      <c r="F280" s="214"/>
      <c r="G280" s="222"/>
      <c r="H280" s="221"/>
      <c r="I280" s="213"/>
      <c r="J280" s="213"/>
      <c r="K280" s="215"/>
      <c r="L280" s="216"/>
      <c r="M280" s="217"/>
      <c r="N280" s="176"/>
      <c r="O280" s="241" t="str">
        <f>IF(Q280 = "", "", COUNT(Q$4:$Q280))</f>
        <v/>
      </c>
      <c r="P280" s="241" t="str">
        <f t="shared" si="36"/>
        <v/>
      </c>
      <c r="Q280" s="242" t="str">
        <f t="shared" si="37"/>
        <v/>
      </c>
      <c r="R280" s="243" t="str">
        <f t="shared" si="39"/>
        <v/>
      </c>
      <c r="S280" s="244" t="str">
        <f t="shared" si="40"/>
        <v/>
      </c>
      <c r="T280" s="245" t="str">
        <f t="shared" si="41"/>
        <v/>
      </c>
      <c r="U280" s="246" t="str">
        <f t="shared" si="42"/>
        <v/>
      </c>
      <c r="V280" s="8"/>
      <c r="AR280" t="str">
        <f t="shared" si="43"/>
        <v/>
      </c>
      <c r="AS280" t="str">
        <f t="shared" si="38"/>
        <v/>
      </c>
    </row>
    <row r="281" spans="1:45" x14ac:dyDescent="0.3">
      <c r="A281" s="231"/>
      <c r="B281" s="235"/>
      <c r="C281" s="214"/>
      <c r="D281" s="214"/>
      <c r="E281" s="214"/>
      <c r="F281" s="214"/>
      <c r="G281" s="222"/>
      <c r="H281" s="221"/>
      <c r="I281" s="213"/>
      <c r="J281" s="213"/>
      <c r="K281" s="215"/>
      <c r="L281" s="216"/>
      <c r="M281" s="217"/>
      <c r="N281" s="176"/>
      <c r="O281" s="241" t="str">
        <f>IF(Q281 = "", "", COUNT(Q$4:$Q281))</f>
        <v/>
      </c>
      <c r="P281" s="241" t="str">
        <f t="shared" si="36"/>
        <v/>
      </c>
      <c r="Q281" s="242" t="str">
        <f t="shared" si="37"/>
        <v/>
      </c>
      <c r="R281" s="243" t="str">
        <f t="shared" si="39"/>
        <v/>
      </c>
      <c r="S281" s="244" t="str">
        <f t="shared" si="40"/>
        <v/>
      </c>
      <c r="T281" s="245" t="str">
        <f t="shared" si="41"/>
        <v/>
      </c>
      <c r="U281" s="246" t="str">
        <f t="shared" si="42"/>
        <v/>
      </c>
      <c r="V281" s="8"/>
      <c r="AR281" t="str">
        <f t="shared" si="43"/>
        <v/>
      </c>
      <c r="AS281" t="str">
        <f t="shared" si="38"/>
        <v/>
      </c>
    </row>
    <row r="282" spans="1:45" x14ac:dyDescent="0.3">
      <c r="A282" s="231"/>
      <c r="B282" s="235"/>
      <c r="C282" s="214"/>
      <c r="D282" s="214"/>
      <c r="E282" s="214"/>
      <c r="F282" s="214"/>
      <c r="G282" s="222"/>
      <c r="H282" s="221"/>
      <c r="I282" s="213"/>
      <c r="J282" s="213"/>
      <c r="K282" s="215"/>
      <c r="L282" s="216"/>
      <c r="M282" s="217"/>
      <c r="N282" s="176"/>
      <c r="O282" s="241" t="str">
        <f>IF(Q282 = "", "", COUNT(Q$4:$Q282))</f>
        <v/>
      </c>
      <c r="P282" s="241" t="str">
        <f t="shared" si="36"/>
        <v/>
      </c>
      <c r="Q282" s="242" t="str">
        <f t="shared" si="37"/>
        <v/>
      </c>
      <c r="R282" s="243" t="str">
        <f t="shared" si="39"/>
        <v/>
      </c>
      <c r="S282" s="244" t="str">
        <f t="shared" si="40"/>
        <v/>
      </c>
      <c r="T282" s="245" t="str">
        <f t="shared" si="41"/>
        <v/>
      </c>
      <c r="U282" s="246" t="str">
        <f t="shared" si="42"/>
        <v/>
      </c>
      <c r="V282" s="8"/>
      <c r="AR282" t="str">
        <f t="shared" si="43"/>
        <v/>
      </c>
      <c r="AS282" t="str">
        <f t="shared" si="38"/>
        <v/>
      </c>
    </row>
    <row r="283" spans="1:45" x14ac:dyDescent="0.3">
      <c r="A283" s="231"/>
      <c r="B283" s="235"/>
      <c r="C283" s="214"/>
      <c r="D283" s="214"/>
      <c r="E283" s="214"/>
      <c r="F283" s="214"/>
      <c r="G283" s="222"/>
      <c r="H283" s="221"/>
      <c r="I283" s="213"/>
      <c r="J283" s="213"/>
      <c r="K283" s="215"/>
      <c r="L283" s="216"/>
      <c r="M283" s="217"/>
      <c r="N283" s="176"/>
      <c r="O283" s="241" t="str">
        <f>IF(Q283 = "", "", COUNT(Q$4:$Q283))</f>
        <v/>
      </c>
      <c r="P283" s="241" t="str">
        <f t="shared" si="36"/>
        <v/>
      </c>
      <c r="Q283" s="242" t="str">
        <f t="shared" si="37"/>
        <v/>
      </c>
      <c r="R283" s="243" t="str">
        <f t="shared" si="39"/>
        <v/>
      </c>
      <c r="S283" s="244" t="str">
        <f t="shared" si="40"/>
        <v/>
      </c>
      <c r="T283" s="245" t="str">
        <f t="shared" si="41"/>
        <v/>
      </c>
      <c r="U283" s="246" t="str">
        <f t="shared" si="42"/>
        <v/>
      </c>
      <c r="V283" s="8"/>
      <c r="AR283" t="str">
        <f t="shared" si="43"/>
        <v/>
      </c>
      <c r="AS283" t="str">
        <f t="shared" si="38"/>
        <v/>
      </c>
    </row>
    <row r="284" spans="1:45" x14ac:dyDescent="0.3">
      <c r="A284" s="231"/>
      <c r="B284" s="235"/>
      <c r="C284" s="214"/>
      <c r="D284" s="214"/>
      <c r="E284" s="214"/>
      <c r="F284" s="214"/>
      <c r="G284" s="222"/>
      <c r="H284" s="221"/>
      <c r="I284" s="213"/>
      <c r="J284" s="213"/>
      <c r="K284" s="215"/>
      <c r="L284" s="216"/>
      <c r="M284" s="217"/>
      <c r="N284" s="176"/>
      <c r="O284" s="241" t="str">
        <f>IF(Q284 = "", "", COUNT(Q$4:$Q284))</f>
        <v/>
      </c>
      <c r="P284" s="241" t="str">
        <f t="shared" si="36"/>
        <v/>
      </c>
      <c r="Q284" s="242" t="str">
        <f t="shared" si="37"/>
        <v/>
      </c>
      <c r="R284" s="243" t="str">
        <f t="shared" si="39"/>
        <v/>
      </c>
      <c r="S284" s="244" t="str">
        <f t="shared" si="40"/>
        <v/>
      </c>
      <c r="T284" s="245" t="str">
        <f t="shared" si="41"/>
        <v/>
      </c>
      <c r="U284" s="246" t="str">
        <f t="shared" si="42"/>
        <v/>
      </c>
      <c r="V284" s="8"/>
      <c r="AR284" t="str">
        <f t="shared" si="43"/>
        <v/>
      </c>
      <c r="AS284" t="str">
        <f t="shared" si="38"/>
        <v/>
      </c>
    </row>
    <row r="285" spans="1:45" x14ac:dyDescent="0.3">
      <c r="A285" s="231"/>
      <c r="B285" s="235"/>
      <c r="C285" s="214"/>
      <c r="D285" s="214"/>
      <c r="E285" s="214"/>
      <c r="F285" s="214"/>
      <c r="G285" s="222"/>
      <c r="H285" s="221"/>
      <c r="I285" s="213"/>
      <c r="J285" s="213"/>
      <c r="K285" s="215"/>
      <c r="L285" s="216"/>
      <c r="M285" s="217"/>
      <c r="N285" s="176"/>
      <c r="O285" s="241" t="str">
        <f>IF(Q285 = "", "", COUNT(Q$4:$Q285))</f>
        <v/>
      </c>
      <c r="P285" s="241" t="str">
        <f t="shared" si="36"/>
        <v/>
      </c>
      <c r="Q285" s="242" t="str">
        <f t="shared" si="37"/>
        <v/>
      </c>
      <c r="R285" s="243" t="str">
        <f t="shared" si="39"/>
        <v/>
      </c>
      <c r="S285" s="244" t="str">
        <f t="shared" si="40"/>
        <v/>
      </c>
      <c r="T285" s="245" t="str">
        <f t="shared" si="41"/>
        <v/>
      </c>
      <c r="U285" s="246" t="str">
        <f t="shared" si="42"/>
        <v/>
      </c>
      <c r="V285" s="8"/>
      <c r="AR285" t="str">
        <f t="shared" si="43"/>
        <v/>
      </c>
      <c r="AS285" t="str">
        <f t="shared" si="38"/>
        <v/>
      </c>
    </row>
    <row r="286" spans="1:45" x14ac:dyDescent="0.3">
      <c r="A286" s="231"/>
      <c r="B286" s="235"/>
      <c r="C286" s="214"/>
      <c r="D286" s="214"/>
      <c r="E286" s="214"/>
      <c r="F286" s="214"/>
      <c r="G286" s="222"/>
      <c r="H286" s="221"/>
      <c r="I286" s="213"/>
      <c r="J286" s="213"/>
      <c r="K286" s="215"/>
      <c r="L286" s="216"/>
      <c r="M286" s="217"/>
      <c r="N286" s="176"/>
      <c r="O286" s="241" t="str">
        <f>IF(Q286 = "", "", COUNT(Q$4:$Q286))</f>
        <v/>
      </c>
      <c r="P286" s="241" t="str">
        <f t="shared" si="36"/>
        <v/>
      </c>
      <c r="Q286" s="242" t="str">
        <f t="shared" si="37"/>
        <v/>
      </c>
      <c r="R286" s="243" t="str">
        <f t="shared" si="39"/>
        <v/>
      </c>
      <c r="S286" s="244" t="str">
        <f t="shared" si="40"/>
        <v/>
      </c>
      <c r="T286" s="245" t="str">
        <f t="shared" si="41"/>
        <v/>
      </c>
      <c r="U286" s="246" t="str">
        <f t="shared" si="42"/>
        <v/>
      </c>
      <c r="V286" s="8"/>
      <c r="AR286" t="str">
        <f t="shared" si="43"/>
        <v/>
      </c>
      <c r="AS286" t="str">
        <f t="shared" si="38"/>
        <v/>
      </c>
    </row>
    <row r="287" spans="1:45" x14ac:dyDescent="0.3">
      <c r="A287" s="231"/>
      <c r="B287" s="235"/>
      <c r="C287" s="214"/>
      <c r="D287" s="214"/>
      <c r="E287" s="214"/>
      <c r="F287" s="214"/>
      <c r="G287" s="222"/>
      <c r="H287" s="221"/>
      <c r="I287" s="213"/>
      <c r="J287" s="213"/>
      <c r="K287" s="215"/>
      <c r="L287" s="216"/>
      <c r="M287" s="217"/>
      <c r="N287" s="176"/>
      <c r="O287" s="241" t="str">
        <f>IF(Q287 = "", "", COUNT(Q$4:$Q287))</f>
        <v/>
      </c>
      <c r="P287" s="241" t="str">
        <f t="shared" si="36"/>
        <v/>
      </c>
      <c r="Q287" s="242" t="str">
        <f t="shared" si="37"/>
        <v/>
      </c>
      <c r="R287" s="243" t="str">
        <f t="shared" si="39"/>
        <v/>
      </c>
      <c r="S287" s="244" t="str">
        <f t="shared" si="40"/>
        <v/>
      </c>
      <c r="T287" s="245" t="str">
        <f t="shared" si="41"/>
        <v/>
      </c>
      <c r="U287" s="246" t="str">
        <f t="shared" si="42"/>
        <v/>
      </c>
      <c r="V287" s="8"/>
      <c r="AR287" t="str">
        <f t="shared" si="43"/>
        <v/>
      </c>
      <c r="AS287" t="str">
        <f t="shared" si="38"/>
        <v/>
      </c>
    </row>
    <row r="288" spans="1:45" x14ac:dyDescent="0.3">
      <c r="A288" s="231"/>
      <c r="B288" s="235"/>
      <c r="C288" s="214"/>
      <c r="D288" s="214"/>
      <c r="E288" s="214"/>
      <c r="F288" s="214"/>
      <c r="G288" s="222"/>
      <c r="H288" s="221"/>
      <c r="I288" s="213"/>
      <c r="J288" s="213"/>
      <c r="K288" s="215"/>
      <c r="L288" s="216"/>
      <c r="M288" s="217"/>
      <c r="N288" s="176"/>
      <c r="O288" s="241" t="str">
        <f>IF(Q288 = "", "", COUNT(Q$4:$Q288))</f>
        <v/>
      </c>
      <c r="P288" s="241" t="str">
        <f t="shared" si="36"/>
        <v/>
      </c>
      <c r="Q288" s="242" t="str">
        <f t="shared" si="37"/>
        <v/>
      </c>
      <c r="R288" s="243" t="str">
        <f t="shared" si="39"/>
        <v/>
      </c>
      <c r="S288" s="244" t="str">
        <f t="shared" si="40"/>
        <v/>
      </c>
      <c r="T288" s="245" t="str">
        <f t="shared" si="41"/>
        <v/>
      </c>
      <c r="U288" s="246" t="str">
        <f t="shared" si="42"/>
        <v/>
      </c>
      <c r="V288" s="8"/>
      <c r="AR288" t="str">
        <f t="shared" si="43"/>
        <v/>
      </c>
      <c r="AS288" t="str">
        <f t="shared" si="38"/>
        <v/>
      </c>
    </row>
    <row r="289" spans="1:45" x14ac:dyDescent="0.3">
      <c r="A289" s="231"/>
      <c r="B289" s="235"/>
      <c r="C289" s="214"/>
      <c r="D289" s="214"/>
      <c r="E289" s="214"/>
      <c r="F289" s="214"/>
      <c r="G289" s="222"/>
      <c r="H289" s="221"/>
      <c r="I289" s="213"/>
      <c r="J289" s="213"/>
      <c r="K289" s="215"/>
      <c r="L289" s="216"/>
      <c r="M289" s="217"/>
      <c r="N289" s="176"/>
      <c r="O289" s="241" t="str">
        <f>IF(Q289 = "", "", COUNT(Q$4:$Q289))</f>
        <v/>
      </c>
      <c r="P289" s="241" t="str">
        <f t="shared" si="36"/>
        <v/>
      </c>
      <c r="Q289" s="242" t="str">
        <f t="shared" si="37"/>
        <v/>
      </c>
      <c r="R289" s="243" t="str">
        <f t="shared" si="39"/>
        <v/>
      </c>
      <c r="S289" s="244" t="str">
        <f t="shared" si="40"/>
        <v/>
      </c>
      <c r="T289" s="245" t="str">
        <f t="shared" si="41"/>
        <v/>
      </c>
      <c r="U289" s="246" t="str">
        <f t="shared" si="42"/>
        <v/>
      </c>
      <c r="V289" s="8"/>
      <c r="AR289" t="str">
        <f t="shared" si="43"/>
        <v/>
      </c>
      <c r="AS289" t="str">
        <f t="shared" si="38"/>
        <v/>
      </c>
    </row>
    <row r="290" spans="1:45" x14ac:dyDescent="0.3">
      <c r="A290" s="231"/>
      <c r="B290" s="235"/>
      <c r="C290" s="214"/>
      <c r="D290" s="214"/>
      <c r="E290" s="214"/>
      <c r="F290" s="214"/>
      <c r="G290" s="222"/>
      <c r="H290" s="221"/>
      <c r="I290" s="213"/>
      <c r="J290" s="213"/>
      <c r="K290" s="215"/>
      <c r="L290" s="216"/>
      <c r="M290" s="217"/>
      <c r="N290" s="176"/>
      <c r="O290" s="241" t="str">
        <f>IF(Q290 = "", "", COUNT(Q$4:$Q290))</f>
        <v/>
      </c>
      <c r="P290" s="241" t="str">
        <f t="shared" si="36"/>
        <v/>
      </c>
      <c r="Q290" s="242" t="str">
        <f t="shared" si="37"/>
        <v/>
      </c>
      <c r="R290" s="243" t="str">
        <f t="shared" si="39"/>
        <v/>
      </c>
      <c r="S290" s="244" t="str">
        <f t="shared" si="40"/>
        <v/>
      </c>
      <c r="T290" s="245" t="str">
        <f t="shared" si="41"/>
        <v/>
      </c>
      <c r="U290" s="246" t="str">
        <f t="shared" si="42"/>
        <v/>
      </c>
      <c r="V290" s="8"/>
      <c r="AR290" t="str">
        <f t="shared" si="43"/>
        <v/>
      </c>
      <c r="AS290" t="str">
        <f t="shared" si="38"/>
        <v/>
      </c>
    </row>
    <row r="291" spans="1:45" x14ac:dyDescent="0.3">
      <c r="A291" s="231"/>
      <c r="B291" s="235"/>
      <c r="C291" s="214"/>
      <c r="D291" s="214"/>
      <c r="E291" s="214"/>
      <c r="F291" s="214"/>
      <c r="G291" s="222"/>
      <c r="H291" s="221"/>
      <c r="I291" s="213"/>
      <c r="J291" s="213"/>
      <c r="K291" s="215"/>
      <c r="L291" s="216"/>
      <c r="M291" s="217"/>
      <c r="N291" s="176"/>
      <c r="O291" s="241" t="str">
        <f>IF(Q291 = "", "", COUNT(Q$4:$Q291))</f>
        <v/>
      </c>
      <c r="P291" s="241" t="str">
        <f t="shared" si="36"/>
        <v/>
      </c>
      <c r="Q291" s="242" t="str">
        <f t="shared" si="37"/>
        <v/>
      </c>
      <c r="R291" s="243" t="str">
        <f t="shared" si="39"/>
        <v/>
      </c>
      <c r="S291" s="244" t="str">
        <f t="shared" si="40"/>
        <v/>
      </c>
      <c r="T291" s="245" t="str">
        <f t="shared" si="41"/>
        <v/>
      </c>
      <c r="U291" s="246" t="str">
        <f t="shared" si="42"/>
        <v/>
      </c>
      <c r="V291" s="8"/>
      <c r="AR291" t="str">
        <f t="shared" si="43"/>
        <v/>
      </c>
      <c r="AS291" t="str">
        <f t="shared" si="38"/>
        <v/>
      </c>
    </row>
    <row r="292" spans="1:45" x14ac:dyDescent="0.3">
      <c r="A292" s="231"/>
      <c r="B292" s="235"/>
      <c r="C292" s="214"/>
      <c r="D292" s="214"/>
      <c r="E292" s="214"/>
      <c r="F292" s="214"/>
      <c r="G292" s="222"/>
      <c r="H292" s="221"/>
      <c r="I292" s="213"/>
      <c r="J292" s="213"/>
      <c r="K292" s="215"/>
      <c r="L292" s="216"/>
      <c r="M292" s="217"/>
      <c r="N292" s="176"/>
      <c r="O292" s="241" t="str">
        <f>IF(Q292 = "", "", COUNT(Q$4:$Q292))</f>
        <v/>
      </c>
      <c r="P292" s="241" t="str">
        <f t="shared" si="36"/>
        <v/>
      </c>
      <c r="Q292" s="242" t="str">
        <f t="shared" si="37"/>
        <v/>
      </c>
      <c r="R292" s="243" t="str">
        <f t="shared" si="39"/>
        <v/>
      </c>
      <c r="S292" s="244" t="str">
        <f t="shared" si="40"/>
        <v/>
      </c>
      <c r="T292" s="245" t="str">
        <f t="shared" si="41"/>
        <v/>
      </c>
      <c r="U292" s="246" t="str">
        <f t="shared" si="42"/>
        <v/>
      </c>
      <c r="V292" s="8"/>
      <c r="AR292" t="str">
        <f t="shared" si="43"/>
        <v/>
      </c>
      <c r="AS292" t="str">
        <f t="shared" si="38"/>
        <v/>
      </c>
    </row>
    <row r="293" spans="1:45" x14ac:dyDescent="0.3">
      <c r="A293" s="231"/>
      <c r="B293" s="235"/>
      <c r="C293" s="214"/>
      <c r="D293" s="214"/>
      <c r="E293" s="214"/>
      <c r="F293" s="214"/>
      <c r="G293" s="222"/>
      <c r="H293" s="221"/>
      <c r="I293" s="213"/>
      <c r="J293" s="213"/>
      <c r="K293" s="215"/>
      <c r="L293" s="216"/>
      <c r="M293" s="217"/>
      <c r="N293" s="176"/>
      <c r="O293" s="241" t="str">
        <f>IF(Q293 = "", "", COUNT(Q$4:$Q293))</f>
        <v/>
      </c>
      <c r="P293" s="241" t="str">
        <f t="shared" si="36"/>
        <v/>
      </c>
      <c r="Q293" s="242" t="str">
        <f t="shared" si="37"/>
        <v/>
      </c>
      <c r="R293" s="243" t="str">
        <f t="shared" si="39"/>
        <v/>
      </c>
      <c r="S293" s="244" t="str">
        <f t="shared" si="40"/>
        <v/>
      </c>
      <c r="T293" s="245" t="str">
        <f t="shared" si="41"/>
        <v/>
      </c>
      <c r="U293" s="246" t="str">
        <f t="shared" si="42"/>
        <v/>
      </c>
      <c r="V293" s="8"/>
      <c r="AR293" t="str">
        <f t="shared" si="43"/>
        <v/>
      </c>
      <c r="AS293" t="str">
        <f t="shared" si="38"/>
        <v/>
      </c>
    </row>
    <row r="294" spans="1:45" x14ac:dyDescent="0.3">
      <c r="A294" s="231"/>
      <c r="B294" s="235"/>
      <c r="C294" s="214"/>
      <c r="D294" s="214"/>
      <c r="E294" s="214"/>
      <c r="F294" s="214"/>
      <c r="G294" s="222"/>
      <c r="H294" s="221"/>
      <c r="I294" s="213"/>
      <c r="J294" s="213"/>
      <c r="K294" s="215"/>
      <c r="L294" s="216"/>
      <c r="M294" s="217"/>
      <c r="N294" s="176"/>
      <c r="O294" s="241" t="str">
        <f>IF(Q294 = "", "", COUNT(Q$4:$Q294))</f>
        <v/>
      </c>
      <c r="P294" s="241" t="str">
        <f t="shared" si="36"/>
        <v/>
      </c>
      <c r="Q294" s="242" t="str">
        <f t="shared" si="37"/>
        <v/>
      </c>
      <c r="R294" s="243" t="str">
        <f t="shared" si="39"/>
        <v/>
      </c>
      <c r="S294" s="244" t="str">
        <f t="shared" si="40"/>
        <v/>
      </c>
      <c r="T294" s="245" t="str">
        <f t="shared" si="41"/>
        <v/>
      </c>
      <c r="U294" s="246" t="str">
        <f t="shared" si="42"/>
        <v/>
      </c>
      <c r="V294" s="8"/>
      <c r="AR294" t="str">
        <f t="shared" si="43"/>
        <v/>
      </c>
      <c r="AS294" t="str">
        <f t="shared" si="38"/>
        <v/>
      </c>
    </row>
    <row r="295" spans="1:45" x14ac:dyDescent="0.3">
      <c r="A295" s="231"/>
      <c r="B295" s="235"/>
      <c r="C295" s="214"/>
      <c r="D295" s="214"/>
      <c r="E295" s="214"/>
      <c r="F295" s="214"/>
      <c r="G295" s="222"/>
      <c r="H295" s="221"/>
      <c r="I295" s="213"/>
      <c r="J295" s="213"/>
      <c r="K295" s="215"/>
      <c r="L295" s="216"/>
      <c r="M295" s="217"/>
      <c r="N295" s="176"/>
      <c r="O295" s="241" t="str">
        <f>IF(Q295 = "", "", COUNT(Q$4:$Q295))</f>
        <v/>
      </c>
      <c r="P295" s="241" t="str">
        <f t="shared" si="36"/>
        <v/>
      </c>
      <c r="Q295" s="242" t="str">
        <f t="shared" si="37"/>
        <v/>
      </c>
      <c r="R295" s="243" t="str">
        <f t="shared" si="39"/>
        <v/>
      </c>
      <c r="S295" s="244" t="str">
        <f t="shared" si="40"/>
        <v/>
      </c>
      <c r="T295" s="245" t="str">
        <f t="shared" si="41"/>
        <v/>
      </c>
      <c r="U295" s="246" t="str">
        <f t="shared" si="42"/>
        <v/>
      </c>
      <c r="V295" s="8"/>
      <c r="AR295" t="str">
        <f t="shared" si="43"/>
        <v/>
      </c>
      <c r="AS295" t="str">
        <f t="shared" si="38"/>
        <v/>
      </c>
    </row>
    <row r="296" spans="1:45" x14ac:dyDescent="0.3">
      <c r="A296" s="231"/>
      <c r="B296" s="235"/>
      <c r="C296" s="214"/>
      <c r="D296" s="214"/>
      <c r="E296" s="214"/>
      <c r="F296" s="214"/>
      <c r="G296" s="222"/>
      <c r="H296" s="221"/>
      <c r="I296" s="213"/>
      <c r="J296" s="213"/>
      <c r="K296" s="215"/>
      <c r="L296" s="216"/>
      <c r="M296" s="217"/>
      <c r="N296" s="176"/>
      <c r="O296" s="241" t="str">
        <f>IF(Q296 = "", "", COUNT(Q$4:$Q296))</f>
        <v/>
      </c>
      <c r="P296" s="241" t="str">
        <f t="shared" si="36"/>
        <v/>
      </c>
      <c r="Q296" s="242" t="str">
        <f t="shared" si="37"/>
        <v/>
      </c>
      <c r="R296" s="243" t="str">
        <f t="shared" si="39"/>
        <v/>
      </c>
      <c r="S296" s="244" t="str">
        <f t="shared" si="40"/>
        <v/>
      </c>
      <c r="T296" s="245" t="str">
        <f t="shared" si="41"/>
        <v/>
      </c>
      <c r="U296" s="246" t="str">
        <f t="shared" si="42"/>
        <v/>
      </c>
      <c r="V296" s="8"/>
      <c r="AR296" t="str">
        <f t="shared" si="43"/>
        <v/>
      </c>
      <c r="AS296" t="str">
        <f t="shared" si="38"/>
        <v/>
      </c>
    </row>
    <row r="297" spans="1:45" x14ac:dyDescent="0.3">
      <c r="A297" s="231"/>
      <c r="B297" s="235"/>
      <c r="C297" s="214"/>
      <c r="D297" s="214"/>
      <c r="E297" s="214"/>
      <c r="F297" s="214"/>
      <c r="G297" s="222"/>
      <c r="H297" s="221"/>
      <c r="I297" s="213"/>
      <c r="J297" s="213"/>
      <c r="K297" s="215"/>
      <c r="L297" s="216"/>
      <c r="M297" s="217"/>
      <c r="N297" s="176"/>
      <c r="O297" s="241" t="str">
        <f>IF(Q297 = "", "", COUNT(Q$4:$Q297))</f>
        <v/>
      </c>
      <c r="P297" s="241" t="str">
        <f t="shared" si="36"/>
        <v/>
      </c>
      <c r="Q297" s="242" t="str">
        <f t="shared" si="37"/>
        <v/>
      </c>
      <c r="R297" s="243" t="str">
        <f t="shared" si="39"/>
        <v/>
      </c>
      <c r="S297" s="244" t="str">
        <f t="shared" si="40"/>
        <v/>
      </c>
      <c r="T297" s="245" t="str">
        <f t="shared" si="41"/>
        <v/>
      </c>
      <c r="U297" s="246" t="str">
        <f t="shared" si="42"/>
        <v/>
      </c>
      <c r="V297" s="8"/>
      <c r="AR297" t="str">
        <f t="shared" si="43"/>
        <v/>
      </c>
      <c r="AS297" t="str">
        <f t="shared" si="38"/>
        <v/>
      </c>
    </row>
    <row r="298" spans="1:45" x14ac:dyDescent="0.3">
      <c r="A298" s="231"/>
      <c r="B298" s="235"/>
      <c r="C298" s="214"/>
      <c r="D298" s="214"/>
      <c r="E298" s="214"/>
      <c r="F298" s="214"/>
      <c r="G298" s="222"/>
      <c r="H298" s="221"/>
      <c r="I298" s="213"/>
      <c r="J298" s="213"/>
      <c r="K298" s="215"/>
      <c r="L298" s="216"/>
      <c r="M298" s="217"/>
      <c r="N298" s="176"/>
      <c r="O298" s="241" t="str">
        <f>IF(Q298 = "", "", COUNT(Q$4:$Q298))</f>
        <v/>
      </c>
      <c r="P298" s="241" t="str">
        <f t="shared" si="36"/>
        <v/>
      </c>
      <c r="Q298" s="242" t="str">
        <f t="shared" si="37"/>
        <v/>
      </c>
      <c r="R298" s="243" t="str">
        <f t="shared" si="39"/>
        <v/>
      </c>
      <c r="S298" s="244" t="str">
        <f t="shared" si="40"/>
        <v/>
      </c>
      <c r="T298" s="245" t="str">
        <f t="shared" si="41"/>
        <v/>
      </c>
      <c r="U298" s="246" t="str">
        <f t="shared" si="42"/>
        <v/>
      </c>
      <c r="V298" s="8"/>
      <c r="AR298" t="str">
        <f t="shared" si="43"/>
        <v/>
      </c>
      <c r="AS298" t="str">
        <f t="shared" si="38"/>
        <v/>
      </c>
    </row>
    <row r="299" spans="1:45" x14ac:dyDescent="0.3">
      <c r="A299" s="231"/>
      <c r="B299" s="235"/>
      <c r="C299" s="214"/>
      <c r="D299" s="214"/>
      <c r="E299" s="214"/>
      <c r="F299" s="214"/>
      <c r="G299" s="222"/>
      <c r="H299" s="221"/>
      <c r="I299" s="213"/>
      <c r="J299" s="213"/>
      <c r="K299" s="215"/>
      <c r="L299" s="216"/>
      <c r="M299" s="217"/>
      <c r="N299" s="176"/>
      <c r="O299" s="241" t="str">
        <f>IF(Q299 = "", "", COUNT(Q$4:$Q299))</f>
        <v/>
      </c>
      <c r="P299" s="241" t="str">
        <f t="shared" si="36"/>
        <v/>
      </c>
      <c r="Q299" s="242" t="str">
        <f t="shared" si="37"/>
        <v/>
      </c>
      <c r="R299" s="243" t="str">
        <f t="shared" si="39"/>
        <v/>
      </c>
      <c r="S299" s="244" t="str">
        <f t="shared" si="40"/>
        <v/>
      </c>
      <c r="T299" s="245" t="str">
        <f t="shared" si="41"/>
        <v/>
      </c>
      <c r="U299" s="246" t="str">
        <f t="shared" si="42"/>
        <v/>
      </c>
      <c r="V299" s="8"/>
      <c r="AR299" t="str">
        <f t="shared" si="43"/>
        <v/>
      </c>
      <c r="AS299" t="str">
        <f t="shared" si="38"/>
        <v/>
      </c>
    </row>
    <row r="300" spans="1:45" x14ac:dyDescent="0.3">
      <c r="A300" s="231"/>
      <c r="B300" s="235"/>
      <c r="C300" s="214"/>
      <c r="D300" s="214"/>
      <c r="E300" s="214"/>
      <c r="F300" s="214"/>
      <c r="G300" s="222"/>
      <c r="H300" s="221"/>
      <c r="I300" s="213"/>
      <c r="J300" s="213"/>
      <c r="K300" s="215"/>
      <c r="L300" s="216"/>
      <c r="M300" s="217"/>
      <c r="N300" s="176"/>
      <c r="O300" s="241" t="str">
        <f>IF(Q300 = "", "", COUNT(Q$4:$Q300))</f>
        <v/>
      </c>
      <c r="P300" s="241" t="str">
        <f t="shared" si="36"/>
        <v/>
      </c>
      <c r="Q300" s="242" t="str">
        <f t="shared" si="37"/>
        <v/>
      </c>
      <c r="R300" s="243" t="str">
        <f t="shared" si="39"/>
        <v/>
      </c>
      <c r="S300" s="244" t="str">
        <f t="shared" si="40"/>
        <v/>
      </c>
      <c r="T300" s="245" t="str">
        <f t="shared" si="41"/>
        <v/>
      </c>
      <c r="U300" s="246" t="str">
        <f t="shared" si="42"/>
        <v/>
      </c>
      <c r="V300" s="8"/>
      <c r="AR300" t="str">
        <f t="shared" si="43"/>
        <v/>
      </c>
      <c r="AS300" t="str">
        <f t="shared" si="38"/>
        <v/>
      </c>
    </row>
    <row r="301" spans="1:45" x14ac:dyDescent="0.3">
      <c r="A301" s="231"/>
      <c r="B301" s="235"/>
      <c r="C301" s="214"/>
      <c r="D301" s="214"/>
      <c r="E301" s="214"/>
      <c r="F301" s="214"/>
      <c r="G301" s="222"/>
      <c r="H301" s="221"/>
      <c r="I301" s="213"/>
      <c r="J301" s="213"/>
      <c r="K301" s="215"/>
      <c r="L301" s="216"/>
      <c r="M301" s="217"/>
      <c r="N301" s="176"/>
      <c r="O301" s="241" t="str">
        <f>IF(Q301 = "", "", COUNT(Q$4:$Q301))</f>
        <v/>
      </c>
      <c r="P301" s="241" t="str">
        <f t="shared" si="36"/>
        <v/>
      </c>
      <c r="Q301" s="242" t="str">
        <f t="shared" si="37"/>
        <v/>
      </c>
      <c r="R301" s="243" t="str">
        <f t="shared" si="39"/>
        <v/>
      </c>
      <c r="S301" s="244" t="str">
        <f t="shared" si="40"/>
        <v/>
      </c>
      <c r="T301" s="245" t="str">
        <f t="shared" si="41"/>
        <v/>
      </c>
      <c r="U301" s="246" t="str">
        <f t="shared" si="42"/>
        <v/>
      </c>
      <c r="V301" s="8"/>
      <c r="AR301" t="str">
        <f t="shared" si="43"/>
        <v/>
      </c>
      <c r="AS301" t="str">
        <f t="shared" si="38"/>
        <v/>
      </c>
    </row>
    <row r="302" spans="1:45" x14ac:dyDescent="0.3">
      <c r="A302" s="231"/>
      <c r="B302" s="235"/>
      <c r="C302" s="214"/>
      <c r="D302" s="214"/>
      <c r="E302" s="214"/>
      <c r="F302" s="214"/>
      <c r="G302" s="222"/>
      <c r="H302" s="221"/>
      <c r="I302" s="213"/>
      <c r="J302" s="213"/>
      <c r="K302" s="215"/>
      <c r="L302" s="216"/>
      <c r="M302" s="217"/>
      <c r="N302" s="176"/>
      <c r="O302" s="241" t="str">
        <f>IF(Q302 = "", "", COUNT(Q$4:$Q302))</f>
        <v/>
      </c>
      <c r="P302" s="241" t="str">
        <f t="shared" si="36"/>
        <v/>
      </c>
      <c r="Q302" s="242" t="str">
        <f t="shared" si="37"/>
        <v/>
      </c>
      <c r="R302" s="243" t="str">
        <f t="shared" si="39"/>
        <v/>
      </c>
      <c r="S302" s="244" t="str">
        <f t="shared" si="40"/>
        <v/>
      </c>
      <c r="T302" s="245" t="str">
        <f t="shared" si="41"/>
        <v/>
      </c>
      <c r="U302" s="246" t="str">
        <f t="shared" si="42"/>
        <v/>
      </c>
      <c r="V302" s="8"/>
      <c r="AR302" t="str">
        <f t="shared" si="43"/>
        <v/>
      </c>
      <c r="AS302" t="str">
        <f t="shared" si="38"/>
        <v/>
      </c>
    </row>
    <row r="303" spans="1:45" x14ac:dyDescent="0.3">
      <c r="A303" s="231"/>
      <c r="B303" s="235"/>
      <c r="C303" s="214"/>
      <c r="D303" s="214"/>
      <c r="E303" s="214"/>
      <c r="F303" s="214"/>
      <c r="G303" s="222"/>
      <c r="H303" s="221"/>
      <c r="I303" s="213"/>
      <c r="J303" s="213"/>
      <c r="K303" s="215"/>
      <c r="L303" s="216"/>
      <c r="M303" s="217"/>
      <c r="N303" s="176"/>
      <c r="O303" s="241" t="str">
        <f>IF(Q303 = "", "", COUNT(Q$4:$Q303))</f>
        <v/>
      </c>
      <c r="P303" s="241" t="str">
        <f t="shared" si="36"/>
        <v/>
      </c>
      <c r="Q303" s="242" t="str">
        <f t="shared" si="37"/>
        <v/>
      </c>
      <c r="R303" s="243" t="str">
        <f t="shared" si="39"/>
        <v/>
      </c>
      <c r="S303" s="244" t="str">
        <f t="shared" si="40"/>
        <v/>
      </c>
      <c r="T303" s="245" t="str">
        <f t="shared" si="41"/>
        <v/>
      </c>
      <c r="U303" s="246" t="str">
        <f t="shared" si="42"/>
        <v/>
      </c>
      <c r="V303" s="8"/>
      <c r="AR303" t="str">
        <f t="shared" si="43"/>
        <v/>
      </c>
      <c r="AS303" t="str">
        <f t="shared" si="38"/>
        <v/>
      </c>
    </row>
    <row r="304" spans="1:45" x14ac:dyDescent="0.3">
      <c r="A304" s="231"/>
      <c r="B304" s="235"/>
      <c r="C304" s="214"/>
      <c r="D304" s="214"/>
      <c r="E304" s="214"/>
      <c r="F304" s="214"/>
      <c r="G304" s="222"/>
      <c r="H304" s="221"/>
      <c r="I304" s="213"/>
      <c r="J304" s="213"/>
      <c r="K304" s="215"/>
      <c r="L304" s="216"/>
      <c r="M304" s="217"/>
      <c r="N304" s="176"/>
      <c r="O304" s="241" t="str">
        <f>IF(Q304 = "", "", COUNT(Q$4:$Q304))</f>
        <v/>
      </c>
      <c r="P304" s="241" t="str">
        <f t="shared" si="36"/>
        <v/>
      </c>
      <c r="Q304" s="242" t="str">
        <f t="shared" si="37"/>
        <v/>
      </c>
      <c r="R304" s="243" t="str">
        <f t="shared" si="39"/>
        <v/>
      </c>
      <c r="S304" s="244" t="str">
        <f t="shared" si="40"/>
        <v/>
      </c>
      <c r="T304" s="245" t="str">
        <f t="shared" si="41"/>
        <v/>
      </c>
      <c r="U304" s="246" t="str">
        <f t="shared" si="42"/>
        <v/>
      </c>
      <c r="V304" s="8"/>
      <c r="AR304" t="str">
        <f t="shared" si="43"/>
        <v/>
      </c>
      <c r="AS304" t="str">
        <f t="shared" si="38"/>
        <v/>
      </c>
    </row>
    <row r="305" spans="1:45" x14ac:dyDescent="0.3">
      <c r="A305" s="231"/>
      <c r="B305" s="235"/>
      <c r="C305" s="214"/>
      <c r="D305" s="214"/>
      <c r="E305" s="214"/>
      <c r="F305" s="214"/>
      <c r="G305" s="222"/>
      <c r="H305" s="221"/>
      <c r="I305" s="213"/>
      <c r="J305" s="213"/>
      <c r="K305" s="215"/>
      <c r="L305" s="216"/>
      <c r="M305" s="217"/>
      <c r="N305" s="176"/>
      <c r="O305" s="241" t="str">
        <f>IF(Q305 = "", "", COUNT(Q$4:$Q305))</f>
        <v/>
      </c>
      <c r="P305" s="241" t="str">
        <f t="shared" si="36"/>
        <v/>
      </c>
      <c r="Q305" s="242" t="str">
        <f t="shared" si="37"/>
        <v/>
      </c>
      <c r="R305" s="243" t="str">
        <f t="shared" si="39"/>
        <v/>
      </c>
      <c r="S305" s="244" t="str">
        <f t="shared" si="40"/>
        <v/>
      </c>
      <c r="T305" s="245" t="str">
        <f t="shared" si="41"/>
        <v/>
      </c>
      <c r="U305" s="246" t="str">
        <f t="shared" si="42"/>
        <v/>
      </c>
      <c r="V305" s="8"/>
      <c r="AR305" t="str">
        <f t="shared" si="43"/>
        <v/>
      </c>
      <c r="AS305" t="str">
        <f t="shared" si="38"/>
        <v/>
      </c>
    </row>
    <row r="306" spans="1:45" x14ac:dyDescent="0.3">
      <c r="A306" s="231"/>
      <c r="B306" s="235"/>
      <c r="C306" s="214"/>
      <c r="D306" s="214"/>
      <c r="E306" s="214"/>
      <c r="F306" s="214"/>
      <c r="G306" s="222"/>
      <c r="H306" s="221"/>
      <c r="I306" s="213"/>
      <c r="J306" s="213"/>
      <c r="K306" s="215"/>
      <c r="L306" s="216"/>
      <c r="M306" s="217"/>
      <c r="N306" s="176"/>
      <c r="O306" s="241" t="str">
        <f>IF(Q306 = "", "", COUNT(Q$4:$Q306))</f>
        <v/>
      </c>
      <c r="P306" s="241" t="str">
        <f t="shared" si="36"/>
        <v/>
      </c>
      <c r="Q306" s="242" t="str">
        <f t="shared" si="37"/>
        <v/>
      </c>
      <c r="R306" s="243" t="str">
        <f t="shared" si="39"/>
        <v/>
      </c>
      <c r="S306" s="244" t="str">
        <f t="shared" si="40"/>
        <v/>
      </c>
      <c r="T306" s="245" t="str">
        <f t="shared" si="41"/>
        <v/>
      </c>
      <c r="U306" s="246" t="str">
        <f t="shared" si="42"/>
        <v/>
      </c>
      <c r="V306" s="8"/>
      <c r="AR306" t="str">
        <f t="shared" si="43"/>
        <v/>
      </c>
      <c r="AS306" t="str">
        <f t="shared" si="38"/>
        <v/>
      </c>
    </row>
    <row r="307" spans="1:45" x14ac:dyDescent="0.3">
      <c r="A307" s="231"/>
      <c r="B307" s="235"/>
      <c r="C307" s="214"/>
      <c r="D307" s="214"/>
      <c r="E307" s="214"/>
      <c r="F307" s="214"/>
      <c r="G307" s="222"/>
      <c r="H307" s="221"/>
      <c r="I307" s="213"/>
      <c r="J307" s="213"/>
      <c r="K307" s="215"/>
      <c r="L307" s="216"/>
      <c r="M307" s="217"/>
      <c r="N307" s="176"/>
      <c r="O307" s="241" t="str">
        <f>IF(Q307 = "", "", COUNT(Q$4:$Q307))</f>
        <v/>
      </c>
      <c r="P307" s="241" t="str">
        <f t="shared" si="36"/>
        <v/>
      </c>
      <c r="Q307" s="242" t="str">
        <f t="shared" si="37"/>
        <v/>
      </c>
      <c r="R307" s="243" t="str">
        <f t="shared" si="39"/>
        <v/>
      </c>
      <c r="S307" s="244" t="str">
        <f t="shared" si="40"/>
        <v/>
      </c>
      <c r="T307" s="245" t="str">
        <f t="shared" si="41"/>
        <v/>
      </c>
      <c r="U307" s="246" t="str">
        <f t="shared" si="42"/>
        <v/>
      </c>
      <c r="V307" s="8"/>
      <c r="AR307" t="str">
        <f t="shared" si="43"/>
        <v/>
      </c>
      <c r="AS307" t="str">
        <f t="shared" si="38"/>
        <v/>
      </c>
    </row>
    <row r="308" spans="1:45" x14ac:dyDescent="0.3">
      <c r="A308" s="231"/>
      <c r="B308" s="235"/>
      <c r="C308" s="214"/>
      <c r="D308" s="214"/>
      <c r="E308" s="214"/>
      <c r="F308" s="214"/>
      <c r="G308" s="222"/>
      <c r="H308" s="221"/>
      <c r="I308" s="213"/>
      <c r="J308" s="213"/>
      <c r="K308" s="215"/>
      <c r="L308" s="216"/>
      <c r="M308" s="217"/>
      <c r="N308" s="176"/>
      <c r="O308" s="241" t="str">
        <f>IF(Q308 = "", "", COUNT(Q$4:$Q308))</f>
        <v/>
      </c>
      <c r="P308" s="241" t="str">
        <f t="shared" si="36"/>
        <v/>
      </c>
      <c r="Q308" s="242" t="str">
        <f t="shared" si="37"/>
        <v/>
      </c>
      <c r="R308" s="243" t="str">
        <f t="shared" si="39"/>
        <v/>
      </c>
      <c r="S308" s="244" t="str">
        <f t="shared" si="40"/>
        <v/>
      </c>
      <c r="T308" s="245" t="str">
        <f t="shared" si="41"/>
        <v/>
      </c>
      <c r="U308" s="246" t="str">
        <f t="shared" si="42"/>
        <v/>
      </c>
      <c r="V308" s="8"/>
      <c r="AR308" t="str">
        <f t="shared" si="43"/>
        <v/>
      </c>
      <c r="AS308" t="str">
        <f t="shared" si="38"/>
        <v/>
      </c>
    </row>
    <row r="309" spans="1:45" x14ac:dyDescent="0.3">
      <c r="A309" s="231"/>
      <c r="B309" s="235"/>
      <c r="C309" s="214"/>
      <c r="D309" s="214"/>
      <c r="E309" s="214"/>
      <c r="F309" s="214"/>
      <c r="G309" s="222"/>
      <c r="H309" s="221"/>
      <c r="I309" s="213"/>
      <c r="J309" s="213"/>
      <c r="K309" s="215"/>
      <c r="L309" s="216"/>
      <c r="M309" s="217"/>
      <c r="N309" s="176"/>
      <c r="O309" s="241" t="str">
        <f>IF(Q309 = "", "", COUNT(Q$4:$Q309))</f>
        <v/>
      </c>
      <c r="P309" s="241" t="str">
        <f t="shared" si="36"/>
        <v/>
      </c>
      <c r="Q309" s="242" t="str">
        <f t="shared" si="37"/>
        <v/>
      </c>
      <c r="R309" s="243" t="str">
        <f t="shared" si="39"/>
        <v/>
      </c>
      <c r="S309" s="244" t="str">
        <f t="shared" si="40"/>
        <v/>
      </c>
      <c r="T309" s="245" t="str">
        <f t="shared" si="41"/>
        <v/>
      </c>
      <c r="U309" s="246" t="str">
        <f t="shared" si="42"/>
        <v/>
      </c>
      <c r="V309" s="8"/>
      <c r="AR309" t="str">
        <f t="shared" si="43"/>
        <v/>
      </c>
      <c r="AS309" t="str">
        <f t="shared" si="38"/>
        <v/>
      </c>
    </row>
    <row r="310" spans="1:45" x14ac:dyDescent="0.3">
      <c r="A310" s="231"/>
      <c r="B310" s="235"/>
      <c r="C310" s="214"/>
      <c r="D310" s="214"/>
      <c r="E310" s="214"/>
      <c r="F310" s="214"/>
      <c r="G310" s="222"/>
      <c r="H310" s="221"/>
      <c r="I310" s="213"/>
      <c r="J310" s="213"/>
      <c r="K310" s="215"/>
      <c r="L310" s="216"/>
      <c r="M310" s="217"/>
      <c r="N310" s="176"/>
      <c r="O310" s="241" t="str">
        <f>IF(Q310 = "", "", COUNT(Q$4:$Q310))</f>
        <v/>
      </c>
      <c r="P310" s="241" t="str">
        <f t="shared" si="36"/>
        <v/>
      </c>
      <c r="Q310" s="242" t="str">
        <f t="shared" si="37"/>
        <v/>
      </c>
      <c r="R310" s="243" t="str">
        <f t="shared" si="39"/>
        <v/>
      </c>
      <c r="S310" s="244" t="str">
        <f t="shared" si="40"/>
        <v/>
      </c>
      <c r="T310" s="245" t="str">
        <f t="shared" si="41"/>
        <v/>
      </c>
      <c r="U310" s="246" t="str">
        <f t="shared" si="42"/>
        <v/>
      </c>
      <c r="V310" s="8"/>
      <c r="AR310" t="str">
        <f t="shared" si="43"/>
        <v/>
      </c>
      <c r="AS310" t="str">
        <f t="shared" si="38"/>
        <v/>
      </c>
    </row>
    <row r="311" spans="1:45" x14ac:dyDescent="0.3">
      <c r="A311" s="231"/>
      <c r="B311" s="235"/>
      <c r="C311" s="214"/>
      <c r="D311" s="214"/>
      <c r="E311" s="214"/>
      <c r="F311" s="214"/>
      <c r="G311" s="222"/>
      <c r="H311" s="221"/>
      <c r="I311" s="213"/>
      <c r="J311" s="213"/>
      <c r="K311" s="215"/>
      <c r="L311" s="216"/>
      <c r="M311" s="217"/>
      <c r="N311" s="176"/>
      <c r="O311" s="241" t="str">
        <f>IF(Q311 = "", "", COUNT(Q$4:$Q311))</f>
        <v/>
      </c>
      <c r="P311" s="241" t="str">
        <f t="shared" si="36"/>
        <v/>
      </c>
      <c r="Q311" s="242" t="str">
        <f t="shared" si="37"/>
        <v/>
      </c>
      <c r="R311" s="243" t="str">
        <f t="shared" si="39"/>
        <v/>
      </c>
      <c r="S311" s="244" t="str">
        <f t="shared" si="40"/>
        <v/>
      </c>
      <c r="T311" s="245" t="str">
        <f t="shared" si="41"/>
        <v/>
      </c>
      <c r="U311" s="246" t="str">
        <f t="shared" si="42"/>
        <v/>
      </c>
      <c r="V311" s="8"/>
      <c r="AR311" t="str">
        <f t="shared" si="43"/>
        <v/>
      </c>
      <c r="AS311" t="str">
        <f t="shared" si="38"/>
        <v/>
      </c>
    </row>
    <row r="312" spans="1:45" x14ac:dyDescent="0.3">
      <c r="A312" s="231"/>
      <c r="B312" s="235"/>
      <c r="C312" s="214"/>
      <c r="D312" s="214"/>
      <c r="E312" s="214"/>
      <c r="F312" s="214"/>
      <c r="G312" s="222"/>
      <c r="H312" s="221"/>
      <c r="I312" s="213"/>
      <c r="J312" s="213"/>
      <c r="K312" s="215"/>
      <c r="L312" s="216"/>
      <c r="M312" s="217"/>
      <c r="N312" s="176"/>
      <c r="O312" s="241" t="str">
        <f>IF(Q312 = "", "", COUNT(Q$4:$Q312))</f>
        <v/>
      </c>
      <c r="P312" s="241" t="str">
        <f t="shared" si="36"/>
        <v/>
      </c>
      <c r="Q312" s="242" t="str">
        <f t="shared" si="37"/>
        <v/>
      </c>
      <c r="R312" s="243" t="str">
        <f t="shared" si="39"/>
        <v/>
      </c>
      <c r="S312" s="244" t="str">
        <f t="shared" si="40"/>
        <v/>
      </c>
      <c r="T312" s="245" t="str">
        <f t="shared" si="41"/>
        <v/>
      </c>
      <c r="U312" s="246" t="str">
        <f t="shared" si="42"/>
        <v/>
      </c>
      <c r="V312" s="8"/>
      <c r="AR312" t="str">
        <f t="shared" si="43"/>
        <v/>
      </c>
      <c r="AS312" t="str">
        <f t="shared" si="38"/>
        <v/>
      </c>
    </row>
    <row r="313" spans="1:45" x14ac:dyDescent="0.3">
      <c r="A313" s="231"/>
      <c r="B313" s="235"/>
      <c r="C313" s="214"/>
      <c r="D313" s="214"/>
      <c r="E313" s="214"/>
      <c r="F313" s="214"/>
      <c r="G313" s="222"/>
      <c r="H313" s="221"/>
      <c r="I313" s="213"/>
      <c r="J313" s="213"/>
      <c r="K313" s="215"/>
      <c r="L313" s="216"/>
      <c r="M313" s="217"/>
      <c r="N313" s="176"/>
      <c r="O313" s="241" t="str">
        <f>IF(Q313 = "", "", COUNT(Q$4:$Q313))</f>
        <v/>
      </c>
      <c r="P313" s="241" t="str">
        <f t="shared" si="36"/>
        <v/>
      </c>
      <c r="Q313" s="242" t="str">
        <f t="shared" si="37"/>
        <v/>
      </c>
      <c r="R313" s="243" t="str">
        <f t="shared" si="39"/>
        <v/>
      </c>
      <c r="S313" s="244" t="str">
        <f t="shared" si="40"/>
        <v/>
      </c>
      <c r="T313" s="245" t="str">
        <f t="shared" si="41"/>
        <v/>
      </c>
      <c r="U313" s="246" t="str">
        <f t="shared" si="42"/>
        <v/>
      </c>
      <c r="V313" s="8"/>
      <c r="AR313" t="str">
        <f t="shared" si="43"/>
        <v/>
      </c>
      <c r="AS313" t="str">
        <f t="shared" si="38"/>
        <v/>
      </c>
    </row>
    <row r="314" spans="1:45" x14ac:dyDescent="0.3">
      <c r="A314" s="231"/>
      <c r="B314" s="235"/>
      <c r="C314" s="214"/>
      <c r="D314" s="214"/>
      <c r="E314" s="214"/>
      <c r="F314" s="214"/>
      <c r="G314" s="222"/>
      <c r="H314" s="221"/>
      <c r="I314" s="213"/>
      <c r="J314" s="213"/>
      <c r="K314" s="215"/>
      <c r="L314" s="216"/>
      <c r="M314" s="217"/>
      <c r="N314" s="176"/>
      <c r="O314" s="241" t="str">
        <f>IF(Q314 = "", "", COUNT(Q$4:$Q314))</f>
        <v/>
      </c>
      <c r="P314" s="241" t="str">
        <f t="shared" si="36"/>
        <v/>
      </c>
      <c r="Q314" s="242" t="str">
        <f t="shared" si="37"/>
        <v/>
      </c>
      <c r="R314" s="243" t="str">
        <f t="shared" si="39"/>
        <v/>
      </c>
      <c r="S314" s="244" t="str">
        <f t="shared" si="40"/>
        <v/>
      </c>
      <c r="T314" s="245" t="str">
        <f t="shared" si="41"/>
        <v/>
      </c>
      <c r="U314" s="246" t="str">
        <f t="shared" si="42"/>
        <v/>
      </c>
      <c r="V314" s="8"/>
      <c r="AR314" t="str">
        <f t="shared" si="43"/>
        <v/>
      </c>
      <c r="AS314" t="str">
        <f t="shared" si="38"/>
        <v/>
      </c>
    </row>
    <row r="315" spans="1:45" x14ac:dyDescent="0.3">
      <c r="A315" s="231"/>
      <c r="B315" s="235"/>
      <c r="C315" s="214"/>
      <c r="D315" s="214"/>
      <c r="E315" s="214"/>
      <c r="F315" s="214"/>
      <c r="G315" s="222"/>
      <c r="H315" s="221"/>
      <c r="I315" s="213"/>
      <c r="J315" s="213"/>
      <c r="K315" s="215"/>
      <c r="L315" s="216"/>
      <c r="M315" s="217"/>
      <c r="N315" s="176"/>
      <c r="O315" s="241" t="str">
        <f>IF(Q315 = "", "", COUNT(Q$4:$Q315))</f>
        <v/>
      </c>
      <c r="P315" s="241" t="str">
        <f t="shared" si="36"/>
        <v/>
      </c>
      <c r="Q315" s="242" t="str">
        <f t="shared" si="37"/>
        <v/>
      </c>
      <c r="R315" s="243" t="str">
        <f t="shared" si="39"/>
        <v/>
      </c>
      <c r="S315" s="244" t="str">
        <f t="shared" si="40"/>
        <v/>
      </c>
      <c r="T315" s="245" t="str">
        <f t="shared" si="41"/>
        <v/>
      </c>
      <c r="U315" s="246" t="str">
        <f t="shared" si="42"/>
        <v/>
      </c>
      <c r="V315" s="8"/>
      <c r="AR315" t="str">
        <f t="shared" si="43"/>
        <v/>
      </c>
      <c r="AS315" t="str">
        <f t="shared" si="38"/>
        <v/>
      </c>
    </row>
    <row r="316" spans="1:45" x14ac:dyDescent="0.3">
      <c r="A316" s="231"/>
      <c r="B316" s="235"/>
      <c r="C316" s="214"/>
      <c r="D316" s="214"/>
      <c r="E316" s="214"/>
      <c r="F316" s="214"/>
      <c r="G316" s="222"/>
      <c r="H316" s="221"/>
      <c r="I316" s="213"/>
      <c r="J316" s="213"/>
      <c r="K316" s="215"/>
      <c r="L316" s="216"/>
      <c r="M316" s="217"/>
      <c r="N316" s="176"/>
      <c r="O316" s="241" t="str">
        <f>IF(Q316 = "", "", COUNT(Q$4:$Q316))</f>
        <v/>
      </c>
      <c r="P316" s="241" t="str">
        <f t="shared" si="36"/>
        <v/>
      </c>
      <c r="Q316" s="242" t="str">
        <f t="shared" si="37"/>
        <v/>
      </c>
      <c r="R316" s="243" t="str">
        <f t="shared" si="39"/>
        <v/>
      </c>
      <c r="S316" s="244" t="str">
        <f t="shared" si="40"/>
        <v/>
      </c>
      <c r="T316" s="245" t="str">
        <f t="shared" si="41"/>
        <v/>
      </c>
      <c r="U316" s="246" t="str">
        <f t="shared" si="42"/>
        <v/>
      </c>
      <c r="V316" s="8"/>
      <c r="AR316" t="str">
        <f t="shared" si="43"/>
        <v/>
      </c>
      <c r="AS316" t="str">
        <f t="shared" si="38"/>
        <v/>
      </c>
    </row>
    <row r="317" spans="1:45" x14ac:dyDescent="0.3">
      <c r="A317" s="231"/>
      <c r="B317" s="235"/>
      <c r="C317" s="214"/>
      <c r="D317" s="214"/>
      <c r="E317" s="214"/>
      <c r="F317" s="214"/>
      <c r="G317" s="222"/>
      <c r="H317" s="221"/>
      <c r="I317" s="213"/>
      <c r="J317" s="213"/>
      <c r="K317" s="215"/>
      <c r="L317" s="216"/>
      <c r="M317" s="217"/>
      <c r="N317" s="176"/>
      <c r="O317" s="241" t="str">
        <f>IF(Q317 = "", "", COUNT(Q$4:$Q317))</f>
        <v/>
      </c>
      <c r="P317" s="241" t="str">
        <f t="shared" si="36"/>
        <v/>
      </c>
      <c r="Q317" s="242" t="str">
        <f t="shared" si="37"/>
        <v/>
      </c>
      <c r="R317" s="243" t="str">
        <f t="shared" si="39"/>
        <v/>
      </c>
      <c r="S317" s="244" t="str">
        <f t="shared" si="40"/>
        <v/>
      </c>
      <c r="T317" s="245" t="str">
        <f t="shared" si="41"/>
        <v/>
      </c>
      <c r="U317" s="246" t="str">
        <f t="shared" si="42"/>
        <v/>
      </c>
      <c r="V317" s="8"/>
      <c r="AR317" t="str">
        <f t="shared" si="43"/>
        <v/>
      </c>
      <c r="AS317" t="str">
        <f t="shared" si="38"/>
        <v/>
      </c>
    </row>
    <row r="318" spans="1:45" x14ac:dyDescent="0.3">
      <c r="A318" s="231"/>
      <c r="B318" s="235"/>
      <c r="C318" s="214"/>
      <c r="D318" s="214"/>
      <c r="E318" s="214"/>
      <c r="F318" s="214"/>
      <c r="G318" s="222"/>
      <c r="H318" s="221"/>
      <c r="I318" s="213"/>
      <c r="J318" s="213"/>
      <c r="K318" s="215"/>
      <c r="L318" s="216"/>
      <c r="M318" s="217"/>
      <c r="N318" s="176"/>
      <c r="O318" s="241" t="str">
        <f>IF(Q318 = "", "", COUNT(Q$4:$Q318))</f>
        <v/>
      </c>
      <c r="P318" s="241" t="str">
        <f t="shared" si="36"/>
        <v/>
      </c>
      <c r="Q318" s="242" t="str">
        <f t="shared" si="37"/>
        <v/>
      </c>
      <c r="R318" s="243" t="str">
        <f t="shared" si="39"/>
        <v/>
      </c>
      <c r="S318" s="244" t="str">
        <f t="shared" si="40"/>
        <v/>
      </c>
      <c r="T318" s="245" t="str">
        <f t="shared" si="41"/>
        <v/>
      </c>
      <c r="U318" s="246" t="str">
        <f t="shared" si="42"/>
        <v/>
      </c>
      <c r="V318" s="8"/>
      <c r="AR318" t="str">
        <f t="shared" si="43"/>
        <v/>
      </c>
      <c r="AS318" t="str">
        <f t="shared" si="38"/>
        <v/>
      </c>
    </row>
    <row r="319" spans="1:45" x14ac:dyDescent="0.3">
      <c r="A319" s="231"/>
      <c r="B319" s="235"/>
      <c r="C319" s="214"/>
      <c r="D319" s="214"/>
      <c r="E319" s="214"/>
      <c r="F319" s="214"/>
      <c r="G319" s="222"/>
      <c r="H319" s="221"/>
      <c r="I319" s="213"/>
      <c r="J319" s="213"/>
      <c r="K319" s="215"/>
      <c r="L319" s="216"/>
      <c r="M319" s="217"/>
      <c r="N319" s="176"/>
      <c r="O319" s="241" t="str">
        <f>IF(Q319 = "", "", COUNT(Q$4:$Q319))</f>
        <v/>
      </c>
      <c r="P319" s="241" t="str">
        <f t="shared" si="36"/>
        <v/>
      </c>
      <c r="Q319" s="242" t="str">
        <f t="shared" si="37"/>
        <v/>
      </c>
      <c r="R319" s="243" t="str">
        <f t="shared" si="39"/>
        <v/>
      </c>
      <c r="S319" s="244" t="str">
        <f t="shared" si="40"/>
        <v/>
      </c>
      <c r="T319" s="245" t="str">
        <f t="shared" si="41"/>
        <v/>
      </c>
      <c r="U319" s="246" t="str">
        <f t="shared" si="42"/>
        <v/>
      </c>
      <c r="V319" s="8"/>
      <c r="AR319" t="str">
        <f t="shared" si="43"/>
        <v/>
      </c>
      <c r="AS319" t="str">
        <f t="shared" si="38"/>
        <v/>
      </c>
    </row>
    <row r="320" spans="1:45" x14ac:dyDescent="0.3">
      <c r="A320" s="231"/>
      <c r="B320" s="235"/>
      <c r="C320" s="214"/>
      <c r="D320" s="214"/>
      <c r="E320" s="214"/>
      <c r="F320" s="214"/>
      <c r="G320" s="222"/>
      <c r="H320" s="221"/>
      <c r="I320" s="213"/>
      <c r="J320" s="213"/>
      <c r="K320" s="215"/>
      <c r="L320" s="216"/>
      <c r="M320" s="217"/>
      <c r="N320" s="176"/>
      <c r="O320" s="241" t="str">
        <f>IF(Q320 = "", "", COUNT(Q$4:$Q320))</f>
        <v/>
      </c>
      <c r="P320" s="241" t="str">
        <f t="shared" si="36"/>
        <v/>
      </c>
      <c r="Q320" s="242" t="str">
        <f t="shared" si="37"/>
        <v/>
      </c>
      <c r="R320" s="243" t="str">
        <f t="shared" si="39"/>
        <v/>
      </c>
      <c r="S320" s="244" t="str">
        <f t="shared" si="40"/>
        <v/>
      </c>
      <c r="T320" s="245" t="str">
        <f t="shared" si="41"/>
        <v/>
      </c>
      <c r="U320" s="246" t="str">
        <f t="shared" si="42"/>
        <v/>
      </c>
      <c r="V320" s="8"/>
      <c r="AR320" t="str">
        <f t="shared" si="43"/>
        <v/>
      </c>
      <c r="AS320" t="str">
        <f t="shared" si="38"/>
        <v/>
      </c>
    </row>
    <row r="321" spans="1:45" x14ac:dyDescent="0.3">
      <c r="A321" s="231"/>
      <c r="B321" s="235"/>
      <c r="C321" s="214"/>
      <c r="D321" s="214"/>
      <c r="E321" s="214"/>
      <c r="F321" s="214"/>
      <c r="G321" s="222"/>
      <c r="H321" s="221"/>
      <c r="I321" s="213"/>
      <c r="J321" s="213"/>
      <c r="K321" s="215"/>
      <c r="L321" s="216"/>
      <c r="M321" s="217"/>
      <c r="N321" s="176"/>
      <c r="O321" s="241" t="str">
        <f>IF(Q321 = "", "", COUNT(Q$4:$Q321))</f>
        <v/>
      </c>
      <c r="P321" s="241" t="str">
        <f t="shared" si="36"/>
        <v/>
      </c>
      <c r="Q321" s="242" t="str">
        <f t="shared" si="37"/>
        <v/>
      </c>
      <c r="R321" s="243" t="str">
        <f t="shared" si="39"/>
        <v/>
      </c>
      <c r="S321" s="244" t="str">
        <f t="shared" si="40"/>
        <v/>
      </c>
      <c r="T321" s="245" t="str">
        <f t="shared" si="41"/>
        <v/>
      </c>
      <c r="U321" s="246" t="str">
        <f t="shared" si="42"/>
        <v/>
      </c>
      <c r="V321" s="8"/>
      <c r="AR321" t="str">
        <f t="shared" si="43"/>
        <v/>
      </c>
      <c r="AS321" t="str">
        <f t="shared" si="38"/>
        <v/>
      </c>
    </row>
    <row r="322" spans="1:45" x14ac:dyDescent="0.3">
      <c r="A322" s="231"/>
      <c r="B322" s="235"/>
      <c r="C322" s="214"/>
      <c r="D322" s="214"/>
      <c r="E322" s="214"/>
      <c r="F322" s="214"/>
      <c r="G322" s="222"/>
      <c r="H322" s="221"/>
      <c r="I322" s="213"/>
      <c r="J322" s="213"/>
      <c r="K322" s="215"/>
      <c r="L322" s="216"/>
      <c r="M322" s="217"/>
      <c r="N322" s="176"/>
      <c r="O322" s="241" t="str">
        <f>IF(Q322 = "", "", COUNT(Q$4:$Q322))</f>
        <v/>
      </c>
      <c r="P322" s="241" t="str">
        <f t="shared" si="36"/>
        <v/>
      </c>
      <c r="Q322" s="242" t="str">
        <f t="shared" si="37"/>
        <v/>
      </c>
      <c r="R322" s="243" t="str">
        <f t="shared" si="39"/>
        <v/>
      </c>
      <c r="S322" s="244" t="str">
        <f t="shared" si="40"/>
        <v/>
      </c>
      <c r="T322" s="245" t="str">
        <f t="shared" si="41"/>
        <v/>
      </c>
      <c r="U322" s="246" t="str">
        <f t="shared" si="42"/>
        <v/>
      </c>
      <c r="V322" s="8"/>
      <c r="AR322" t="str">
        <f t="shared" si="43"/>
        <v/>
      </c>
      <c r="AS322" t="str">
        <f t="shared" si="38"/>
        <v/>
      </c>
    </row>
    <row r="323" spans="1:45" x14ac:dyDescent="0.3">
      <c r="A323" s="231"/>
      <c r="B323" s="235"/>
      <c r="C323" s="214"/>
      <c r="D323" s="214"/>
      <c r="E323" s="214"/>
      <c r="F323" s="214"/>
      <c r="G323" s="222"/>
      <c r="H323" s="221"/>
      <c r="I323" s="213"/>
      <c r="J323" s="213"/>
      <c r="K323" s="215"/>
      <c r="L323" s="216"/>
      <c r="M323" s="217"/>
      <c r="N323" s="176"/>
      <c r="O323" s="241" t="str">
        <f>IF(Q323 = "", "", COUNT(Q$4:$Q323))</f>
        <v/>
      </c>
      <c r="P323" s="241" t="str">
        <f t="shared" si="36"/>
        <v/>
      </c>
      <c r="Q323" s="242" t="str">
        <f t="shared" si="37"/>
        <v/>
      </c>
      <c r="R323" s="243" t="str">
        <f t="shared" si="39"/>
        <v/>
      </c>
      <c r="S323" s="244" t="str">
        <f t="shared" si="40"/>
        <v/>
      </c>
      <c r="T323" s="245" t="str">
        <f t="shared" si="41"/>
        <v/>
      </c>
      <c r="U323" s="246" t="str">
        <f t="shared" si="42"/>
        <v/>
      </c>
      <c r="V323" s="8"/>
      <c r="AR323" t="str">
        <f t="shared" si="43"/>
        <v/>
      </c>
      <c r="AS323" t="str">
        <f t="shared" si="38"/>
        <v/>
      </c>
    </row>
    <row r="324" spans="1:45" x14ac:dyDescent="0.3">
      <c r="A324" s="231"/>
      <c r="B324" s="235"/>
      <c r="C324" s="214"/>
      <c r="D324" s="214"/>
      <c r="E324" s="214"/>
      <c r="F324" s="214"/>
      <c r="G324" s="222"/>
      <c r="H324" s="221"/>
      <c r="I324" s="213"/>
      <c r="J324" s="213"/>
      <c r="K324" s="215"/>
      <c r="L324" s="216"/>
      <c r="M324" s="217"/>
      <c r="N324" s="176"/>
      <c r="O324" s="241" t="str">
        <f>IF(Q324 = "", "", COUNT(Q$4:$Q324))</f>
        <v/>
      </c>
      <c r="P324" s="241" t="str">
        <f t="shared" ref="P324:P387" si="44">IF(C324 &gt; 0, YEAR(B324), "")</f>
        <v/>
      </c>
      <c r="Q324" s="242" t="str">
        <f t="shared" ref="Q324:Q387" si="45">IF(A324="", "", IF(G324="",1,IF(G324="O",1,IF(G324="C",8.4,IF(G324="B",8.4,IF(G324="A",76.8,IF(G324="K",76.8,"ERR")))))))</f>
        <v/>
      </c>
      <c r="R324" s="243" t="str">
        <f t="shared" si="39"/>
        <v/>
      </c>
      <c r="S324" s="244" t="str">
        <f t="shared" si="40"/>
        <v/>
      </c>
      <c r="T324" s="245" t="str">
        <f t="shared" si="41"/>
        <v/>
      </c>
      <c r="U324" s="246" t="str">
        <f t="shared" si="42"/>
        <v/>
      </c>
      <c r="V324" s="8"/>
      <c r="AR324" t="str">
        <f t="shared" si="43"/>
        <v/>
      </c>
      <c r="AS324" t="str">
        <f t="shared" ref="AS324:AS387" si="46">IF(OR(L324="Y",M324="Y"),"Y","")</f>
        <v/>
      </c>
    </row>
    <row r="325" spans="1:45" x14ac:dyDescent="0.3">
      <c r="A325" s="231"/>
      <c r="B325" s="235"/>
      <c r="C325" s="214"/>
      <c r="D325" s="214"/>
      <c r="E325" s="214"/>
      <c r="F325" s="214"/>
      <c r="G325" s="222"/>
      <c r="H325" s="221"/>
      <c r="I325" s="213"/>
      <c r="J325" s="213"/>
      <c r="K325" s="215"/>
      <c r="L325" s="216"/>
      <c r="M325" s="217"/>
      <c r="N325" s="176"/>
      <c r="O325" s="241" t="str">
        <f>IF(Q325 = "", "", COUNT(Q$4:$Q325))</f>
        <v/>
      </c>
      <c r="P325" s="241" t="str">
        <f t="shared" si="44"/>
        <v/>
      </c>
      <c r="Q325" s="242" t="str">
        <f t="shared" si="45"/>
        <v/>
      </c>
      <c r="R325" s="243" t="str">
        <f t="shared" ref="R325:R388" si="47">IF(L325&lt;&gt;"",Q325,"")</f>
        <v/>
      </c>
      <c r="S325" s="244" t="str">
        <f t="shared" ref="S325:S388" si="48">IF(IF(L325&lt;&gt;"",G325,"")=0, "O", IF(L325&lt;&gt;"",G325,""))</f>
        <v/>
      </c>
      <c r="T325" s="245" t="str">
        <f t="shared" ref="T325:T388" si="49">IF(M325&lt;&gt;"",Q325,"")</f>
        <v/>
      </c>
      <c r="U325" s="246" t="str">
        <f t="shared" ref="U325:U388" si="50">IF(IF(M325&lt;&gt;"",G325,"")=0, "O", IF(M325&lt;&gt;"",G325,""))</f>
        <v/>
      </c>
      <c r="V325" s="8"/>
      <c r="AR325" t="str">
        <f t="shared" ref="AR325:AR388" si="51">IF(O325&gt;0, O325, "")</f>
        <v/>
      </c>
      <c r="AS325" t="str">
        <f t="shared" si="46"/>
        <v/>
      </c>
    </row>
    <row r="326" spans="1:45" x14ac:dyDescent="0.3">
      <c r="A326" s="231"/>
      <c r="B326" s="235"/>
      <c r="C326" s="214"/>
      <c r="D326" s="214"/>
      <c r="E326" s="214"/>
      <c r="F326" s="214"/>
      <c r="G326" s="222"/>
      <c r="H326" s="221"/>
      <c r="I326" s="213"/>
      <c r="J326" s="213"/>
      <c r="K326" s="215"/>
      <c r="L326" s="216"/>
      <c r="M326" s="217"/>
      <c r="N326" s="176"/>
      <c r="O326" s="241" t="str">
        <f>IF(Q326 = "", "", COUNT(Q$4:$Q326))</f>
        <v/>
      </c>
      <c r="P326" s="241" t="str">
        <f t="shared" si="44"/>
        <v/>
      </c>
      <c r="Q326" s="242" t="str">
        <f t="shared" si="45"/>
        <v/>
      </c>
      <c r="R326" s="243" t="str">
        <f t="shared" si="47"/>
        <v/>
      </c>
      <c r="S326" s="244" t="str">
        <f t="shared" si="48"/>
        <v/>
      </c>
      <c r="T326" s="245" t="str">
        <f t="shared" si="49"/>
        <v/>
      </c>
      <c r="U326" s="246" t="str">
        <f t="shared" si="50"/>
        <v/>
      </c>
      <c r="V326" s="8"/>
      <c r="AR326" t="str">
        <f t="shared" si="51"/>
        <v/>
      </c>
      <c r="AS326" t="str">
        <f t="shared" si="46"/>
        <v/>
      </c>
    </row>
    <row r="327" spans="1:45" x14ac:dyDescent="0.3">
      <c r="A327" s="231"/>
      <c r="B327" s="235"/>
      <c r="C327" s="214"/>
      <c r="D327" s="214"/>
      <c r="E327" s="214"/>
      <c r="F327" s="214"/>
      <c r="G327" s="222"/>
      <c r="H327" s="221"/>
      <c r="I327" s="213"/>
      <c r="J327" s="213"/>
      <c r="K327" s="215"/>
      <c r="L327" s="216"/>
      <c r="M327" s="217"/>
      <c r="N327" s="176"/>
      <c r="O327" s="241" t="str">
        <f>IF(Q327 = "", "", COUNT(Q$4:$Q327))</f>
        <v/>
      </c>
      <c r="P327" s="241" t="str">
        <f t="shared" si="44"/>
        <v/>
      </c>
      <c r="Q327" s="242" t="str">
        <f t="shared" si="45"/>
        <v/>
      </c>
      <c r="R327" s="243" t="str">
        <f t="shared" si="47"/>
        <v/>
      </c>
      <c r="S327" s="244" t="str">
        <f t="shared" si="48"/>
        <v/>
      </c>
      <c r="T327" s="245" t="str">
        <f t="shared" si="49"/>
        <v/>
      </c>
      <c r="U327" s="246" t="str">
        <f t="shared" si="50"/>
        <v/>
      </c>
      <c r="V327" s="8"/>
      <c r="AR327" t="str">
        <f t="shared" si="51"/>
        <v/>
      </c>
      <c r="AS327" t="str">
        <f t="shared" si="46"/>
        <v/>
      </c>
    </row>
    <row r="328" spans="1:45" x14ac:dyDescent="0.3">
      <c r="A328" s="231"/>
      <c r="B328" s="235"/>
      <c r="C328" s="214"/>
      <c r="D328" s="214"/>
      <c r="E328" s="214"/>
      <c r="F328" s="214"/>
      <c r="G328" s="222"/>
      <c r="H328" s="221"/>
      <c r="I328" s="213"/>
      <c r="J328" s="213"/>
      <c r="K328" s="215"/>
      <c r="L328" s="216"/>
      <c r="M328" s="217"/>
      <c r="N328" s="176"/>
      <c r="O328" s="241" t="str">
        <f>IF(Q328 = "", "", COUNT(Q$4:$Q328))</f>
        <v/>
      </c>
      <c r="P328" s="241" t="str">
        <f t="shared" si="44"/>
        <v/>
      </c>
      <c r="Q328" s="242" t="str">
        <f t="shared" si="45"/>
        <v/>
      </c>
      <c r="R328" s="243" t="str">
        <f t="shared" si="47"/>
        <v/>
      </c>
      <c r="S328" s="244" t="str">
        <f t="shared" si="48"/>
        <v/>
      </c>
      <c r="T328" s="245" t="str">
        <f t="shared" si="49"/>
        <v/>
      </c>
      <c r="U328" s="246" t="str">
        <f t="shared" si="50"/>
        <v/>
      </c>
      <c r="V328" s="8"/>
      <c r="AR328" t="str">
        <f t="shared" si="51"/>
        <v/>
      </c>
      <c r="AS328" t="str">
        <f t="shared" si="46"/>
        <v/>
      </c>
    </row>
    <row r="329" spans="1:45" x14ac:dyDescent="0.3">
      <c r="A329" s="231"/>
      <c r="B329" s="235"/>
      <c r="C329" s="214"/>
      <c r="D329" s="214"/>
      <c r="E329" s="214"/>
      <c r="F329" s="214"/>
      <c r="G329" s="222"/>
      <c r="H329" s="221"/>
      <c r="I329" s="213"/>
      <c r="J329" s="213"/>
      <c r="K329" s="215"/>
      <c r="L329" s="216"/>
      <c r="M329" s="217"/>
      <c r="N329" s="176"/>
      <c r="O329" s="241" t="str">
        <f>IF(Q329 = "", "", COUNT(Q$4:$Q329))</f>
        <v/>
      </c>
      <c r="P329" s="241" t="str">
        <f t="shared" si="44"/>
        <v/>
      </c>
      <c r="Q329" s="242" t="str">
        <f t="shared" si="45"/>
        <v/>
      </c>
      <c r="R329" s="243" t="str">
        <f t="shared" si="47"/>
        <v/>
      </c>
      <c r="S329" s="244" t="str">
        <f t="shared" si="48"/>
        <v/>
      </c>
      <c r="T329" s="245" t="str">
        <f t="shared" si="49"/>
        <v/>
      </c>
      <c r="U329" s="246" t="str">
        <f t="shared" si="50"/>
        <v/>
      </c>
      <c r="V329" s="8"/>
      <c r="AR329" t="str">
        <f t="shared" si="51"/>
        <v/>
      </c>
      <c r="AS329" t="str">
        <f t="shared" si="46"/>
        <v/>
      </c>
    </row>
    <row r="330" spans="1:45" x14ac:dyDescent="0.3">
      <c r="A330" s="231"/>
      <c r="B330" s="235"/>
      <c r="C330" s="214"/>
      <c r="D330" s="214"/>
      <c r="E330" s="214"/>
      <c r="F330" s="214"/>
      <c r="G330" s="222"/>
      <c r="H330" s="221"/>
      <c r="I330" s="213"/>
      <c r="J330" s="213"/>
      <c r="K330" s="215"/>
      <c r="L330" s="216"/>
      <c r="M330" s="217"/>
      <c r="N330" s="176"/>
      <c r="O330" s="241" t="str">
        <f>IF(Q330 = "", "", COUNT(Q$4:$Q330))</f>
        <v/>
      </c>
      <c r="P330" s="241" t="str">
        <f t="shared" si="44"/>
        <v/>
      </c>
      <c r="Q330" s="242" t="str">
        <f t="shared" si="45"/>
        <v/>
      </c>
      <c r="R330" s="243" t="str">
        <f t="shared" si="47"/>
        <v/>
      </c>
      <c r="S330" s="244" t="str">
        <f t="shared" si="48"/>
        <v/>
      </c>
      <c r="T330" s="245" t="str">
        <f t="shared" si="49"/>
        <v/>
      </c>
      <c r="U330" s="246" t="str">
        <f t="shared" si="50"/>
        <v/>
      </c>
      <c r="V330" s="8"/>
      <c r="AR330" t="str">
        <f t="shared" si="51"/>
        <v/>
      </c>
      <c r="AS330" t="str">
        <f t="shared" si="46"/>
        <v/>
      </c>
    </row>
    <row r="331" spans="1:45" x14ac:dyDescent="0.3">
      <c r="A331" s="231"/>
      <c r="B331" s="235"/>
      <c r="C331" s="214"/>
      <c r="D331" s="214"/>
      <c r="E331" s="214"/>
      <c r="F331" s="214"/>
      <c r="G331" s="222"/>
      <c r="H331" s="221"/>
      <c r="I331" s="213"/>
      <c r="J331" s="213"/>
      <c r="K331" s="215"/>
      <c r="L331" s="216"/>
      <c r="M331" s="217"/>
      <c r="N331" s="176"/>
      <c r="O331" s="241" t="str">
        <f>IF(Q331 = "", "", COUNT(Q$4:$Q331))</f>
        <v/>
      </c>
      <c r="P331" s="241" t="str">
        <f t="shared" si="44"/>
        <v/>
      </c>
      <c r="Q331" s="242" t="str">
        <f t="shared" si="45"/>
        <v/>
      </c>
      <c r="R331" s="243" t="str">
        <f t="shared" si="47"/>
        <v/>
      </c>
      <c r="S331" s="244" t="str">
        <f t="shared" si="48"/>
        <v/>
      </c>
      <c r="T331" s="245" t="str">
        <f t="shared" si="49"/>
        <v/>
      </c>
      <c r="U331" s="246" t="str">
        <f t="shared" si="50"/>
        <v/>
      </c>
      <c r="V331" s="8"/>
      <c r="AR331" t="str">
        <f t="shared" si="51"/>
        <v/>
      </c>
      <c r="AS331" t="str">
        <f t="shared" si="46"/>
        <v/>
      </c>
    </row>
    <row r="332" spans="1:45" x14ac:dyDescent="0.3">
      <c r="A332" s="231"/>
      <c r="B332" s="235"/>
      <c r="C332" s="214"/>
      <c r="D332" s="214"/>
      <c r="E332" s="214"/>
      <c r="F332" s="214"/>
      <c r="G332" s="222"/>
      <c r="H332" s="221"/>
      <c r="I332" s="213"/>
      <c r="J332" s="213"/>
      <c r="K332" s="215"/>
      <c r="L332" s="216"/>
      <c r="M332" s="217"/>
      <c r="N332" s="176"/>
      <c r="O332" s="241" t="str">
        <f>IF(Q332 = "", "", COUNT(Q$4:$Q332))</f>
        <v/>
      </c>
      <c r="P332" s="241" t="str">
        <f t="shared" si="44"/>
        <v/>
      </c>
      <c r="Q332" s="242" t="str">
        <f t="shared" si="45"/>
        <v/>
      </c>
      <c r="R332" s="243" t="str">
        <f t="shared" si="47"/>
        <v/>
      </c>
      <c r="S332" s="244" t="str">
        <f t="shared" si="48"/>
        <v/>
      </c>
      <c r="T332" s="245" t="str">
        <f t="shared" si="49"/>
        <v/>
      </c>
      <c r="U332" s="246" t="str">
        <f t="shared" si="50"/>
        <v/>
      </c>
      <c r="V332" s="8"/>
      <c r="AR332" t="str">
        <f t="shared" si="51"/>
        <v/>
      </c>
      <c r="AS332" t="str">
        <f t="shared" si="46"/>
        <v/>
      </c>
    </row>
    <row r="333" spans="1:45" x14ac:dyDescent="0.3">
      <c r="A333" s="231"/>
      <c r="B333" s="235"/>
      <c r="C333" s="214"/>
      <c r="D333" s="214"/>
      <c r="E333" s="214"/>
      <c r="F333" s="214"/>
      <c r="G333" s="222"/>
      <c r="H333" s="221"/>
      <c r="I333" s="213"/>
      <c r="J333" s="213"/>
      <c r="K333" s="215"/>
      <c r="L333" s="216"/>
      <c r="M333" s="217"/>
      <c r="N333" s="176"/>
      <c r="O333" s="241" t="str">
        <f>IF(Q333 = "", "", COUNT(Q$4:$Q333))</f>
        <v/>
      </c>
      <c r="P333" s="241" t="str">
        <f t="shared" si="44"/>
        <v/>
      </c>
      <c r="Q333" s="242" t="str">
        <f t="shared" si="45"/>
        <v/>
      </c>
      <c r="R333" s="243" t="str">
        <f t="shared" si="47"/>
        <v/>
      </c>
      <c r="S333" s="244" t="str">
        <f t="shared" si="48"/>
        <v/>
      </c>
      <c r="T333" s="245" t="str">
        <f t="shared" si="49"/>
        <v/>
      </c>
      <c r="U333" s="246" t="str">
        <f t="shared" si="50"/>
        <v/>
      </c>
      <c r="V333" s="8"/>
      <c r="AR333" t="str">
        <f t="shared" si="51"/>
        <v/>
      </c>
      <c r="AS333" t="str">
        <f t="shared" si="46"/>
        <v/>
      </c>
    </row>
    <row r="334" spans="1:45" x14ac:dyDescent="0.3">
      <c r="A334" s="231"/>
      <c r="B334" s="235"/>
      <c r="C334" s="214"/>
      <c r="D334" s="214"/>
      <c r="E334" s="214"/>
      <c r="F334" s="214"/>
      <c r="G334" s="222"/>
      <c r="H334" s="221"/>
      <c r="I334" s="213"/>
      <c r="J334" s="213"/>
      <c r="K334" s="215"/>
      <c r="L334" s="216"/>
      <c r="M334" s="217"/>
      <c r="N334" s="176"/>
      <c r="O334" s="241" t="str">
        <f>IF(Q334 = "", "", COUNT(Q$4:$Q334))</f>
        <v/>
      </c>
      <c r="P334" s="241" t="str">
        <f t="shared" si="44"/>
        <v/>
      </c>
      <c r="Q334" s="242" t="str">
        <f t="shared" si="45"/>
        <v/>
      </c>
      <c r="R334" s="243" t="str">
        <f t="shared" si="47"/>
        <v/>
      </c>
      <c r="S334" s="244" t="str">
        <f t="shared" si="48"/>
        <v/>
      </c>
      <c r="T334" s="245" t="str">
        <f t="shared" si="49"/>
        <v/>
      </c>
      <c r="U334" s="246" t="str">
        <f t="shared" si="50"/>
        <v/>
      </c>
      <c r="V334" s="8"/>
      <c r="AR334" t="str">
        <f t="shared" si="51"/>
        <v/>
      </c>
      <c r="AS334" t="str">
        <f t="shared" si="46"/>
        <v/>
      </c>
    </row>
    <row r="335" spans="1:45" x14ac:dyDescent="0.3">
      <c r="A335" s="231"/>
      <c r="B335" s="235"/>
      <c r="C335" s="214"/>
      <c r="D335" s="214"/>
      <c r="E335" s="214"/>
      <c r="F335" s="214"/>
      <c r="G335" s="222"/>
      <c r="H335" s="221"/>
      <c r="I335" s="213"/>
      <c r="J335" s="213"/>
      <c r="K335" s="215"/>
      <c r="L335" s="216"/>
      <c r="M335" s="217"/>
      <c r="N335" s="176"/>
      <c r="O335" s="241" t="str">
        <f>IF(Q335 = "", "", COUNT(Q$4:$Q335))</f>
        <v/>
      </c>
      <c r="P335" s="241" t="str">
        <f t="shared" si="44"/>
        <v/>
      </c>
      <c r="Q335" s="242" t="str">
        <f t="shared" si="45"/>
        <v/>
      </c>
      <c r="R335" s="243" t="str">
        <f t="shared" si="47"/>
        <v/>
      </c>
      <c r="S335" s="244" t="str">
        <f t="shared" si="48"/>
        <v/>
      </c>
      <c r="T335" s="245" t="str">
        <f t="shared" si="49"/>
        <v/>
      </c>
      <c r="U335" s="246" t="str">
        <f t="shared" si="50"/>
        <v/>
      </c>
      <c r="V335" s="8"/>
      <c r="AR335" t="str">
        <f t="shared" si="51"/>
        <v/>
      </c>
      <c r="AS335" t="str">
        <f t="shared" si="46"/>
        <v/>
      </c>
    </row>
    <row r="336" spans="1:45" x14ac:dyDescent="0.3">
      <c r="A336" s="231"/>
      <c r="B336" s="235"/>
      <c r="C336" s="214"/>
      <c r="D336" s="214"/>
      <c r="E336" s="214"/>
      <c r="F336" s="214"/>
      <c r="G336" s="222"/>
      <c r="H336" s="221"/>
      <c r="I336" s="213"/>
      <c r="J336" s="213"/>
      <c r="K336" s="215"/>
      <c r="L336" s="216"/>
      <c r="M336" s="217"/>
      <c r="N336" s="176"/>
      <c r="O336" s="241" t="str">
        <f>IF(Q336 = "", "", COUNT(Q$4:$Q336))</f>
        <v/>
      </c>
      <c r="P336" s="241" t="str">
        <f t="shared" si="44"/>
        <v/>
      </c>
      <c r="Q336" s="242" t="str">
        <f t="shared" si="45"/>
        <v/>
      </c>
      <c r="R336" s="243" t="str">
        <f t="shared" si="47"/>
        <v/>
      </c>
      <c r="S336" s="244" t="str">
        <f t="shared" si="48"/>
        <v/>
      </c>
      <c r="T336" s="245" t="str">
        <f t="shared" si="49"/>
        <v/>
      </c>
      <c r="U336" s="246" t="str">
        <f t="shared" si="50"/>
        <v/>
      </c>
      <c r="V336" s="8"/>
      <c r="AR336" t="str">
        <f t="shared" si="51"/>
        <v/>
      </c>
      <c r="AS336" t="str">
        <f t="shared" si="46"/>
        <v/>
      </c>
    </row>
    <row r="337" spans="1:45" x14ac:dyDescent="0.3">
      <c r="A337" s="231"/>
      <c r="B337" s="235"/>
      <c r="C337" s="214"/>
      <c r="D337" s="214"/>
      <c r="E337" s="214"/>
      <c r="F337" s="214"/>
      <c r="G337" s="222"/>
      <c r="H337" s="221"/>
      <c r="I337" s="213"/>
      <c r="J337" s="213"/>
      <c r="K337" s="215"/>
      <c r="L337" s="216"/>
      <c r="M337" s="217"/>
      <c r="N337" s="176"/>
      <c r="O337" s="241" t="str">
        <f>IF(Q337 = "", "", COUNT(Q$4:$Q337))</f>
        <v/>
      </c>
      <c r="P337" s="241" t="str">
        <f t="shared" si="44"/>
        <v/>
      </c>
      <c r="Q337" s="242" t="str">
        <f t="shared" si="45"/>
        <v/>
      </c>
      <c r="R337" s="243" t="str">
        <f t="shared" si="47"/>
        <v/>
      </c>
      <c r="S337" s="244" t="str">
        <f t="shared" si="48"/>
        <v/>
      </c>
      <c r="T337" s="245" t="str">
        <f t="shared" si="49"/>
        <v/>
      </c>
      <c r="U337" s="246" t="str">
        <f t="shared" si="50"/>
        <v/>
      </c>
      <c r="V337" s="8"/>
      <c r="AR337" t="str">
        <f t="shared" si="51"/>
        <v/>
      </c>
      <c r="AS337" t="str">
        <f t="shared" si="46"/>
        <v/>
      </c>
    </row>
    <row r="338" spans="1:45" x14ac:dyDescent="0.3">
      <c r="A338" s="231"/>
      <c r="B338" s="235"/>
      <c r="C338" s="214"/>
      <c r="D338" s="214"/>
      <c r="E338" s="214"/>
      <c r="F338" s="214"/>
      <c r="G338" s="222"/>
      <c r="H338" s="221"/>
      <c r="I338" s="213"/>
      <c r="J338" s="213"/>
      <c r="K338" s="215"/>
      <c r="L338" s="216"/>
      <c r="M338" s="217"/>
      <c r="N338" s="176"/>
      <c r="O338" s="241" t="str">
        <f>IF(Q338 = "", "", COUNT(Q$4:$Q338))</f>
        <v/>
      </c>
      <c r="P338" s="241" t="str">
        <f t="shared" si="44"/>
        <v/>
      </c>
      <c r="Q338" s="242" t="str">
        <f t="shared" si="45"/>
        <v/>
      </c>
      <c r="R338" s="243" t="str">
        <f t="shared" si="47"/>
        <v/>
      </c>
      <c r="S338" s="244" t="str">
        <f t="shared" si="48"/>
        <v/>
      </c>
      <c r="T338" s="245" t="str">
        <f t="shared" si="49"/>
        <v/>
      </c>
      <c r="U338" s="246" t="str">
        <f t="shared" si="50"/>
        <v/>
      </c>
      <c r="V338" s="8"/>
      <c r="AR338" t="str">
        <f t="shared" si="51"/>
        <v/>
      </c>
      <c r="AS338" t="str">
        <f t="shared" si="46"/>
        <v/>
      </c>
    </row>
    <row r="339" spans="1:45" x14ac:dyDescent="0.3">
      <c r="A339" s="231"/>
      <c r="B339" s="235"/>
      <c r="C339" s="214"/>
      <c r="D339" s="214"/>
      <c r="E339" s="214"/>
      <c r="F339" s="214"/>
      <c r="G339" s="222"/>
      <c r="H339" s="221"/>
      <c r="I339" s="213"/>
      <c r="J339" s="213"/>
      <c r="K339" s="215"/>
      <c r="L339" s="216"/>
      <c r="M339" s="217"/>
      <c r="N339" s="176"/>
      <c r="O339" s="241" t="str">
        <f>IF(Q339 = "", "", COUNT(Q$4:$Q339))</f>
        <v/>
      </c>
      <c r="P339" s="241" t="str">
        <f t="shared" si="44"/>
        <v/>
      </c>
      <c r="Q339" s="242" t="str">
        <f t="shared" si="45"/>
        <v/>
      </c>
      <c r="R339" s="243" t="str">
        <f t="shared" si="47"/>
        <v/>
      </c>
      <c r="S339" s="244" t="str">
        <f t="shared" si="48"/>
        <v/>
      </c>
      <c r="T339" s="245" t="str">
        <f t="shared" si="49"/>
        <v/>
      </c>
      <c r="U339" s="246" t="str">
        <f t="shared" si="50"/>
        <v/>
      </c>
      <c r="V339" s="8"/>
      <c r="AR339" t="str">
        <f t="shared" si="51"/>
        <v/>
      </c>
      <c r="AS339" t="str">
        <f t="shared" si="46"/>
        <v/>
      </c>
    </row>
    <row r="340" spans="1:45" x14ac:dyDescent="0.3">
      <c r="A340" s="231"/>
      <c r="B340" s="235"/>
      <c r="C340" s="214"/>
      <c r="D340" s="214"/>
      <c r="E340" s="214"/>
      <c r="F340" s="214"/>
      <c r="G340" s="222"/>
      <c r="H340" s="221"/>
      <c r="I340" s="213"/>
      <c r="J340" s="213"/>
      <c r="K340" s="215"/>
      <c r="L340" s="216"/>
      <c r="M340" s="217"/>
      <c r="N340" s="176"/>
      <c r="O340" s="241" t="str">
        <f>IF(Q340 = "", "", COUNT(Q$4:$Q340))</f>
        <v/>
      </c>
      <c r="P340" s="241" t="str">
        <f t="shared" si="44"/>
        <v/>
      </c>
      <c r="Q340" s="242" t="str">
        <f t="shared" si="45"/>
        <v/>
      </c>
      <c r="R340" s="243" t="str">
        <f t="shared" si="47"/>
        <v/>
      </c>
      <c r="S340" s="244" t="str">
        <f t="shared" si="48"/>
        <v/>
      </c>
      <c r="T340" s="245" t="str">
        <f t="shared" si="49"/>
        <v/>
      </c>
      <c r="U340" s="246" t="str">
        <f t="shared" si="50"/>
        <v/>
      </c>
      <c r="V340" s="8"/>
      <c r="AR340" t="str">
        <f t="shared" si="51"/>
        <v/>
      </c>
      <c r="AS340" t="str">
        <f t="shared" si="46"/>
        <v/>
      </c>
    </row>
    <row r="341" spans="1:45" x14ac:dyDescent="0.3">
      <c r="A341" s="231"/>
      <c r="B341" s="235"/>
      <c r="C341" s="214"/>
      <c r="D341" s="214"/>
      <c r="E341" s="214"/>
      <c r="F341" s="214"/>
      <c r="G341" s="222"/>
      <c r="H341" s="221"/>
      <c r="I341" s="213"/>
      <c r="J341" s="213"/>
      <c r="K341" s="215"/>
      <c r="L341" s="216"/>
      <c r="M341" s="217"/>
      <c r="N341" s="176"/>
      <c r="O341" s="241" t="str">
        <f>IF(Q341 = "", "", COUNT(Q$4:$Q341))</f>
        <v/>
      </c>
      <c r="P341" s="241" t="str">
        <f t="shared" si="44"/>
        <v/>
      </c>
      <c r="Q341" s="242" t="str">
        <f t="shared" si="45"/>
        <v/>
      </c>
      <c r="R341" s="243" t="str">
        <f t="shared" si="47"/>
        <v/>
      </c>
      <c r="S341" s="244" t="str">
        <f t="shared" si="48"/>
        <v/>
      </c>
      <c r="T341" s="245" t="str">
        <f t="shared" si="49"/>
        <v/>
      </c>
      <c r="U341" s="246" t="str">
        <f t="shared" si="50"/>
        <v/>
      </c>
      <c r="V341" s="8"/>
      <c r="AR341" t="str">
        <f t="shared" si="51"/>
        <v/>
      </c>
      <c r="AS341" t="str">
        <f t="shared" si="46"/>
        <v/>
      </c>
    </row>
    <row r="342" spans="1:45" x14ac:dyDescent="0.3">
      <c r="A342" s="231"/>
      <c r="B342" s="235"/>
      <c r="C342" s="214"/>
      <c r="D342" s="214"/>
      <c r="E342" s="214"/>
      <c r="F342" s="214"/>
      <c r="G342" s="222"/>
      <c r="H342" s="221"/>
      <c r="I342" s="213"/>
      <c r="J342" s="213"/>
      <c r="K342" s="215"/>
      <c r="L342" s="216"/>
      <c r="M342" s="217"/>
      <c r="N342" s="176"/>
      <c r="O342" s="241" t="str">
        <f>IF(Q342 = "", "", COUNT(Q$4:$Q342))</f>
        <v/>
      </c>
      <c r="P342" s="241" t="str">
        <f t="shared" si="44"/>
        <v/>
      </c>
      <c r="Q342" s="242" t="str">
        <f t="shared" si="45"/>
        <v/>
      </c>
      <c r="R342" s="243" t="str">
        <f t="shared" si="47"/>
        <v/>
      </c>
      <c r="S342" s="244" t="str">
        <f t="shared" si="48"/>
        <v/>
      </c>
      <c r="T342" s="245" t="str">
        <f t="shared" si="49"/>
        <v/>
      </c>
      <c r="U342" s="246" t="str">
        <f t="shared" si="50"/>
        <v/>
      </c>
      <c r="V342" s="8"/>
      <c r="AR342" t="str">
        <f t="shared" si="51"/>
        <v/>
      </c>
      <c r="AS342" t="str">
        <f t="shared" si="46"/>
        <v/>
      </c>
    </row>
    <row r="343" spans="1:45" x14ac:dyDescent="0.3">
      <c r="A343" s="231"/>
      <c r="B343" s="235"/>
      <c r="C343" s="214"/>
      <c r="D343" s="214"/>
      <c r="E343" s="214"/>
      <c r="F343" s="214"/>
      <c r="G343" s="222"/>
      <c r="H343" s="221"/>
      <c r="I343" s="213"/>
      <c r="J343" s="213"/>
      <c r="K343" s="215"/>
      <c r="L343" s="216"/>
      <c r="M343" s="217"/>
      <c r="N343" s="176"/>
      <c r="O343" s="241" t="str">
        <f>IF(Q343 = "", "", COUNT(Q$4:$Q343))</f>
        <v/>
      </c>
      <c r="P343" s="241" t="str">
        <f t="shared" si="44"/>
        <v/>
      </c>
      <c r="Q343" s="242" t="str">
        <f t="shared" si="45"/>
        <v/>
      </c>
      <c r="R343" s="243" t="str">
        <f t="shared" si="47"/>
        <v/>
      </c>
      <c r="S343" s="244" t="str">
        <f t="shared" si="48"/>
        <v/>
      </c>
      <c r="T343" s="245" t="str">
        <f t="shared" si="49"/>
        <v/>
      </c>
      <c r="U343" s="246" t="str">
        <f t="shared" si="50"/>
        <v/>
      </c>
      <c r="V343" s="8"/>
      <c r="AR343" t="str">
        <f t="shared" si="51"/>
        <v/>
      </c>
      <c r="AS343" t="str">
        <f t="shared" si="46"/>
        <v/>
      </c>
    </row>
    <row r="344" spans="1:45" x14ac:dyDescent="0.3">
      <c r="A344" s="231"/>
      <c r="B344" s="235"/>
      <c r="C344" s="214"/>
      <c r="D344" s="214"/>
      <c r="E344" s="214"/>
      <c r="F344" s="214"/>
      <c r="G344" s="222"/>
      <c r="H344" s="221"/>
      <c r="I344" s="213"/>
      <c r="J344" s="213"/>
      <c r="K344" s="215"/>
      <c r="L344" s="216"/>
      <c r="M344" s="217"/>
      <c r="N344" s="176"/>
      <c r="O344" s="241" t="str">
        <f>IF(Q344 = "", "", COUNT(Q$4:$Q344))</f>
        <v/>
      </c>
      <c r="P344" s="241" t="str">
        <f t="shared" si="44"/>
        <v/>
      </c>
      <c r="Q344" s="242" t="str">
        <f t="shared" si="45"/>
        <v/>
      </c>
      <c r="R344" s="243" t="str">
        <f t="shared" si="47"/>
        <v/>
      </c>
      <c r="S344" s="244" t="str">
        <f t="shared" si="48"/>
        <v/>
      </c>
      <c r="T344" s="245" t="str">
        <f t="shared" si="49"/>
        <v/>
      </c>
      <c r="U344" s="246" t="str">
        <f t="shared" si="50"/>
        <v/>
      </c>
      <c r="V344" s="8"/>
      <c r="AR344" t="str">
        <f t="shared" si="51"/>
        <v/>
      </c>
      <c r="AS344" t="str">
        <f t="shared" si="46"/>
        <v/>
      </c>
    </row>
    <row r="345" spans="1:45" x14ac:dyDescent="0.3">
      <c r="A345" s="231"/>
      <c r="B345" s="235"/>
      <c r="C345" s="214"/>
      <c r="D345" s="214"/>
      <c r="E345" s="214"/>
      <c r="F345" s="214"/>
      <c r="G345" s="222"/>
      <c r="H345" s="221"/>
      <c r="I345" s="213"/>
      <c r="J345" s="213"/>
      <c r="K345" s="215"/>
      <c r="L345" s="216"/>
      <c r="M345" s="217"/>
      <c r="N345" s="176"/>
      <c r="O345" s="241" t="str">
        <f>IF(Q345 = "", "", COUNT(Q$4:$Q345))</f>
        <v/>
      </c>
      <c r="P345" s="241" t="str">
        <f t="shared" si="44"/>
        <v/>
      </c>
      <c r="Q345" s="242" t="str">
        <f t="shared" si="45"/>
        <v/>
      </c>
      <c r="R345" s="243" t="str">
        <f t="shared" si="47"/>
        <v/>
      </c>
      <c r="S345" s="244" t="str">
        <f t="shared" si="48"/>
        <v/>
      </c>
      <c r="T345" s="245" t="str">
        <f t="shared" si="49"/>
        <v/>
      </c>
      <c r="U345" s="246" t="str">
        <f t="shared" si="50"/>
        <v/>
      </c>
      <c r="V345" s="8"/>
      <c r="AR345" t="str">
        <f t="shared" si="51"/>
        <v/>
      </c>
      <c r="AS345" t="str">
        <f t="shared" si="46"/>
        <v/>
      </c>
    </row>
    <row r="346" spans="1:45" x14ac:dyDescent="0.3">
      <c r="A346" s="231"/>
      <c r="B346" s="235"/>
      <c r="C346" s="214"/>
      <c r="D346" s="214"/>
      <c r="E346" s="214"/>
      <c r="F346" s="214"/>
      <c r="G346" s="222"/>
      <c r="H346" s="221"/>
      <c r="I346" s="213"/>
      <c r="J346" s="213"/>
      <c r="K346" s="215"/>
      <c r="L346" s="216"/>
      <c r="M346" s="217"/>
      <c r="N346" s="176"/>
      <c r="O346" s="241" t="str">
        <f>IF(Q346 = "", "", COUNT(Q$4:$Q346))</f>
        <v/>
      </c>
      <c r="P346" s="241" t="str">
        <f t="shared" si="44"/>
        <v/>
      </c>
      <c r="Q346" s="242" t="str">
        <f t="shared" si="45"/>
        <v/>
      </c>
      <c r="R346" s="243" t="str">
        <f t="shared" si="47"/>
        <v/>
      </c>
      <c r="S346" s="244" t="str">
        <f t="shared" si="48"/>
        <v/>
      </c>
      <c r="T346" s="245" t="str">
        <f t="shared" si="49"/>
        <v/>
      </c>
      <c r="U346" s="246" t="str">
        <f t="shared" si="50"/>
        <v/>
      </c>
      <c r="V346" s="8"/>
      <c r="AR346" t="str">
        <f t="shared" si="51"/>
        <v/>
      </c>
      <c r="AS346" t="str">
        <f t="shared" si="46"/>
        <v/>
      </c>
    </row>
    <row r="347" spans="1:45" x14ac:dyDescent="0.3">
      <c r="A347" s="231"/>
      <c r="B347" s="235"/>
      <c r="C347" s="214"/>
      <c r="D347" s="214"/>
      <c r="E347" s="214"/>
      <c r="F347" s="214"/>
      <c r="G347" s="222"/>
      <c r="H347" s="221"/>
      <c r="I347" s="213"/>
      <c r="J347" s="213"/>
      <c r="K347" s="215"/>
      <c r="L347" s="216"/>
      <c r="M347" s="217"/>
      <c r="N347" s="176"/>
      <c r="O347" s="241" t="str">
        <f>IF(Q347 = "", "", COUNT(Q$4:$Q347))</f>
        <v/>
      </c>
      <c r="P347" s="241" t="str">
        <f t="shared" si="44"/>
        <v/>
      </c>
      <c r="Q347" s="242" t="str">
        <f t="shared" si="45"/>
        <v/>
      </c>
      <c r="R347" s="243" t="str">
        <f t="shared" si="47"/>
        <v/>
      </c>
      <c r="S347" s="244" t="str">
        <f t="shared" si="48"/>
        <v/>
      </c>
      <c r="T347" s="245" t="str">
        <f t="shared" si="49"/>
        <v/>
      </c>
      <c r="U347" s="246" t="str">
        <f t="shared" si="50"/>
        <v/>
      </c>
      <c r="V347" s="8"/>
      <c r="AR347" t="str">
        <f t="shared" si="51"/>
        <v/>
      </c>
      <c r="AS347" t="str">
        <f t="shared" si="46"/>
        <v/>
      </c>
    </row>
    <row r="348" spans="1:45" x14ac:dyDescent="0.3">
      <c r="A348" s="231"/>
      <c r="B348" s="235"/>
      <c r="C348" s="214"/>
      <c r="D348" s="214"/>
      <c r="E348" s="214"/>
      <c r="F348" s="214"/>
      <c r="G348" s="222"/>
      <c r="H348" s="221"/>
      <c r="I348" s="213"/>
      <c r="J348" s="213"/>
      <c r="K348" s="215"/>
      <c r="L348" s="216"/>
      <c r="M348" s="217"/>
      <c r="N348" s="176"/>
      <c r="O348" s="241" t="str">
        <f>IF(Q348 = "", "", COUNT(Q$4:$Q348))</f>
        <v/>
      </c>
      <c r="P348" s="241" t="str">
        <f t="shared" si="44"/>
        <v/>
      </c>
      <c r="Q348" s="242" t="str">
        <f t="shared" si="45"/>
        <v/>
      </c>
      <c r="R348" s="243" t="str">
        <f t="shared" si="47"/>
        <v/>
      </c>
      <c r="S348" s="244" t="str">
        <f t="shared" si="48"/>
        <v/>
      </c>
      <c r="T348" s="245" t="str">
        <f t="shared" si="49"/>
        <v/>
      </c>
      <c r="U348" s="246" t="str">
        <f t="shared" si="50"/>
        <v/>
      </c>
      <c r="V348" s="8"/>
      <c r="AR348" t="str">
        <f t="shared" si="51"/>
        <v/>
      </c>
      <c r="AS348" t="str">
        <f t="shared" si="46"/>
        <v/>
      </c>
    </row>
    <row r="349" spans="1:45" x14ac:dyDescent="0.3">
      <c r="A349" s="231"/>
      <c r="B349" s="235"/>
      <c r="C349" s="214"/>
      <c r="D349" s="214"/>
      <c r="E349" s="214"/>
      <c r="F349" s="214"/>
      <c r="G349" s="222"/>
      <c r="H349" s="221"/>
      <c r="I349" s="213"/>
      <c r="J349" s="213"/>
      <c r="K349" s="215"/>
      <c r="L349" s="216"/>
      <c r="M349" s="217"/>
      <c r="N349" s="176"/>
      <c r="O349" s="241" t="str">
        <f>IF(Q349 = "", "", COUNT(Q$4:$Q349))</f>
        <v/>
      </c>
      <c r="P349" s="241" t="str">
        <f t="shared" si="44"/>
        <v/>
      </c>
      <c r="Q349" s="242" t="str">
        <f t="shared" si="45"/>
        <v/>
      </c>
      <c r="R349" s="243" t="str">
        <f t="shared" si="47"/>
        <v/>
      </c>
      <c r="S349" s="244" t="str">
        <f t="shared" si="48"/>
        <v/>
      </c>
      <c r="T349" s="245" t="str">
        <f t="shared" si="49"/>
        <v/>
      </c>
      <c r="U349" s="246" t="str">
        <f t="shared" si="50"/>
        <v/>
      </c>
      <c r="V349" s="8"/>
      <c r="AR349" t="str">
        <f t="shared" si="51"/>
        <v/>
      </c>
      <c r="AS349" t="str">
        <f t="shared" si="46"/>
        <v/>
      </c>
    </row>
    <row r="350" spans="1:45" x14ac:dyDescent="0.3">
      <c r="A350" s="231"/>
      <c r="B350" s="235"/>
      <c r="C350" s="214"/>
      <c r="D350" s="214"/>
      <c r="E350" s="214"/>
      <c r="F350" s="214"/>
      <c r="G350" s="222"/>
      <c r="H350" s="221"/>
      <c r="I350" s="213"/>
      <c r="J350" s="213"/>
      <c r="K350" s="215"/>
      <c r="L350" s="216"/>
      <c r="M350" s="217"/>
      <c r="N350" s="176"/>
      <c r="O350" s="241" t="str">
        <f>IF(Q350 = "", "", COUNT(Q$4:$Q350))</f>
        <v/>
      </c>
      <c r="P350" s="241" t="str">
        <f t="shared" si="44"/>
        <v/>
      </c>
      <c r="Q350" s="242" t="str">
        <f t="shared" si="45"/>
        <v/>
      </c>
      <c r="R350" s="243" t="str">
        <f t="shared" si="47"/>
        <v/>
      </c>
      <c r="S350" s="244" t="str">
        <f t="shared" si="48"/>
        <v/>
      </c>
      <c r="T350" s="245" t="str">
        <f t="shared" si="49"/>
        <v/>
      </c>
      <c r="U350" s="246" t="str">
        <f t="shared" si="50"/>
        <v/>
      </c>
      <c r="V350" s="8"/>
      <c r="AR350" t="str">
        <f t="shared" si="51"/>
        <v/>
      </c>
      <c r="AS350" t="str">
        <f t="shared" si="46"/>
        <v/>
      </c>
    </row>
    <row r="351" spans="1:45" x14ac:dyDescent="0.3">
      <c r="A351" s="231"/>
      <c r="B351" s="235"/>
      <c r="C351" s="214"/>
      <c r="D351" s="214"/>
      <c r="E351" s="214"/>
      <c r="F351" s="214"/>
      <c r="G351" s="222"/>
      <c r="H351" s="221"/>
      <c r="I351" s="213"/>
      <c r="J351" s="213"/>
      <c r="K351" s="215"/>
      <c r="L351" s="216"/>
      <c r="M351" s="217"/>
      <c r="N351" s="176"/>
      <c r="O351" s="241" t="str">
        <f>IF(Q351 = "", "", COUNT(Q$4:$Q351))</f>
        <v/>
      </c>
      <c r="P351" s="241" t="str">
        <f t="shared" si="44"/>
        <v/>
      </c>
      <c r="Q351" s="242" t="str">
        <f t="shared" si="45"/>
        <v/>
      </c>
      <c r="R351" s="243" t="str">
        <f t="shared" si="47"/>
        <v/>
      </c>
      <c r="S351" s="244" t="str">
        <f t="shared" si="48"/>
        <v/>
      </c>
      <c r="T351" s="245" t="str">
        <f t="shared" si="49"/>
        <v/>
      </c>
      <c r="U351" s="246" t="str">
        <f t="shared" si="50"/>
        <v/>
      </c>
      <c r="V351" s="8"/>
      <c r="AR351" t="str">
        <f t="shared" si="51"/>
        <v/>
      </c>
      <c r="AS351" t="str">
        <f t="shared" si="46"/>
        <v/>
      </c>
    </row>
    <row r="352" spans="1:45" x14ac:dyDescent="0.3">
      <c r="A352" s="231"/>
      <c r="B352" s="235"/>
      <c r="C352" s="214"/>
      <c r="D352" s="214"/>
      <c r="E352" s="214"/>
      <c r="F352" s="214"/>
      <c r="G352" s="222"/>
      <c r="H352" s="221"/>
      <c r="I352" s="213"/>
      <c r="J352" s="213"/>
      <c r="K352" s="215"/>
      <c r="L352" s="216"/>
      <c r="M352" s="217"/>
      <c r="N352" s="176"/>
      <c r="O352" s="241" t="str">
        <f>IF(Q352 = "", "", COUNT(Q$4:$Q352))</f>
        <v/>
      </c>
      <c r="P352" s="241" t="str">
        <f t="shared" si="44"/>
        <v/>
      </c>
      <c r="Q352" s="242" t="str">
        <f t="shared" si="45"/>
        <v/>
      </c>
      <c r="R352" s="243" t="str">
        <f t="shared" si="47"/>
        <v/>
      </c>
      <c r="S352" s="244" t="str">
        <f t="shared" si="48"/>
        <v/>
      </c>
      <c r="T352" s="245" t="str">
        <f t="shared" si="49"/>
        <v/>
      </c>
      <c r="U352" s="246" t="str">
        <f t="shared" si="50"/>
        <v/>
      </c>
      <c r="V352" s="8"/>
      <c r="AR352" t="str">
        <f t="shared" si="51"/>
        <v/>
      </c>
      <c r="AS352" t="str">
        <f t="shared" si="46"/>
        <v/>
      </c>
    </row>
    <row r="353" spans="1:45" x14ac:dyDescent="0.3">
      <c r="A353" s="231"/>
      <c r="B353" s="235"/>
      <c r="C353" s="214"/>
      <c r="D353" s="214"/>
      <c r="E353" s="214"/>
      <c r="F353" s="214"/>
      <c r="G353" s="222"/>
      <c r="H353" s="221"/>
      <c r="I353" s="213"/>
      <c r="J353" s="213"/>
      <c r="K353" s="215"/>
      <c r="L353" s="216"/>
      <c r="M353" s="217"/>
      <c r="N353" s="176"/>
      <c r="O353" s="241" t="str">
        <f>IF(Q353 = "", "", COUNT(Q$4:$Q353))</f>
        <v/>
      </c>
      <c r="P353" s="241" t="str">
        <f t="shared" si="44"/>
        <v/>
      </c>
      <c r="Q353" s="242" t="str">
        <f t="shared" si="45"/>
        <v/>
      </c>
      <c r="R353" s="243" t="str">
        <f t="shared" si="47"/>
        <v/>
      </c>
      <c r="S353" s="244" t="str">
        <f t="shared" si="48"/>
        <v/>
      </c>
      <c r="T353" s="245" t="str">
        <f t="shared" si="49"/>
        <v/>
      </c>
      <c r="U353" s="246" t="str">
        <f t="shared" si="50"/>
        <v/>
      </c>
      <c r="V353" s="8"/>
      <c r="AR353" t="str">
        <f t="shared" si="51"/>
        <v/>
      </c>
      <c r="AS353" t="str">
        <f t="shared" si="46"/>
        <v/>
      </c>
    </row>
    <row r="354" spans="1:45" x14ac:dyDescent="0.3">
      <c r="A354" s="231"/>
      <c r="B354" s="235"/>
      <c r="C354" s="214"/>
      <c r="D354" s="214"/>
      <c r="E354" s="214"/>
      <c r="F354" s="214"/>
      <c r="G354" s="222"/>
      <c r="H354" s="221"/>
      <c r="I354" s="213"/>
      <c r="J354" s="213"/>
      <c r="K354" s="215"/>
      <c r="L354" s="216"/>
      <c r="M354" s="217"/>
      <c r="N354" s="176"/>
      <c r="O354" s="241" t="str">
        <f>IF(Q354 = "", "", COUNT(Q$4:$Q354))</f>
        <v/>
      </c>
      <c r="P354" s="241" t="str">
        <f t="shared" si="44"/>
        <v/>
      </c>
      <c r="Q354" s="242" t="str">
        <f t="shared" si="45"/>
        <v/>
      </c>
      <c r="R354" s="243" t="str">
        <f t="shared" si="47"/>
        <v/>
      </c>
      <c r="S354" s="244" t="str">
        <f t="shared" si="48"/>
        <v/>
      </c>
      <c r="T354" s="245" t="str">
        <f t="shared" si="49"/>
        <v/>
      </c>
      <c r="U354" s="246" t="str">
        <f t="shared" si="50"/>
        <v/>
      </c>
      <c r="V354" s="8"/>
      <c r="AR354" t="str">
        <f t="shared" si="51"/>
        <v/>
      </c>
      <c r="AS354" t="str">
        <f t="shared" si="46"/>
        <v/>
      </c>
    </row>
    <row r="355" spans="1:45" x14ac:dyDescent="0.3">
      <c r="A355" s="231"/>
      <c r="B355" s="235"/>
      <c r="C355" s="214"/>
      <c r="D355" s="214"/>
      <c r="E355" s="214"/>
      <c r="F355" s="214"/>
      <c r="G355" s="222"/>
      <c r="H355" s="221"/>
      <c r="I355" s="213"/>
      <c r="J355" s="213"/>
      <c r="K355" s="215"/>
      <c r="L355" s="216"/>
      <c r="M355" s="217"/>
      <c r="N355" s="176"/>
      <c r="O355" s="241" t="str">
        <f>IF(Q355 = "", "", COUNT(Q$4:$Q355))</f>
        <v/>
      </c>
      <c r="P355" s="241" t="str">
        <f t="shared" si="44"/>
        <v/>
      </c>
      <c r="Q355" s="242" t="str">
        <f t="shared" si="45"/>
        <v/>
      </c>
      <c r="R355" s="243" t="str">
        <f t="shared" si="47"/>
        <v/>
      </c>
      <c r="S355" s="244" t="str">
        <f t="shared" si="48"/>
        <v/>
      </c>
      <c r="T355" s="245" t="str">
        <f t="shared" si="49"/>
        <v/>
      </c>
      <c r="U355" s="246" t="str">
        <f t="shared" si="50"/>
        <v/>
      </c>
      <c r="V355" s="8"/>
      <c r="AR355" t="str">
        <f t="shared" si="51"/>
        <v/>
      </c>
      <c r="AS355" t="str">
        <f t="shared" si="46"/>
        <v/>
      </c>
    </row>
    <row r="356" spans="1:45" x14ac:dyDescent="0.3">
      <c r="A356" s="231"/>
      <c r="B356" s="235"/>
      <c r="C356" s="214"/>
      <c r="D356" s="214"/>
      <c r="E356" s="214"/>
      <c r="F356" s="214"/>
      <c r="G356" s="222"/>
      <c r="H356" s="221"/>
      <c r="I356" s="213"/>
      <c r="J356" s="213"/>
      <c r="K356" s="215"/>
      <c r="L356" s="216"/>
      <c r="M356" s="217"/>
      <c r="N356" s="176"/>
      <c r="O356" s="241" t="str">
        <f>IF(Q356 = "", "", COUNT(Q$4:$Q356))</f>
        <v/>
      </c>
      <c r="P356" s="241" t="str">
        <f t="shared" si="44"/>
        <v/>
      </c>
      <c r="Q356" s="242" t="str">
        <f t="shared" si="45"/>
        <v/>
      </c>
      <c r="R356" s="243" t="str">
        <f t="shared" si="47"/>
        <v/>
      </c>
      <c r="S356" s="244" t="str">
        <f t="shared" si="48"/>
        <v/>
      </c>
      <c r="T356" s="245" t="str">
        <f t="shared" si="49"/>
        <v/>
      </c>
      <c r="U356" s="246" t="str">
        <f t="shared" si="50"/>
        <v/>
      </c>
      <c r="V356" s="8"/>
      <c r="AR356" t="str">
        <f t="shared" si="51"/>
        <v/>
      </c>
      <c r="AS356" t="str">
        <f t="shared" si="46"/>
        <v/>
      </c>
    </row>
    <row r="357" spans="1:45" x14ac:dyDescent="0.3">
      <c r="A357" s="231"/>
      <c r="B357" s="235"/>
      <c r="C357" s="214"/>
      <c r="D357" s="214"/>
      <c r="E357" s="214"/>
      <c r="F357" s="214"/>
      <c r="G357" s="222"/>
      <c r="H357" s="221"/>
      <c r="I357" s="213"/>
      <c r="J357" s="213"/>
      <c r="K357" s="215"/>
      <c r="L357" s="216"/>
      <c r="M357" s="217"/>
      <c r="N357" s="176"/>
      <c r="O357" s="241" t="str">
        <f>IF(Q357 = "", "", COUNT(Q$4:$Q357))</f>
        <v/>
      </c>
      <c r="P357" s="241" t="str">
        <f t="shared" si="44"/>
        <v/>
      </c>
      <c r="Q357" s="242" t="str">
        <f t="shared" si="45"/>
        <v/>
      </c>
      <c r="R357" s="243" t="str">
        <f t="shared" si="47"/>
        <v/>
      </c>
      <c r="S357" s="244" t="str">
        <f t="shared" si="48"/>
        <v/>
      </c>
      <c r="T357" s="245" t="str">
        <f t="shared" si="49"/>
        <v/>
      </c>
      <c r="U357" s="246" t="str">
        <f t="shared" si="50"/>
        <v/>
      </c>
      <c r="V357" s="8"/>
      <c r="AR357" t="str">
        <f t="shared" si="51"/>
        <v/>
      </c>
      <c r="AS357" t="str">
        <f t="shared" si="46"/>
        <v/>
      </c>
    </row>
    <row r="358" spans="1:45" x14ac:dyDescent="0.3">
      <c r="A358" s="231"/>
      <c r="B358" s="235"/>
      <c r="C358" s="214"/>
      <c r="D358" s="214"/>
      <c r="E358" s="214"/>
      <c r="F358" s="214"/>
      <c r="G358" s="222"/>
      <c r="H358" s="221"/>
      <c r="I358" s="213"/>
      <c r="J358" s="213"/>
      <c r="K358" s="215"/>
      <c r="L358" s="216"/>
      <c r="M358" s="217"/>
      <c r="N358" s="176"/>
      <c r="O358" s="241" t="str">
        <f>IF(Q358 = "", "", COUNT(Q$4:$Q358))</f>
        <v/>
      </c>
      <c r="P358" s="241" t="str">
        <f t="shared" si="44"/>
        <v/>
      </c>
      <c r="Q358" s="242" t="str">
        <f t="shared" si="45"/>
        <v/>
      </c>
      <c r="R358" s="243" t="str">
        <f t="shared" si="47"/>
        <v/>
      </c>
      <c r="S358" s="244" t="str">
        <f t="shared" si="48"/>
        <v/>
      </c>
      <c r="T358" s="245" t="str">
        <f t="shared" si="49"/>
        <v/>
      </c>
      <c r="U358" s="246" t="str">
        <f t="shared" si="50"/>
        <v/>
      </c>
      <c r="V358" s="8"/>
      <c r="AR358" t="str">
        <f t="shared" si="51"/>
        <v/>
      </c>
      <c r="AS358" t="str">
        <f t="shared" si="46"/>
        <v/>
      </c>
    </row>
    <row r="359" spans="1:45" x14ac:dyDescent="0.3">
      <c r="A359" s="231"/>
      <c r="B359" s="235"/>
      <c r="C359" s="214"/>
      <c r="D359" s="214"/>
      <c r="E359" s="214"/>
      <c r="F359" s="214"/>
      <c r="G359" s="222"/>
      <c r="H359" s="221"/>
      <c r="I359" s="213"/>
      <c r="J359" s="213"/>
      <c r="K359" s="215"/>
      <c r="L359" s="216"/>
      <c r="M359" s="217"/>
      <c r="N359" s="176"/>
      <c r="O359" s="241" t="str">
        <f>IF(Q359 = "", "", COUNT(Q$4:$Q359))</f>
        <v/>
      </c>
      <c r="P359" s="241" t="str">
        <f t="shared" si="44"/>
        <v/>
      </c>
      <c r="Q359" s="242" t="str">
        <f t="shared" si="45"/>
        <v/>
      </c>
      <c r="R359" s="243" t="str">
        <f t="shared" si="47"/>
        <v/>
      </c>
      <c r="S359" s="244" t="str">
        <f t="shared" si="48"/>
        <v/>
      </c>
      <c r="T359" s="245" t="str">
        <f t="shared" si="49"/>
        <v/>
      </c>
      <c r="U359" s="246" t="str">
        <f t="shared" si="50"/>
        <v/>
      </c>
      <c r="V359" s="8"/>
      <c r="AR359" t="str">
        <f t="shared" si="51"/>
        <v/>
      </c>
      <c r="AS359" t="str">
        <f t="shared" si="46"/>
        <v/>
      </c>
    </row>
    <row r="360" spans="1:45" x14ac:dyDescent="0.3">
      <c r="A360" s="231"/>
      <c r="B360" s="235"/>
      <c r="C360" s="214"/>
      <c r="D360" s="214"/>
      <c r="E360" s="214"/>
      <c r="F360" s="214"/>
      <c r="G360" s="222"/>
      <c r="H360" s="221"/>
      <c r="I360" s="213"/>
      <c r="J360" s="213"/>
      <c r="K360" s="215"/>
      <c r="L360" s="216"/>
      <c r="M360" s="217"/>
      <c r="N360" s="176"/>
      <c r="O360" s="241" t="str">
        <f>IF(Q360 = "", "", COUNT(Q$4:$Q360))</f>
        <v/>
      </c>
      <c r="P360" s="241" t="str">
        <f t="shared" si="44"/>
        <v/>
      </c>
      <c r="Q360" s="242" t="str">
        <f t="shared" si="45"/>
        <v/>
      </c>
      <c r="R360" s="243" t="str">
        <f t="shared" si="47"/>
        <v/>
      </c>
      <c r="S360" s="244" t="str">
        <f t="shared" si="48"/>
        <v/>
      </c>
      <c r="T360" s="245" t="str">
        <f t="shared" si="49"/>
        <v/>
      </c>
      <c r="U360" s="246" t="str">
        <f t="shared" si="50"/>
        <v/>
      </c>
      <c r="V360" s="8"/>
      <c r="AR360" t="str">
        <f t="shared" si="51"/>
        <v/>
      </c>
      <c r="AS360" t="str">
        <f t="shared" si="46"/>
        <v/>
      </c>
    </row>
    <row r="361" spans="1:45" x14ac:dyDescent="0.3">
      <c r="A361" s="231"/>
      <c r="B361" s="235"/>
      <c r="C361" s="214"/>
      <c r="D361" s="214"/>
      <c r="E361" s="214"/>
      <c r="F361" s="214"/>
      <c r="G361" s="222"/>
      <c r="H361" s="221"/>
      <c r="I361" s="213"/>
      <c r="J361" s="213"/>
      <c r="K361" s="215"/>
      <c r="L361" s="216"/>
      <c r="M361" s="217"/>
      <c r="N361" s="176"/>
      <c r="O361" s="241" t="str">
        <f>IF(Q361 = "", "", COUNT(Q$4:$Q361))</f>
        <v/>
      </c>
      <c r="P361" s="241" t="str">
        <f t="shared" si="44"/>
        <v/>
      </c>
      <c r="Q361" s="242" t="str">
        <f t="shared" si="45"/>
        <v/>
      </c>
      <c r="R361" s="243" t="str">
        <f t="shared" si="47"/>
        <v/>
      </c>
      <c r="S361" s="244" t="str">
        <f t="shared" si="48"/>
        <v/>
      </c>
      <c r="T361" s="245" t="str">
        <f t="shared" si="49"/>
        <v/>
      </c>
      <c r="U361" s="246" t="str">
        <f t="shared" si="50"/>
        <v/>
      </c>
      <c r="V361" s="8"/>
      <c r="AR361" t="str">
        <f t="shared" si="51"/>
        <v/>
      </c>
      <c r="AS361" t="str">
        <f t="shared" si="46"/>
        <v/>
      </c>
    </row>
    <row r="362" spans="1:45" x14ac:dyDescent="0.3">
      <c r="A362" s="231"/>
      <c r="B362" s="235"/>
      <c r="C362" s="214"/>
      <c r="D362" s="214"/>
      <c r="E362" s="214"/>
      <c r="F362" s="214"/>
      <c r="G362" s="222"/>
      <c r="H362" s="221"/>
      <c r="I362" s="213"/>
      <c r="J362" s="213"/>
      <c r="K362" s="215"/>
      <c r="L362" s="216"/>
      <c r="M362" s="217"/>
      <c r="N362" s="176"/>
      <c r="O362" s="241" t="str">
        <f>IF(Q362 = "", "", COUNT(Q$4:$Q362))</f>
        <v/>
      </c>
      <c r="P362" s="241" t="str">
        <f t="shared" si="44"/>
        <v/>
      </c>
      <c r="Q362" s="242" t="str">
        <f t="shared" si="45"/>
        <v/>
      </c>
      <c r="R362" s="243" t="str">
        <f t="shared" si="47"/>
        <v/>
      </c>
      <c r="S362" s="244" t="str">
        <f t="shared" si="48"/>
        <v/>
      </c>
      <c r="T362" s="245" t="str">
        <f t="shared" si="49"/>
        <v/>
      </c>
      <c r="U362" s="246" t="str">
        <f t="shared" si="50"/>
        <v/>
      </c>
      <c r="V362" s="8"/>
      <c r="AR362" t="str">
        <f t="shared" si="51"/>
        <v/>
      </c>
      <c r="AS362" t="str">
        <f t="shared" si="46"/>
        <v/>
      </c>
    </row>
    <row r="363" spans="1:45" x14ac:dyDescent="0.3">
      <c r="A363" s="231"/>
      <c r="B363" s="235"/>
      <c r="C363" s="214"/>
      <c r="D363" s="214"/>
      <c r="E363" s="214"/>
      <c r="F363" s="214"/>
      <c r="G363" s="222"/>
      <c r="H363" s="221"/>
      <c r="I363" s="213"/>
      <c r="J363" s="213"/>
      <c r="K363" s="215"/>
      <c r="L363" s="216"/>
      <c r="M363" s="217"/>
      <c r="N363" s="176"/>
      <c r="O363" s="241" t="str">
        <f>IF(Q363 = "", "", COUNT(Q$4:$Q363))</f>
        <v/>
      </c>
      <c r="P363" s="241" t="str">
        <f t="shared" si="44"/>
        <v/>
      </c>
      <c r="Q363" s="242" t="str">
        <f t="shared" si="45"/>
        <v/>
      </c>
      <c r="R363" s="243" t="str">
        <f t="shared" si="47"/>
        <v/>
      </c>
      <c r="S363" s="244" t="str">
        <f t="shared" si="48"/>
        <v/>
      </c>
      <c r="T363" s="245" t="str">
        <f t="shared" si="49"/>
        <v/>
      </c>
      <c r="U363" s="246" t="str">
        <f t="shared" si="50"/>
        <v/>
      </c>
      <c r="V363" s="8"/>
      <c r="AR363" t="str">
        <f t="shared" si="51"/>
        <v/>
      </c>
      <c r="AS363" t="str">
        <f t="shared" si="46"/>
        <v/>
      </c>
    </row>
    <row r="364" spans="1:45" x14ac:dyDescent="0.3">
      <c r="A364" s="231"/>
      <c r="B364" s="235"/>
      <c r="C364" s="214"/>
      <c r="D364" s="214"/>
      <c r="E364" s="214"/>
      <c r="F364" s="214"/>
      <c r="G364" s="222"/>
      <c r="H364" s="221"/>
      <c r="I364" s="213"/>
      <c r="J364" s="213"/>
      <c r="K364" s="215"/>
      <c r="L364" s="216"/>
      <c r="M364" s="217"/>
      <c r="N364" s="176"/>
      <c r="O364" s="241" t="str">
        <f>IF(Q364 = "", "", COUNT(Q$4:$Q364))</f>
        <v/>
      </c>
      <c r="P364" s="241" t="str">
        <f t="shared" si="44"/>
        <v/>
      </c>
      <c r="Q364" s="242" t="str">
        <f t="shared" si="45"/>
        <v/>
      </c>
      <c r="R364" s="243" t="str">
        <f t="shared" si="47"/>
        <v/>
      </c>
      <c r="S364" s="244" t="str">
        <f t="shared" si="48"/>
        <v/>
      </c>
      <c r="T364" s="245" t="str">
        <f t="shared" si="49"/>
        <v/>
      </c>
      <c r="U364" s="246" t="str">
        <f t="shared" si="50"/>
        <v/>
      </c>
      <c r="V364" s="8"/>
      <c r="AR364" t="str">
        <f t="shared" si="51"/>
        <v/>
      </c>
      <c r="AS364" t="str">
        <f t="shared" si="46"/>
        <v/>
      </c>
    </row>
    <row r="365" spans="1:45" x14ac:dyDescent="0.3">
      <c r="A365" s="231"/>
      <c r="B365" s="235"/>
      <c r="C365" s="214"/>
      <c r="D365" s="214"/>
      <c r="E365" s="214"/>
      <c r="F365" s="214"/>
      <c r="G365" s="222"/>
      <c r="H365" s="221"/>
      <c r="I365" s="213"/>
      <c r="J365" s="213"/>
      <c r="K365" s="215"/>
      <c r="L365" s="216"/>
      <c r="M365" s="217"/>
      <c r="N365" s="176"/>
      <c r="O365" s="241" t="str">
        <f>IF(Q365 = "", "", COUNT(Q$4:$Q365))</f>
        <v/>
      </c>
      <c r="P365" s="241" t="str">
        <f t="shared" si="44"/>
        <v/>
      </c>
      <c r="Q365" s="242" t="str">
        <f t="shared" si="45"/>
        <v/>
      </c>
      <c r="R365" s="243" t="str">
        <f t="shared" si="47"/>
        <v/>
      </c>
      <c r="S365" s="244" t="str">
        <f t="shared" si="48"/>
        <v/>
      </c>
      <c r="T365" s="245" t="str">
        <f t="shared" si="49"/>
        <v/>
      </c>
      <c r="U365" s="246" t="str">
        <f t="shared" si="50"/>
        <v/>
      </c>
      <c r="V365" s="8"/>
      <c r="AR365" t="str">
        <f t="shared" si="51"/>
        <v/>
      </c>
      <c r="AS365" t="str">
        <f t="shared" si="46"/>
        <v/>
      </c>
    </row>
    <row r="366" spans="1:45" x14ac:dyDescent="0.3">
      <c r="A366" s="231"/>
      <c r="B366" s="235"/>
      <c r="C366" s="214"/>
      <c r="D366" s="214"/>
      <c r="E366" s="214"/>
      <c r="F366" s="214"/>
      <c r="G366" s="222"/>
      <c r="H366" s="221"/>
      <c r="I366" s="213"/>
      <c r="J366" s="213"/>
      <c r="K366" s="215"/>
      <c r="L366" s="216"/>
      <c r="M366" s="217"/>
      <c r="N366" s="176"/>
      <c r="O366" s="241" t="str">
        <f>IF(Q366 = "", "", COUNT(Q$4:$Q366))</f>
        <v/>
      </c>
      <c r="P366" s="241" t="str">
        <f t="shared" si="44"/>
        <v/>
      </c>
      <c r="Q366" s="242" t="str">
        <f t="shared" si="45"/>
        <v/>
      </c>
      <c r="R366" s="243" t="str">
        <f t="shared" si="47"/>
        <v/>
      </c>
      <c r="S366" s="244" t="str">
        <f t="shared" si="48"/>
        <v/>
      </c>
      <c r="T366" s="245" t="str">
        <f t="shared" si="49"/>
        <v/>
      </c>
      <c r="U366" s="246" t="str">
        <f t="shared" si="50"/>
        <v/>
      </c>
      <c r="V366" s="8"/>
      <c r="AR366" t="str">
        <f t="shared" si="51"/>
        <v/>
      </c>
      <c r="AS366" t="str">
        <f t="shared" si="46"/>
        <v/>
      </c>
    </row>
    <row r="367" spans="1:45" x14ac:dyDescent="0.3">
      <c r="A367" s="231"/>
      <c r="B367" s="235"/>
      <c r="C367" s="214"/>
      <c r="D367" s="214"/>
      <c r="E367" s="214"/>
      <c r="F367" s="214"/>
      <c r="G367" s="222"/>
      <c r="H367" s="221"/>
      <c r="I367" s="213"/>
      <c r="J367" s="213"/>
      <c r="K367" s="215"/>
      <c r="L367" s="216"/>
      <c r="M367" s="217"/>
      <c r="N367" s="176"/>
      <c r="O367" s="241" t="str">
        <f>IF(Q367 = "", "", COUNT(Q$4:$Q367))</f>
        <v/>
      </c>
      <c r="P367" s="241" t="str">
        <f t="shared" si="44"/>
        <v/>
      </c>
      <c r="Q367" s="242" t="str">
        <f t="shared" si="45"/>
        <v/>
      </c>
      <c r="R367" s="243" t="str">
        <f t="shared" si="47"/>
        <v/>
      </c>
      <c r="S367" s="244" t="str">
        <f t="shared" si="48"/>
        <v/>
      </c>
      <c r="T367" s="245" t="str">
        <f t="shared" si="49"/>
        <v/>
      </c>
      <c r="U367" s="246" t="str">
        <f t="shared" si="50"/>
        <v/>
      </c>
      <c r="V367" s="8"/>
      <c r="AR367" t="str">
        <f t="shared" si="51"/>
        <v/>
      </c>
      <c r="AS367" t="str">
        <f t="shared" si="46"/>
        <v/>
      </c>
    </row>
    <row r="368" spans="1:45" x14ac:dyDescent="0.3">
      <c r="A368" s="231"/>
      <c r="B368" s="235"/>
      <c r="C368" s="214"/>
      <c r="D368" s="214"/>
      <c r="E368" s="214"/>
      <c r="F368" s="214"/>
      <c r="G368" s="222"/>
      <c r="H368" s="221"/>
      <c r="I368" s="213"/>
      <c r="J368" s="213"/>
      <c r="K368" s="215"/>
      <c r="L368" s="216"/>
      <c r="M368" s="217"/>
      <c r="N368" s="176"/>
      <c r="O368" s="241" t="str">
        <f>IF(Q368 = "", "", COUNT(Q$4:$Q368))</f>
        <v/>
      </c>
      <c r="P368" s="241" t="str">
        <f t="shared" si="44"/>
        <v/>
      </c>
      <c r="Q368" s="242" t="str">
        <f t="shared" si="45"/>
        <v/>
      </c>
      <c r="R368" s="243" t="str">
        <f t="shared" si="47"/>
        <v/>
      </c>
      <c r="S368" s="244" t="str">
        <f t="shared" si="48"/>
        <v/>
      </c>
      <c r="T368" s="245" t="str">
        <f t="shared" si="49"/>
        <v/>
      </c>
      <c r="U368" s="246" t="str">
        <f t="shared" si="50"/>
        <v/>
      </c>
      <c r="V368" s="8"/>
      <c r="AR368" t="str">
        <f t="shared" si="51"/>
        <v/>
      </c>
      <c r="AS368" t="str">
        <f t="shared" si="46"/>
        <v/>
      </c>
    </row>
    <row r="369" spans="1:45" x14ac:dyDescent="0.3">
      <c r="A369" s="231"/>
      <c r="B369" s="235"/>
      <c r="C369" s="214"/>
      <c r="D369" s="214"/>
      <c r="E369" s="214"/>
      <c r="F369" s="214"/>
      <c r="G369" s="222"/>
      <c r="H369" s="221"/>
      <c r="I369" s="213"/>
      <c r="J369" s="213"/>
      <c r="K369" s="215"/>
      <c r="L369" s="216"/>
      <c r="M369" s="217"/>
      <c r="N369" s="176"/>
      <c r="O369" s="241" t="str">
        <f>IF(Q369 = "", "", COUNT(Q$4:$Q369))</f>
        <v/>
      </c>
      <c r="P369" s="241" t="str">
        <f t="shared" si="44"/>
        <v/>
      </c>
      <c r="Q369" s="242" t="str">
        <f t="shared" si="45"/>
        <v/>
      </c>
      <c r="R369" s="243" t="str">
        <f t="shared" si="47"/>
        <v/>
      </c>
      <c r="S369" s="244" t="str">
        <f t="shared" si="48"/>
        <v/>
      </c>
      <c r="T369" s="245" t="str">
        <f t="shared" si="49"/>
        <v/>
      </c>
      <c r="U369" s="246" t="str">
        <f t="shared" si="50"/>
        <v/>
      </c>
      <c r="V369" s="8"/>
      <c r="AR369" t="str">
        <f t="shared" si="51"/>
        <v/>
      </c>
      <c r="AS369" t="str">
        <f t="shared" si="46"/>
        <v/>
      </c>
    </row>
    <row r="370" spans="1:45" x14ac:dyDescent="0.3">
      <c r="A370" s="231"/>
      <c r="B370" s="235"/>
      <c r="C370" s="214"/>
      <c r="D370" s="214"/>
      <c r="E370" s="214"/>
      <c r="F370" s="214"/>
      <c r="G370" s="222"/>
      <c r="H370" s="221"/>
      <c r="I370" s="213"/>
      <c r="J370" s="213"/>
      <c r="K370" s="215"/>
      <c r="L370" s="216"/>
      <c r="M370" s="217"/>
      <c r="N370" s="176"/>
      <c r="O370" s="241" t="str">
        <f>IF(Q370 = "", "", COUNT(Q$4:$Q370))</f>
        <v/>
      </c>
      <c r="P370" s="241" t="str">
        <f t="shared" si="44"/>
        <v/>
      </c>
      <c r="Q370" s="242" t="str">
        <f t="shared" si="45"/>
        <v/>
      </c>
      <c r="R370" s="243" t="str">
        <f t="shared" si="47"/>
        <v/>
      </c>
      <c r="S370" s="244" t="str">
        <f t="shared" si="48"/>
        <v/>
      </c>
      <c r="T370" s="245" t="str">
        <f t="shared" si="49"/>
        <v/>
      </c>
      <c r="U370" s="246" t="str">
        <f t="shared" si="50"/>
        <v/>
      </c>
      <c r="V370" s="8"/>
      <c r="AR370" t="str">
        <f t="shared" si="51"/>
        <v/>
      </c>
      <c r="AS370" t="str">
        <f t="shared" si="46"/>
        <v/>
      </c>
    </row>
    <row r="371" spans="1:45" x14ac:dyDescent="0.3">
      <c r="A371" s="231"/>
      <c r="B371" s="235"/>
      <c r="C371" s="214"/>
      <c r="D371" s="214"/>
      <c r="E371" s="214"/>
      <c r="F371" s="214"/>
      <c r="G371" s="222"/>
      <c r="H371" s="221"/>
      <c r="I371" s="213"/>
      <c r="J371" s="213"/>
      <c r="K371" s="215"/>
      <c r="L371" s="216"/>
      <c r="M371" s="217"/>
      <c r="N371" s="176"/>
      <c r="O371" s="241" t="str">
        <f>IF(Q371 = "", "", COUNT(Q$4:$Q371))</f>
        <v/>
      </c>
      <c r="P371" s="241" t="str">
        <f t="shared" si="44"/>
        <v/>
      </c>
      <c r="Q371" s="242" t="str">
        <f t="shared" si="45"/>
        <v/>
      </c>
      <c r="R371" s="243" t="str">
        <f t="shared" si="47"/>
        <v/>
      </c>
      <c r="S371" s="244" t="str">
        <f t="shared" si="48"/>
        <v/>
      </c>
      <c r="T371" s="245" t="str">
        <f t="shared" si="49"/>
        <v/>
      </c>
      <c r="U371" s="246" t="str">
        <f t="shared" si="50"/>
        <v/>
      </c>
      <c r="V371" s="8"/>
      <c r="AR371" t="str">
        <f t="shared" si="51"/>
        <v/>
      </c>
      <c r="AS371" t="str">
        <f t="shared" si="46"/>
        <v/>
      </c>
    </row>
    <row r="372" spans="1:45" x14ac:dyDescent="0.3">
      <c r="A372" s="231"/>
      <c r="B372" s="235"/>
      <c r="C372" s="214"/>
      <c r="D372" s="214"/>
      <c r="E372" s="214"/>
      <c r="F372" s="214"/>
      <c r="G372" s="222"/>
      <c r="H372" s="221"/>
      <c r="I372" s="213"/>
      <c r="J372" s="213"/>
      <c r="K372" s="215"/>
      <c r="L372" s="216"/>
      <c r="M372" s="217"/>
      <c r="N372" s="176"/>
      <c r="O372" s="241" t="str">
        <f>IF(Q372 = "", "", COUNT(Q$4:$Q372))</f>
        <v/>
      </c>
      <c r="P372" s="241" t="str">
        <f t="shared" si="44"/>
        <v/>
      </c>
      <c r="Q372" s="242" t="str">
        <f t="shared" si="45"/>
        <v/>
      </c>
      <c r="R372" s="243" t="str">
        <f t="shared" si="47"/>
        <v/>
      </c>
      <c r="S372" s="244" t="str">
        <f t="shared" si="48"/>
        <v/>
      </c>
      <c r="T372" s="245" t="str">
        <f t="shared" si="49"/>
        <v/>
      </c>
      <c r="U372" s="246" t="str">
        <f t="shared" si="50"/>
        <v/>
      </c>
      <c r="V372" s="8"/>
      <c r="AR372" t="str">
        <f t="shared" si="51"/>
        <v/>
      </c>
      <c r="AS372" t="str">
        <f t="shared" si="46"/>
        <v/>
      </c>
    </row>
    <row r="373" spans="1:45" x14ac:dyDescent="0.3">
      <c r="A373" s="231"/>
      <c r="B373" s="235"/>
      <c r="C373" s="214"/>
      <c r="D373" s="214"/>
      <c r="E373" s="214"/>
      <c r="F373" s="214"/>
      <c r="G373" s="222"/>
      <c r="H373" s="221"/>
      <c r="I373" s="213"/>
      <c r="J373" s="213"/>
      <c r="K373" s="215"/>
      <c r="L373" s="216"/>
      <c r="M373" s="217"/>
      <c r="N373" s="176"/>
      <c r="O373" s="241" t="str">
        <f>IF(Q373 = "", "", COUNT(Q$4:$Q373))</f>
        <v/>
      </c>
      <c r="P373" s="241" t="str">
        <f t="shared" si="44"/>
        <v/>
      </c>
      <c r="Q373" s="242" t="str">
        <f t="shared" si="45"/>
        <v/>
      </c>
      <c r="R373" s="243" t="str">
        <f t="shared" si="47"/>
        <v/>
      </c>
      <c r="S373" s="244" t="str">
        <f t="shared" si="48"/>
        <v/>
      </c>
      <c r="T373" s="245" t="str">
        <f t="shared" si="49"/>
        <v/>
      </c>
      <c r="U373" s="246" t="str">
        <f t="shared" si="50"/>
        <v/>
      </c>
      <c r="V373" s="8"/>
      <c r="AR373" t="str">
        <f t="shared" si="51"/>
        <v/>
      </c>
      <c r="AS373" t="str">
        <f t="shared" si="46"/>
        <v/>
      </c>
    </row>
    <row r="374" spans="1:45" x14ac:dyDescent="0.3">
      <c r="A374" s="231"/>
      <c r="B374" s="235"/>
      <c r="C374" s="214"/>
      <c r="D374" s="214"/>
      <c r="E374" s="214"/>
      <c r="F374" s="214"/>
      <c r="G374" s="222"/>
      <c r="H374" s="221"/>
      <c r="I374" s="213"/>
      <c r="J374" s="213"/>
      <c r="K374" s="215"/>
      <c r="L374" s="216"/>
      <c r="M374" s="217"/>
      <c r="N374" s="176"/>
      <c r="O374" s="241" t="str">
        <f>IF(Q374 = "", "", COUNT(Q$4:$Q374))</f>
        <v/>
      </c>
      <c r="P374" s="241" t="str">
        <f t="shared" si="44"/>
        <v/>
      </c>
      <c r="Q374" s="242" t="str">
        <f t="shared" si="45"/>
        <v/>
      </c>
      <c r="R374" s="243" t="str">
        <f t="shared" si="47"/>
        <v/>
      </c>
      <c r="S374" s="244" t="str">
        <f t="shared" si="48"/>
        <v/>
      </c>
      <c r="T374" s="245" t="str">
        <f t="shared" si="49"/>
        <v/>
      </c>
      <c r="U374" s="246" t="str">
        <f t="shared" si="50"/>
        <v/>
      </c>
      <c r="V374" s="8"/>
      <c r="AR374" t="str">
        <f t="shared" si="51"/>
        <v/>
      </c>
      <c r="AS374" t="str">
        <f t="shared" si="46"/>
        <v/>
      </c>
    </row>
    <row r="375" spans="1:45" x14ac:dyDescent="0.3">
      <c r="A375" s="231"/>
      <c r="B375" s="235"/>
      <c r="C375" s="214"/>
      <c r="D375" s="214"/>
      <c r="E375" s="214"/>
      <c r="F375" s="214"/>
      <c r="G375" s="222"/>
      <c r="H375" s="221"/>
      <c r="I375" s="213"/>
      <c r="J375" s="213"/>
      <c r="K375" s="215"/>
      <c r="L375" s="216"/>
      <c r="M375" s="217"/>
      <c r="N375" s="176"/>
      <c r="O375" s="241" t="str">
        <f>IF(Q375 = "", "", COUNT(Q$4:$Q375))</f>
        <v/>
      </c>
      <c r="P375" s="241" t="str">
        <f t="shared" si="44"/>
        <v/>
      </c>
      <c r="Q375" s="242" t="str">
        <f t="shared" si="45"/>
        <v/>
      </c>
      <c r="R375" s="243" t="str">
        <f t="shared" si="47"/>
        <v/>
      </c>
      <c r="S375" s="244" t="str">
        <f t="shared" si="48"/>
        <v/>
      </c>
      <c r="T375" s="245" t="str">
        <f t="shared" si="49"/>
        <v/>
      </c>
      <c r="U375" s="246" t="str">
        <f t="shared" si="50"/>
        <v/>
      </c>
      <c r="V375" s="8"/>
      <c r="AR375" t="str">
        <f t="shared" si="51"/>
        <v/>
      </c>
      <c r="AS375" t="str">
        <f t="shared" si="46"/>
        <v/>
      </c>
    </row>
    <row r="376" spans="1:45" x14ac:dyDescent="0.3">
      <c r="A376" s="231"/>
      <c r="B376" s="235"/>
      <c r="C376" s="214"/>
      <c r="D376" s="214"/>
      <c r="E376" s="214"/>
      <c r="F376" s="214"/>
      <c r="G376" s="222"/>
      <c r="H376" s="221"/>
      <c r="I376" s="213"/>
      <c r="J376" s="213"/>
      <c r="K376" s="215"/>
      <c r="L376" s="216"/>
      <c r="M376" s="217"/>
      <c r="N376" s="176"/>
      <c r="O376" s="241" t="str">
        <f>IF(Q376 = "", "", COUNT(Q$4:$Q376))</f>
        <v/>
      </c>
      <c r="P376" s="241" t="str">
        <f t="shared" si="44"/>
        <v/>
      </c>
      <c r="Q376" s="242" t="str">
        <f t="shared" si="45"/>
        <v/>
      </c>
      <c r="R376" s="243" t="str">
        <f t="shared" si="47"/>
        <v/>
      </c>
      <c r="S376" s="244" t="str">
        <f t="shared" si="48"/>
        <v/>
      </c>
      <c r="T376" s="245" t="str">
        <f t="shared" si="49"/>
        <v/>
      </c>
      <c r="U376" s="246" t="str">
        <f t="shared" si="50"/>
        <v/>
      </c>
      <c r="V376" s="8"/>
      <c r="AR376" t="str">
        <f t="shared" si="51"/>
        <v/>
      </c>
      <c r="AS376" t="str">
        <f t="shared" si="46"/>
        <v/>
      </c>
    </row>
    <row r="377" spans="1:45" x14ac:dyDescent="0.3">
      <c r="A377" s="231"/>
      <c r="B377" s="235"/>
      <c r="C377" s="214"/>
      <c r="D377" s="214"/>
      <c r="E377" s="214"/>
      <c r="F377" s="214"/>
      <c r="G377" s="222"/>
      <c r="H377" s="221"/>
      <c r="I377" s="213"/>
      <c r="J377" s="213"/>
      <c r="K377" s="215"/>
      <c r="L377" s="216"/>
      <c r="M377" s="217"/>
      <c r="N377" s="176"/>
      <c r="O377" s="241" t="str">
        <f>IF(Q377 = "", "", COUNT(Q$4:$Q377))</f>
        <v/>
      </c>
      <c r="P377" s="241" t="str">
        <f t="shared" si="44"/>
        <v/>
      </c>
      <c r="Q377" s="242" t="str">
        <f t="shared" si="45"/>
        <v/>
      </c>
      <c r="R377" s="243" t="str">
        <f t="shared" si="47"/>
        <v/>
      </c>
      <c r="S377" s="244" t="str">
        <f t="shared" si="48"/>
        <v/>
      </c>
      <c r="T377" s="245" t="str">
        <f t="shared" si="49"/>
        <v/>
      </c>
      <c r="U377" s="246" t="str">
        <f t="shared" si="50"/>
        <v/>
      </c>
      <c r="V377" s="8"/>
      <c r="AR377" t="str">
        <f t="shared" si="51"/>
        <v/>
      </c>
      <c r="AS377" t="str">
        <f t="shared" si="46"/>
        <v/>
      </c>
    </row>
    <row r="378" spans="1:45" x14ac:dyDescent="0.3">
      <c r="A378" s="231"/>
      <c r="B378" s="235"/>
      <c r="C378" s="214"/>
      <c r="D378" s="214"/>
      <c r="E378" s="214"/>
      <c r="F378" s="214"/>
      <c r="G378" s="222"/>
      <c r="H378" s="221"/>
      <c r="I378" s="213"/>
      <c r="J378" s="213"/>
      <c r="K378" s="215"/>
      <c r="L378" s="216"/>
      <c r="M378" s="217"/>
      <c r="N378" s="176"/>
      <c r="O378" s="241" t="str">
        <f>IF(Q378 = "", "", COUNT(Q$4:$Q378))</f>
        <v/>
      </c>
      <c r="P378" s="241" t="str">
        <f t="shared" si="44"/>
        <v/>
      </c>
      <c r="Q378" s="242" t="str">
        <f t="shared" si="45"/>
        <v/>
      </c>
      <c r="R378" s="243" t="str">
        <f t="shared" si="47"/>
        <v/>
      </c>
      <c r="S378" s="244" t="str">
        <f t="shared" si="48"/>
        <v/>
      </c>
      <c r="T378" s="245" t="str">
        <f t="shared" si="49"/>
        <v/>
      </c>
      <c r="U378" s="246" t="str">
        <f t="shared" si="50"/>
        <v/>
      </c>
      <c r="V378" s="8"/>
      <c r="AR378" t="str">
        <f t="shared" si="51"/>
        <v/>
      </c>
      <c r="AS378" t="str">
        <f t="shared" si="46"/>
        <v/>
      </c>
    </row>
    <row r="379" spans="1:45" x14ac:dyDescent="0.3">
      <c r="A379" s="231"/>
      <c r="B379" s="235"/>
      <c r="C379" s="214"/>
      <c r="D379" s="214"/>
      <c r="E379" s="214"/>
      <c r="F379" s="214"/>
      <c r="G379" s="222"/>
      <c r="H379" s="221"/>
      <c r="I379" s="213"/>
      <c r="J379" s="213"/>
      <c r="K379" s="215"/>
      <c r="L379" s="216"/>
      <c r="M379" s="217"/>
      <c r="N379" s="176"/>
      <c r="O379" s="241" t="str">
        <f>IF(Q379 = "", "", COUNT(Q$4:$Q379))</f>
        <v/>
      </c>
      <c r="P379" s="241" t="str">
        <f t="shared" si="44"/>
        <v/>
      </c>
      <c r="Q379" s="242" t="str">
        <f t="shared" si="45"/>
        <v/>
      </c>
      <c r="R379" s="243" t="str">
        <f t="shared" si="47"/>
        <v/>
      </c>
      <c r="S379" s="244" t="str">
        <f t="shared" si="48"/>
        <v/>
      </c>
      <c r="T379" s="245" t="str">
        <f t="shared" si="49"/>
        <v/>
      </c>
      <c r="U379" s="246" t="str">
        <f t="shared" si="50"/>
        <v/>
      </c>
      <c r="V379" s="8"/>
      <c r="AR379" t="str">
        <f t="shared" si="51"/>
        <v/>
      </c>
      <c r="AS379" t="str">
        <f t="shared" si="46"/>
        <v/>
      </c>
    </row>
    <row r="380" spans="1:45" x14ac:dyDescent="0.3">
      <c r="A380" s="231"/>
      <c r="B380" s="235"/>
      <c r="C380" s="214"/>
      <c r="D380" s="214"/>
      <c r="E380" s="214"/>
      <c r="F380" s="214"/>
      <c r="G380" s="222"/>
      <c r="H380" s="221"/>
      <c r="I380" s="213"/>
      <c r="J380" s="213"/>
      <c r="K380" s="215"/>
      <c r="L380" s="216"/>
      <c r="M380" s="217"/>
      <c r="N380" s="176"/>
      <c r="O380" s="241" t="str">
        <f>IF(Q380 = "", "", COUNT(Q$4:$Q380))</f>
        <v/>
      </c>
      <c r="P380" s="241" t="str">
        <f t="shared" si="44"/>
        <v/>
      </c>
      <c r="Q380" s="242" t="str">
        <f t="shared" si="45"/>
        <v/>
      </c>
      <c r="R380" s="243" t="str">
        <f t="shared" si="47"/>
        <v/>
      </c>
      <c r="S380" s="244" t="str">
        <f t="shared" si="48"/>
        <v/>
      </c>
      <c r="T380" s="245" t="str">
        <f t="shared" si="49"/>
        <v/>
      </c>
      <c r="U380" s="246" t="str">
        <f t="shared" si="50"/>
        <v/>
      </c>
      <c r="V380" s="8"/>
      <c r="AR380" t="str">
        <f t="shared" si="51"/>
        <v/>
      </c>
      <c r="AS380" t="str">
        <f t="shared" si="46"/>
        <v/>
      </c>
    </row>
    <row r="381" spans="1:45" x14ac:dyDescent="0.3">
      <c r="A381" s="231"/>
      <c r="B381" s="235"/>
      <c r="C381" s="214"/>
      <c r="D381" s="214"/>
      <c r="E381" s="214"/>
      <c r="F381" s="214"/>
      <c r="G381" s="222"/>
      <c r="H381" s="221"/>
      <c r="I381" s="213"/>
      <c r="J381" s="213"/>
      <c r="K381" s="215"/>
      <c r="L381" s="216"/>
      <c r="M381" s="217"/>
      <c r="N381" s="176"/>
      <c r="O381" s="241" t="str">
        <f>IF(Q381 = "", "", COUNT(Q$4:$Q381))</f>
        <v/>
      </c>
      <c r="P381" s="241" t="str">
        <f t="shared" si="44"/>
        <v/>
      </c>
      <c r="Q381" s="242" t="str">
        <f t="shared" si="45"/>
        <v/>
      </c>
      <c r="R381" s="243" t="str">
        <f t="shared" si="47"/>
        <v/>
      </c>
      <c r="S381" s="244" t="str">
        <f t="shared" si="48"/>
        <v/>
      </c>
      <c r="T381" s="245" t="str">
        <f t="shared" si="49"/>
        <v/>
      </c>
      <c r="U381" s="246" t="str">
        <f t="shared" si="50"/>
        <v/>
      </c>
      <c r="V381" s="8"/>
      <c r="AR381" t="str">
        <f t="shared" si="51"/>
        <v/>
      </c>
      <c r="AS381" t="str">
        <f t="shared" si="46"/>
        <v/>
      </c>
    </row>
    <row r="382" spans="1:45" x14ac:dyDescent="0.3">
      <c r="A382" s="231"/>
      <c r="B382" s="235"/>
      <c r="C382" s="214"/>
      <c r="D382" s="214"/>
      <c r="E382" s="214"/>
      <c r="F382" s="214"/>
      <c r="G382" s="222"/>
      <c r="H382" s="221"/>
      <c r="I382" s="213"/>
      <c r="J382" s="213"/>
      <c r="K382" s="215"/>
      <c r="L382" s="216"/>
      <c r="M382" s="217"/>
      <c r="N382" s="176"/>
      <c r="O382" s="241" t="str">
        <f>IF(Q382 = "", "", COUNT(Q$4:$Q382))</f>
        <v/>
      </c>
      <c r="P382" s="241" t="str">
        <f t="shared" si="44"/>
        <v/>
      </c>
      <c r="Q382" s="242" t="str">
        <f t="shared" si="45"/>
        <v/>
      </c>
      <c r="R382" s="243" t="str">
        <f t="shared" si="47"/>
        <v/>
      </c>
      <c r="S382" s="244" t="str">
        <f t="shared" si="48"/>
        <v/>
      </c>
      <c r="T382" s="245" t="str">
        <f t="shared" si="49"/>
        <v/>
      </c>
      <c r="U382" s="246" t="str">
        <f t="shared" si="50"/>
        <v/>
      </c>
      <c r="V382" s="8"/>
      <c r="AR382" t="str">
        <f t="shared" si="51"/>
        <v/>
      </c>
      <c r="AS382" t="str">
        <f t="shared" si="46"/>
        <v/>
      </c>
    </row>
    <row r="383" spans="1:45" x14ac:dyDescent="0.3">
      <c r="A383" s="231"/>
      <c r="B383" s="235"/>
      <c r="C383" s="214"/>
      <c r="D383" s="214"/>
      <c r="E383" s="214"/>
      <c r="F383" s="214"/>
      <c r="G383" s="222"/>
      <c r="H383" s="221"/>
      <c r="I383" s="213"/>
      <c r="J383" s="213"/>
      <c r="K383" s="215"/>
      <c r="L383" s="216"/>
      <c r="M383" s="217"/>
      <c r="N383" s="176"/>
      <c r="O383" s="241" t="str">
        <f>IF(Q383 = "", "", COUNT(Q$4:$Q383))</f>
        <v/>
      </c>
      <c r="P383" s="241" t="str">
        <f t="shared" si="44"/>
        <v/>
      </c>
      <c r="Q383" s="242" t="str">
        <f t="shared" si="45"/>
        <v/>
      </c>
      <c r="R383" s="243" t="str">
        <f t="shared" si="47"/>
        <v/>
      </c>
      <c r="S383" s="244" t="str">
        <f t="shared" si="48"/>
        <v/>
      </c>
      <c r="T383" s="245" t="str">
        <f t="shared" si="49"/>
        <v/>
      </c>
      <c r="U383" s="246" t="str">
        <f t="shared" si="50"/>
        <v/>
      </c>
      <c r="V383" s="8"/>
      <c r="AR383" t="str">
        <f t="shared" si="51"/>
        <v/>
      </c>
      <c r="AS383" t="str">
        <f t="shared" si="46"/>
        <v/>
      </c>
    </row>
    <row r="384" spans="1:45" x14ac:dyDescent="0.3">
      <c r="A384" s="231"/>
      <c r="B384" s="235"/>
      <c r="C384" s="214"/>
      <c r="D384" s="214"/>
      <c r="E384" s="214"/>
      <c r="F384" s="214"/>
      <c r="G384" s="222"/>
      <c r="H384" s="221"/>
      <c r="I384" s="213"/>
      <c r="J384" s="213"/>
      <c r="K384" s="215"/>
      <c r="L384" s="216"/>
      <c r="M384" s="217"/>
      <c r="N384" s="176"/>
      <c r="O384" s="241" t="str">
        <f>IF(Q384 = "", "", COUNT(Q$4:$Q384))</f>
        <v/>
      </c>
      <c r="P384" s="241" t="str">
        <f t="shared" si="44"/>
        <v/>
      </c>
      <c r="Q384" s="242" t="str">
        <f t="shared" si="45"/>
        <v/>
      </c>
      <c r="R384" s="243" t="str">
        <f t="shared" si="47"/>
        <v/>
      </c>
      <c r="S384" s="244" t="str">
        <f t="shared" si="48"/>
        <v/>
      </c>
      <c r="T384" s="245" t="str">
        <f t="shared" si="49"/>
        <v/>
      </c>
      <c r="U384" s="246" t="str">
        <f t="shared" si="50"/>
        <v/>
      </c>
      <c r="V384" s="8"/>
      <c r="AR384" t="str">
        <f t="shared" si="51"/>
        <v/>
      </c>
      <c r="AS384" t="str">
        <f t="shared" si="46"/>
        <v/>
      </c>
    </row>
    <row r="385" spans="1:45" x14ac:dyDescent="0.3">
      <c r="A385" s="231"/>
      <c r="B385" s="235"/>
      <c r="C385" s="214"/>
      <c r="D385" s="214"/>
      <c r="E385" s="214"/>
      <c r="F385" s="214"/>
      <c r="G385" s="222"/>
      <c r="H385" s="221"/>
      <c r="I385" s="213"/>
      <c r="J385" s="213"/>
      <c r="K385" s="215"/>
      <c r="L385" s="216"/>
      <c r="M385" s="217"/>
      <c r="N385" s="176"/>
      <c r="O385" s="241" t="str">
        <f>IF(Q385 = "", "", COUNT(Q$4:$Q385))</f>
        <v/>
      </c>
      <c r="P385" s="241" t="str">
        <f t="shared" si="44"/>
        <v/>
      </c>
      <c r="Q385" s="242" t="str">
        <f t="shared" si="45"/>
        <v/>
      </c>
      <c r="R385" s="243" t="str">
        <f t="shared" si="47"/>
        <v/>
      </c>
      <c r="S385" s="244" t="str">
        <f t="shared" si="48"/>
        <v/>
      </c>
      <c r="T385" s="245" t="str">
        <f t="shared" si="49"/>
        <v/>
      </c>
      <c r="U385" s="246" t="str">
        <f t="shared" si="50"/>
        <v/>
      </c>
      <c r="V385" s="8"/>
      <c r="AR385" t="str">
        <f t="shared" si="51"/>
        <v/>
      </c>
      <c r="AS385" t="str">
        <f t="shared" si="46"/>
        <v/>
      </c>
    </row>
    <row r="386" spans="1:45" x14ac:dyDescent="0.3">
      <c r="A386" s="231"/>
      <c r="B386" s="235"/>
      <c r="C386" s="214"/>
      <c r="D386" s="214"/>
      <c r="E386" s="214"/>
      <c r="F386" s="214"/>
      <c r="G386" s="222"/>
      <c r="H386" s="221"/>
      <c r="I386" s="213"/>
      <c r="J386" s="213"/>
      <c r="K386" s="215"/>
      <c r="L386" s="216"/>
      <c r="M386" s="217"/>
      <c r="N386" s="176"/>
      <c r="O386" s="241" t="str">
        <f>IF(Q386 = "", "", COUNT(Q$4:$Q386))</f>
        <v/>
      </c>
      <c r="P386" s="241" t="str">
        <f t="shared" si="44"/>
        <v/>
      </c>
      <c r="Q386" s="242" t="str">
        <f t="shared" si="45"/>
        <v/>
      </c>
      <c r="R386" s="243" t="str">
        <f t="shared" si="47"/>
        <v/>
      </c>
      <c r="S386" s="244" t="str">
        <f t="shared" si="48"/>
        <v/>
      </c>
      <c r="T386" s="245" t="str">
        <f t="shared" si="49"/>
        <v/>
      </c>
      <c r="U386" s="246" t="str">
        <f t="shared" si="50"/>
        <v/>
      </c>
      <c r="V386" s="8"/>
      <c r="AR386" t="str">
        <f t="shared" si="51"/>
        <v/>
      </c>
      <c r="AS386" t="str">
        <f t="shared" si="46"/>
        <v/>
      </c>
    </row>
    <row r="387" spans="1:45" x14ac:dyDescent="0.3">
      <c r="A387" s="231"/>
      <c r="B387" s="235"/>
      <c r="C387" s="214"/>
      <c r="D387" s="214"/>
      <c r="E387" s="214"/>
      <c r="F387" s="214"/>
      <c r="G387" s="222"/>
      <c r="H387" s="221"/>
      <c r="I387" s="213"/>
      <c r="J387" s="213"/>
      <c r="K387" s="215"/>
      <c r="L387" s="216"/>
      <c r="M387" s="217"/>
      <c r="N387" s="176"/>
      <c r="O387" s="241" t="str">
        <f>IF(Q387 = "", "", COUNT(Q$4:$Q387))</f>
        <v/>
      </c>
      <c r="P387" s="241" t="str">
        <f t="shared" si="44"/>
        <v/>
      </c>
      <c r="Q387" s="242" t="str">
        <f t="shared" si="45"/>
        <v/>
      </c>
      <c r="R387" s="243" t="str">
        <f t="shared" si="47"/>
        <v/>
      </c>
      <c r="S387" s="244" t="str">
        <f t="shared" si="48"/>
        <v/>
      </c>
      <c r="T387" s="245" t="str">
        <f t="shared" si="49"/>
        <v/>
      </c>
      <c r="U387" s="246" t="str">
        <f t="shared" si="50"/>
        <v/>
      </c>
      <c r="V387" s="8"/>
      <c r="AR387" t="str">
        <f t="shared" si="51"/>
        <v/>
      </c>
      <c r="AS387" t="str">
        <f t="shared" si="46"/>
        <v/>
      </c>
    </row>
    <row r="388" spans="1:45" x14ac:dyDescent="0.3">
      <c r="A388" s="231"/>
      <c r="B388" s="235"/>
      <c r="C388" s="214"/>
      <c r="D388" s="214"/>
      <c r="E388" s="214"/>
      <c r="F388" s="214"/>
      <c r="G388" s="222"/>
      <c r="H388" s="221"/>
      <c r="I388" s="213"/>
      <c r="J388" s="213"/>
      <c r="K388" s="215"/>
      <c r="L388" s="216"/>
      <c r="M388" s="217"/>
      <c r="N388" s="176"/>
      <c r="O388" s="241" t="str">
        <f>IF(Q388 = "", "", COUNT(Q$4:$Q388))</f>
        <v/>
      </c>
      <c r="P388" s="241" t="str">
        <f t="shared" ref="P388:P451" si="52">IF(C388 &gt; 0, YEAR(B388), "")</f>
        <v/>
      </c>
      <c r="Q388" s="242" t="str">
        <f t="shared" ref="Q388:Q451" si="53">IF(A388="", "", IF(G388="",1,IF(G388="O",1,IF(G388="C",8.4,IF(G388="B",8.4,IF(G388="A",76.8,IF(G388="K",76.8,"ERR")))))))</f>
        <v/>
      </c>
      <c r="R388" s="243" t="str">
        <f t="shared" si="47"/>
        <v/>
      </c>
      <c r="S388" s="244" t="str">
        <f t="shared" si="48"/>
        <v/>
      </c>
      <c r="T388" s="245" t="str">
        <f t="shared" si="49"/>
        <v/>
      </c>
      <c r="U388" s="246" t="str">
        <f t="shared" si="50"/>
        <v/>
      </c>
      <c r="V388" s="8"/>
      <c r="AR388" t="str">
        <f t="shared" si="51"/>
        <v/>
      </c>
      <c r="AS388" t="str">
        <f t="shared" ref="AS388:AS451" si="54">IF(OR(L388="Y",M388="Y"),"Y","")</f>
        <v/>
      </c>
    </row>
    <row r="389" spans="1:45" x14ac:dyDescent="0.3">
      <c r="A389" s="231"/>
      <c r="B389" s="235"/>
      <c r="C389" s="214"/>
      <c r="D389" s="214"/>
      <c r="E389" s="214"/>
      <c r="F389" s="214"/>
      <c r="G389" s="222"/>
      <c r="H389" s="221"/>
      <c r="I389" s="213"/>
      <c r="J389" s="213"/>
      <c r="K389" s="215"/>
      <c r="L389" s="216"/>
      <c r="M389" s="217"/>
      <c r="N389" s="176"/>
      <c r="O389" s="241" t="str">
        <f>IF(Q389 = "", "", COUNT(Q$4:$Q389))</f>
        <v/>
      </c>
      <c r="P389" s="241" t="str">
        <f t="shared" si="52"/>
        <v/>
      </c>
      <c r="Q389" s="242" t="str">
        <f t="shared" si="53"/>
        <v/>
      </c>
      <c r="R389" s="243" t="str">
        <f t="shared" ref="R389:R452" si="55">IF(L389&lt;&gt;"",Q389,"")</f>
        <v/>
      </c>
      <c r="S389" s="244" t="str">
        <f t="shared" ref="S389:S452" si="56">IF(IF(L389&lt;&gt;"",G389,"")=0, "O", IF(L389&lt;&gt;"",G389,""))</f>
        <v/>
      </c>
      <c r="T389" s="245" t="str">
        <f t="shared" ref="T389:T452" si="57">IF(M389&lt;&gt;"",Q389,"")</f>
        <v/>
      </c>
      <c r="U389" s="246" t="str">
        <f t="shared" ref="U389:U452" si="58">IF(IF(M389&lt;&gt;"",G389,"")=0, "O", IF(M389&lt;&gt;"",G389,""))</f>
        <v/>
      </c>
      <c r="V389" s="8"/>
      <c r="AR389" t="str">
        <f t="shared" ref="AR389:AR452" si="59">IF(O389&gt;0, O389, "")</f>
        <v/>
      </c>
      <c r="AS389" t="str">
        <f t="shared" si="54"/>
        <v/>
      </c>
    </row>
    <row r="390" spans="1:45" x14ac:dyDescent="0.3">
      <c r="A390" s="231"/>
      <c r="B390" s="235"/>
      <c r="C390" s="214"/>
      <c r="D390" s="214"/>
      <c r="E390" s="214"/>
      <c r="F390" s="214"/>
      <c r="G390" s="222"/>
      <c r="H390" s="221"/>
      <c r="I390" s="213"/>
      <c r="J390" s="213"/>
      <c r="K390" s="215"/>
      <c r="L390" s="216"/>
      <c r="M390" s="217"/>
      <c r="N390" s="176"/>
      <c r="O390" s="241" t="str">
        <f>IF(Q390 = "", "", COUNT(Q$4:$Q390))</f>
        <v/>
      </c>
      <c r="P390" s="241" t="str">
        <f t="shared" si="52"/>
        <v/>
      </c>
      <c r="Q390" s="242" t="str">
        <f t="shared" si="53"/>
        <v/>
      </c>
      <c r="R390" s="243" t="str">
        <f t="shared" si="55"/>
        <v/>
      </c>
      <c r="S390" s="244" t="str">
        <f t="shared" si="56"/>
        <v/>
      </c>
      <c r="T390" s="245" t="str">
        <f t="shared" si="57"/>
        <v/>
      </c>
      <c r="U390" s="246" t="str">
        <f t="shared" si="58"/>
        <v/>
      </c>
      <c r="V390" s="8"/>
      <c r="AR390" t="str">
        <f t="shared" si="59"/>
        <v/>
      </c>
      <c r="AS390" t="str">
        <f t="shared" si="54"/>
        <v/>
      </c>
    </row>
    <row r="391" spans="1:45" x14ac:dyDescent="0.3">
      <c r="A391" s="231"/>
      <c r="B391" s="235"/>
      <c r="C391" s="214"/>
      <c r="D391" s="214"/>
      <c r="E391" s="214"/>
      <c r="F391" s="214"/>
      <c r="G391" s="222"/>
      <c r="H391" s="221"/>
      <c r="I391" s="213"/>
      <c r="J391" s="213"/>
      <c r="K391" s="215"/>
      <c r="L391" s="216"/>
      <c r="M391" s="217"/>
      <c r="N391" s="176"/>
      <c r="O391" s="241" t="str">
        <f>IF(Q391 = "", "", COUNT(Q$4:$Q391))</f>
        <v/>
      </c>
      <c r="P391" s="241" t="str">
        <f t="shared" si="52"/>
        <v/>
      </c>
      <c r="Q391" s="242" t="str">
        <f t="shared" si="53"/>
        <v/>
      </c>
      <c r="R391" s="243" t="str">
        <f t="shared" si="55"/>
        <v/>
      </c>
      <c r="S391" s="244" t="str">
        <f t="shared" si="56"/>
        <v/>
      </c>
      <c r="T391" s="245" t="str">
        <f t="shared" si="57"/>
        <v/>
      </c>
      <c r="U391" s="246" t="str">
        <f t="shared" si="58"/>
        <v/>
      </c>
      <c r="V391" s="8"/>
      <c r="AR391" t="str">
        <f t="shared" si="59"/>
        <v/>
      </c>
      <c r="AS391" t="str">
        <f t="shared" si="54"/>
        <v/>
      </c>
    </row>
    <row r="392" spans="1:45" x14ac:dyDescent="0.3">
      <c r="A392" s="231"/>
      <c r="B392" s="235"/>
      <c r="C392" s="214"/>
      <c r="D392" s="214"/>
      <c r="E392" s="214"/>
      <c r="F392" s="214"/>
      <c r="G392" s="222"/>
      <c r="H392" s="221"/>
      <c r="I392" s="213"/>
      <c r="J392" s="213"/>
      <c r="K392" s="215"/>
      <c r="L392" s="216"/>
      <c r="M392" s="217"/>
      <c r="N392" s="176"/>
      <c r="O392" s="241" t="str">
        <f>IF(Q392 = "", "", COUNT(Q$4:$Q392))</f>
        <v/>
      </c>
      <c r="P392" s="241" t="str">
        <f t="shared" si="52"/>
        <v/>
      </c>
      <c r="Q392" s="242" t="str">
        <f t="shared" si="53"/>
        <v/>
      </c>
      <c r="R392" s="243" t="str">
        <f t="shared" si="55"/>
        <v/>
      </c>
      <c r="S392" s="244" t="str">
        <f t="shared" si="56"/>
        <v/>
      </c>
      <c r="T392" s="245" t="str">
        <f t="shared" si="57"/>
        <v/>
      </c>
      <c r="U392" s="246" t="str">
        <f t="shared" si="58"/>
        <v/>
      </c>
      <c r="V392" s="8"/>
      <c r="AR392" t="str">
        <f t="shared" si="59"/>
        <v/>
      </c>
      <c r="AS392" t="str">
        <f t="shared" si="54"/>
        <v/>
      </c>
    </row>
    <row r="393" spans="1:45" x14ac:dyDescent="0.3">
      <c r="A393" s="231"/>
      <c r="B393" s="235"/>
      <c r="C393" s="214"/>
      <c r="D393" s="214"/>
      <c r="E393" s="214"/>
      <c r="F393" s="214"/>
      <c r="G393" s="222"/>
      <c r="H393" s="221"/>
      <c r="I393" s="213"/>
      <c r="J393" s="213"/>
      <c r="K393" s="215"/>
      <c r="L393" s="216"/>
      <c r="M393" s="217"/>
      <c r="N393" s="176"/>
      <c r="O393" s="241" t="str">
        <f>IF(Q393 = "", "", COUNT(Q$4:$Q393))</f>
        <v/>
      </c>
      <c r="P393" s="241" t="str">
        <f t="shared" si="52"/>
        <v/>
      </c>
      <c r="Q393" s="242" t="str">
        <f t="shared" si="53"/>
        <v/>
      </c>
      <c r="R393" s="243" t="str">
        <f t="shared" si="55"/>
        <v/>
      </c>
      <c r="S393" s="244" t="str">
        <f t="shared" si="56"/>
        <v/>
      </c>
      <c r="T393" s="245" t="str">
        <f t="shared" si="57"/>
        <v/>
      </c>
      <c r="U393" s="246" t="str">
        <f t="shared" si="58"/>
        <v/>
      </c>
      <c r="V393" s="8"/>
      <c r="AR393" t="str">
        <f t="shared" si="59"/>
        <v/>
      </c>
      <c r="AS393" t="str">
        <f t="shared" si="54"/>
        <v/>
      </c>
    </row>
    <row r="394" spans="1:45" x14ac:dyDescent="0.3">
      <c r="A394" s="231"/>
      <c r="B394" s="235"/>
      <c r="C394" s="214"/>
      <c r="D394" s="214"/>
      <c r="E394" s="214"/>
      <c r="F394" s="214"/>
      <c r="G394" s="222"/>
      <c r="H394" s="221"/>
      <c r="I394" s="213"/>
      <c r="J394" s="213"/>
      <c r="K394" s="215"/>
      <c r="L394" s="216"/>
      <c r="M394" s="217"/>
      <c r="N394" s="176"/>
      <c r="O394" s="241" t="str">
        <f>IF(Q394 = "", "", COUNT(Q$4:$Q394))</f>
        <v/>
      </c>
      <c r="P394" s="241" t="str">
        <f t="shared" si="52"/>
        <v/>
      </c>
      <c r="Q394" s="242" t="str">
        <f t="shared" si="53"/>
        <v/>
      </c>
      <c r="R394" s="243" t="str">
        <f t="shared" si="55"/>
        <v/>
      </c>
      <c r="S394" s="244" t="str">
        <f t="shared" si="56"/>
        <v/>
      </c>
      <c r="T394" s="245" t="str">
        <f t="shared" si="57"/>
        <v/>
      </c>
      <c r="U394" s="246" t="str">
        <f t="shared" si="58"/>
        <v/>
      </c>
      <c r="V394" s="8"/>
      <c r="AR394" t="str">
        <f t="shared" si="59"/>
        <v/>
      </c>
      <c r="AS394" t="str">
        <f t="shared" si="54"/>
        <v/>
      </c>
    </row>
    <row r="395" spans="1:45" x14ac:dyDescent="0.3">
      <c r="A395" s="231"/>
      <c r="B395" s="235"/>
      <c r="C395" s="214"/>
      <c r="D395" s="214"/>
      <c r="E395" s="214"/>
      <c r="F395" s="214"/>
      <c r="G395" s="222"/>
      <c r="H395" s="221"/>
      <c r="I395" s="213"/>
      <c r="J395" s="213"/>
      <c r="K395" s="215"/>
      <c r="L395" s="216"/>
      <c r="M395" s="217"/>
      <c r="N395" s="176"/>
      <c r="O395" s="241" t="str">
        <f>IF(Q395 = "", "", COUNT(Q$4:$Q395))</f>
        <v/>
      </c>
      <c r="P395" s="241" t="str">
        <f t="shared" si="52"/>
        <v/>
      </c>
      <c r="Q395" s="242" t="str">
        <f t="shared" si="53"/>
        <v/>
      </c>
      <c r="R395" s="243" t="str">
        <f t="shared" si="55"/>
        <v/>
      </c>
      <c r="S395" s="244" t="str">
        <f t="shared" si="56"/>
        <v/>
      </c>
      <c r="T395" s="245" t="str">
        <f t="shared" si="57"/>
        <v/>
      </c>
      <c r="U395" s="246" t="str">
        <f t="shared" si="58"/>
        <v/>
      </c>
      <c r="V395" s="8"/>
      <c r="AR395" t="str">
        <f t="shared" si="59"/>
        <v/>
      </c>
      <c r="AS395" t="str">
        <f t="shared" si="54"/>
        <v/>
      </c>
    </row>
    <row r="396" spans="1:45" x14ac:dyDescent="0.3">
      <c r="A396" s="231"/>
      <c r="B396" s="235"/>
      <c r="C396" s="214"/>
      <c r="D396" s="214"/>
      <c r="E396" s="214"/>
      <c r="F396" s="214"/>
      <c r="G396" s="222"/>
      <c r="H396" s="221"/>
      <c r="I396" s="213"/>
      <c r="J396" s="213"/>
      <c r="K396" s="215"/>
      <c r="L396" s="216"/>
      <c r="M396" s="217"/>
      <c r="N396" s="176"/>
      <c r="O396" s="241" t="str">
        <f>IF(Q396 = "", "", COUNT(Q$4:$Q396))</f>
        <v/>
      </c>
      <c r="P396" s="241" t="str">
        <f t="shared" si="52"/>
        <v/>
      </c>
      <c r="Q396" s="242" t="str">
        <f t="shared" si="53"/>
        <v/>
      </c>
      <c r="R396" s="243" t="str">
        <f t="shared" si="55"/>
        <v/>
      </c>
      <c r="S396" s="244" t="str">
        <f t="shared" si="56"/>
        <v/>
      </c>
      <c r="T396" s="245" t="str">
        <f t="shared" si="57"/>
        <v/>
      </c>
      <c r="U396" s="246" t="str">
        <f t="shared" si="58"/>
        <v/>
      </c>
      <c r="V396" s="8"/>
      <c r="AR396" t="str">
        <f t="shared" si="59"/>
        <v/>
      </c>
      <c r="AS396" t="str">
        <f t="shared" si="54"/>
        <v/>
      </c>
    </row>
    <row r="397" spans="1:45" x14ac:dyDescent="0.3">
      <c r="A397" s="231"/>
      <c r="B397" s="235"/>
      <c r="C397" s="214"/>
      <c r="D397" s="214"/>
      <c r="E397" s="214"/>
      <c r="F397" s="214"/>
      <c r="G397" s="222"/>
      <c r="H397" s="221"/>
      <c r="I397" s="213"/>
      <c r="J397" s="213"/>
      <c r="K397" s="215"/>
      <c r="L397" s="216"/>
      <c r="M397" s="217"/>
      <c r="N397" s="176"/>
      <c r="O397" s="241" t="str">
        <f>IF(Q397 = "", "", COUNT(Q$4:$Q397))</f>
        <v/>
      </c>
      <c r="P397" s="241" t="str">
        <f t="shared" si="52"/>
        <v/>
      </c>
      <c r="Q397" s="242" t="str">
        <f t="shared" si="53"/>
        <v/>
      </c>
      <c r="R397" s="243" t="str">
        <f t="shared" si="55"/>
        <v/>
      </c>
      <c r="S397" s="244" t="str">
        <f t="shared" si="56"/>
        <v/>
      </c>
      <c r="T397" s="245" t="str">
        <f t="shared" si="57"/>
        <v/>
      </c>
      <c r="U397" s="246" t="str">
        <f t="shared" si="58"/>
        <v/>
      </c>
      <c r="V397" s="8"/>
      <c r="AR397" t="str">
        <f t="shared" si="59"/>
        <v/>
      </c>
      <c r="AS397" t="str">
        <f t="shared" si="54"/>
        <v/>
      </c>
    </row>
    <row r="398" spans="1:45" x14ac:dyDescent="0.3">
      <c r="A398" s="231"/>
      <c r="B398" s="235"/>
      <c r="C398" s="214"/>
      <c r="D398" s="214"/>
      <c r="E398" s="214"/>
      <c r="F398" s="214"/>
      <c r="G398" s="222"/>
      <c r="H398" s="221"/>
      <c r="I398" s="213"/>
      <c r="J398" s="213"/>
      <c r="K398" s="215"/>
      <c r="L398" s="216"/>
      <c r="M398" s="217"/>
      <c r="N398" s="176"/>
      <c r="O398" s="241" t="str">
        <f>IF(Q398 = "", "", COUNT(Q$4:$Q398))</f>
        <v/>
      </c>
      <c r="P398" s="241" t="str">
        <f t="shared" si="52"/>
        <v/>
      </c>
      <c r="Q398" s="242" t="str">
        <f t="shared" si="53"/>
        <v/>
      </c>
      <c r="R398" s="243" t="str">
        <f t="shared" si="55"/>
        <v/>
      </c>
      <c r="S398" s="244" t="str">
        <f t="shared" si="56"/>
        <v/>
      </c>
      <c r="T398" s="245" t="str">
        <f t="shared" si="57"/>
        <v/>
      </c>
      <c r="U398" s="246" t="str">
        <f t="shared" si="58"/>
        <v/>
      </c>
      <c r="V398" s="8"/>
      <c r="AR398" t="str">
        <f t="shared" si="59"/>
        <v/>
      </c>
      <c r="AS398" t="str">
        <f t="shared" si="54"/>
        <v/>
      </c>
    </row>
    <row r="399" spans="1:45" x14ac:dyDescent="0.3">
      <c r="A399" s="231"/>
      <c r="B399" s="235"/>
      <c r="C399" s="214"/>
      <c r="D399" s="214"/>
      <c r="E399" s="214"/>
      <c r="F399" s="214"/>
      <c r="G399" s="222"/>
      <c r="H399" s="221"/>
      <c r="I399" s="213"/>
      <c r="J399" s="213"/>
      <c r="K399" s="215"/>
      <c r="L399" s="216"/>
      <c r="M399" s="217"/>
      <c r="N399" s="176"/>
      <c r="O399" s="241" t="str">
        <f>IF(Q399 = "", "", COUNT(Q$4:$Q399))</f>
        <v/>
      </c>
      <c r="P399" s="241" t="str">
        <f t="shared" si="52"/>
        <v/>
      </c>
      <c r="Q399" s="242" t="str">
        <f t="shared" si="53"/>
        <v/>
      </c>
      <c r="R399" s="243" t="str">
        <f t="shared" si="55"/>
        <v/>
      </c>
      <c r="S399" s="244" t="str">
        <f t="shared" si="56"/>
        <v/>
      </c>
      <c r="T399" s="245" t="str">
        <f t="shared" si="57"/>
        <v/>
      </c>
      <c r="U399" s="246" t="str">
        <f t="shared" si="58"/>
        <v/>
      </c>
      <c r="V399" s="8"/>
      <c r="AR399" t="str">
        <f t="shared" si="59"/>
        <v/>
      </c>
      <c r="AS399" t="str">
        <f t="shared" si="54"/>
        <v/>
      </c>
    </row>
    <row r="400" spans="1:45" x14ac:dyDescent="0.3">
      <c r="A400" s="231"/>
      <c r="B400" s="235"/>
      <c r="C400" s="214"/>
      <c r="D400" s="214"/>
      <c r="E400" s="214"/>
      <c r="F400" s="214"/>
      <c r="G400" s="222"/>
      <c r="H400" s="221"/>
      <c r="I400" s="213"/>
      <c r="J400" s="213"/>
      <c r="K400" s="215"/>
      <c r="L400" s="216"/>
      <c r="M400" s="217"/>
      <c r="N400" s="176"/>
      <c r="O400" s="241" t="str">
        <f>IF(Q400 = "", "", COUNT(Q$4:$Q400))</f>
        <v/>
      </c>
      <c r="P400" s="241" t="str">
        <f t="shared" si="52"/>
        <v/>
      </c>
      <c r="Q400" s="242" t="str">
        <f t="shared" si="53"/>
        <v/>
      </c>
      <c r="R400" s="243" t="str">
        <f t="shared" si="55"/>
        <v/>
      </c>
      <c r="S400" s="244" t="str">
        <f t="shared" si="56"/>
        <v/>
      </c>
      <c r="T400" s="245" t="str">
        <f t="shared" si="57"/>
        <v/>
      </c>
      <c r="U400" s="246" t="str">
        <f t="shared" si="58"/>
        <v/>
      </c>
      <c r="V400" s="8"/>
      <c r="AR400" t="str">
        <f t="shared" si="59"/>
        <v/>
      </c>
      <c r="AS400" t="str">
        <f t="shared" si="54"/>
        <v/>
      </c>
    </row>
    <row r="401" spans="1:45" x14ac:dyDescent="0.3">
      <c r="A401" s="231"/>
      <c r="B401" s="235"/>
      <c r="C401" s="214"/>
      <c r="D401" s="214"/>
      <c r="E401" s="214"/>
      <c r="F401" s="214"/>
      <c r="G401" s="222"/>
      <c r="H401" s="221"/>
      <c r="I401" s="213"/>
      <c r="J401" s="213"/>
      <c r="K401" s="215"/>
      <c r="L401" s="216"/>
      <c r="M401" s="217"/>
      <c r="N401" s="176"/>
      <c r="O401" s="241" t="str">
        <f>IF(Q401 = "", "", COUNT(Q$4:$Q401))</f>
        <v/>
      </c>
      <c r="P401" s="241" t="str">
        <f t="shared" si="52"/>
        <v/>
      </c>
      <c r="Q401" s="242" t="str">
        <f t="shared" si="53"/>
        <v/>
      </c>
      <c r="R401" s="243" t="str">
        <f t="shared" si="55"/>
        <v/>
      </c>
      <c r="S401" s="244" t="str">
        <f t="shared" si="56"/>
        <v/>
      </c>
      <c r="T401" s="245" t="str">
        <f t="shared" si="57"/>
        <v/>
      </c>
      <c r="U401" s="246" t="str">
        <f t="shared" si="58"/>
        <v/>
      </c>
      <c r="V401" s="8"/>
      <c r="AR401" t="str">
        <f t="shared" si="59"/>
        <v/>
      </c>
      <c r="AS401" t="str">
        <f t="shared" si="54"/>
        <v/>
      </c>
    </row>
    <row r="402" spans="1:45" x14ac:dyDescent="0.3">
      <c r="A402" s="231"/>
      <c r="B402" s="235"/>
      <c r="C402" s="214"/>
      <c r="D402" s="214"/>
      <c r="E402" s="214"/>
      <c r="F402" s="214"/>
      <c r="G402" s="222"/>
      <c r="H402" s="221"/>
      <c r="I402" s="213"/>
      <c r="J402" s="213"/>
      <c r="K402" s="215"/>
      <c r="L402" s="216"/>
      <c r="M402" s="217"/>
      <c r="N402" s="176"/>
      <c r="O402" s="241" t="str">
        <f>IF(Q402 = "", "", COUNT(Q$4:$Q402))</f>
        <v/>
      </c>
      <c r="P402" s="241" t="str">
        <f t="shared" si="52"/>
        <v/>
      </c>
      <c r="Q402" s="242" t="str">
        <f t="shared" si="53"/>
        <v/>
      </c>
      <c r="R402" s="243" t="str">
        <f t="shared" si="55"/>
        <v/>
      </c>
      <c r="S402" s="244" t="str">
        <f t="shared" si="56"/>
        <v/>
      </c>
      <c r="T402" s="245" t="str">
        <f t="shared" si="57"/>
        <v/>
      </c>
      <c r="U402" s="246" t="str">
        <f t="shared" si="58"/>
        <v/>
      </c>
      <c r="V402" s="8"/>
      <c r="AR402" t="str">
        <f t="shared" si="59"/>
        <v/>
      </c>
      <c r="AS402" t="str">
        <f t="shared" si="54"/>
        <v/>
      </c>
    </row>
    <row r="403" spans="1:45" x14ac:dyDescent="0.3">
      <c r="A403" s="231"/>
      <c r="B403" s="235"/>
      <c r="C403" s="214"/>
      <c r="D403" s="214"/>
      <c r="E403" s="214"/>
      <c r="F403" s="214"/>
      <c r="G403" s="222"/>
      <c r="H403" s="221"/>
      <c r="I403" s="213"/>
      <c r="J403" s="213"/>
      <c r="K403" s="215"/>
      <c r="L403" s="216"/>
      <c r="M403" s="217"/>
      <c r="N403" s="176"/>
      <c r="O403" s="241" t="str">
        <f>IF(Q403 = "", "", COUNT(Q$4:$Q403))</f>
        <v/>
      </c>
      <c r="P403" s="241" t="str">
        <f t="shared" si="52"/>
        <v/>
      </c>
      <c r="Q403" s="242" t="str">
        <f t="shared" si="53"/>
        <v/>
      </c>
      <c r="R403" s="243" t="str">
        <f t="shared" si="55"/>
        <v/>
      </c>
      <c r="S403" s="244" t="str">
        <f t="shared" si="56"/>
        <v/>
      </c>
      <c r="T403" s="245" t="str">
        <f t="shared" si="57"/>
        <v/>
      </c>
      <c r="U403" s="246" t="str">
        <f t="shared" si="58"/>
        <v/>
      </c>
      <c r="V403" s="8"/>
      <c r="AR403" t="str">
        <f t="shared" si="59"/>
        <v/>
      </c>
      <c r="AS403" t="str">
        <f t="shared" si="54"/>
        <v/>
      </c>
    </row>
    <row r="404" spans="1:45" x14ac:dyDescent="0.3">
      <c r="A404" s="231"/>
      <c r="B404" s="235"/>
      <c r="C404" s="214"/>
      <c r="D404" s="214"/>
      <c r="E404" s="214"/>
      <c r="F404" s="214"/>
      <c r="G404" s="222"/>
      <c r="H404" s="221"/>
      <c r="I404" s="213"/>
      <c r="J404" s="213"/>
      <c r="K404" s="215"/>
      <c r="L404" s="216"/>
      <c r="M404" s="217"/>
      <c r="N404" s="176"/>
      <c r="O404" s="241" t="str">
        <f>IF(Q404 = "", "", COUNT(Q$4:$Q404))</f>
        <v/>
      </c>
      <c r="P404" s="241" t="str">
        <f t="shared" si="52"/>
        <v/>
      </c>
      <c r="Q404" s="242" t="str">
        <f t="shared" si="53"/>
        <v/>
      </c>
      <c r="R404" s="243" t="str">
        <f t="shared" si="55"/>
        <v/>
      </c>
      <c r="S404" s="244" t="str">
        <f t="shared" si="56"/>
        <v/>
      </c>
      <c r="T404" s="245" t="str">
        <f t="shared" si="57"/>
        <v/>
      </c>
      <c r="U404" s="246" t="str">
        <f t="shared" si="58"/>
        <v/>
      </c>
      <c r="V404" s="8"/>
      <c r="AR404" t="str">
        <f t="shared" si="59"/>
        <v/>
      </c>
      <c r="AS404" t="str">
        <f t="shared" si="54"/>
        <v/>
      </c>
    </row>
    <row r="405" spans="1:45" x14ac:dyDescent="0.3">
      <c r="A405" s="231"/>
      <c r="B405" s="235"/>
      <c r="C405" s="214"/>
      <c r="D405" s="214"/>
      <c r="E405" s="214"/>
      <c r="F405" s="214"/>
      <c r="G405" s="222"/>
      <c r="H405" s="221"/>
      <c r="I405" s="213"/>
      <c r="J405" s="213"/>
      <c r="K405" s="215"/>
      <c r="L405" s="216"/>
      <c r="M405" s="217"/>
      <c r="N405" s="176"/>
      <c r="O405" s="241" t="str">
        <f>IF(Q405 = "", "", COUNT(Q$4:$Q405))</f>
        <v/>
      </c>
      <c r="P405" s="241" t="str">
        <f t="shared" si="52"/>
        <v/>
      </c>
      <c r="Q405" s="242" t="str">
        <f t="shared" si="53"/>
        <v/>
      </c>
      <c r="R405" s="243" t="str">
        <f t="shared" si="55"/>
        <v/>
      </c>
      <c r="S405" s="244" t="str">
        <f t="shared" si="56"/>
        <v/>
      </c>
      <c r="T405" s="245" t="str">
        <f t="shared" si="57"/>
        <v/>
      </c>
      <c r="U405" s="246" t="str">
        <f t="shared" si="58"/>
        <v/>
      </c>
      <c r="V405" s="8"/>
      <c r="AR405" t="str">
        <f t="shared" si="59"/>
        <v/>
      </c>
      <c r="AS405" t="str">
        <f t="shared" si="54"/>
        <v/>
      </c>
    </row>
    <row r="406" spans="1:45" x14ac:dyDescent="0.3">
      <c r="A406" s="231"/>
      <c r="B406" s="235"/>
      <c r="C406" s="214"/>
      <c r="D406" s="214"/>
      <c r="E406" s="214"/>
      <c r="F406" s="214"/>
      <c r="G406" s="222"/>
      <c r="H406" s="221"/>
      <c r="I406" s="213"/>
      <c r="J406" s="213"/>
      <c r="K406" s="215"/>
      <c r="L406" s="216"/>
      <c r="M406" s="217"/>
      <c r="N406" s="176"/>
      <c r="O406" s="241" t="str">
        <f>IF(Q406 = "", "", COUNT(Q$4:$Q406))</f>
        <v/>
      </c>
      <c r="P406" s="241" t="str">
        <f t="shared" si="52"/>
        <v/>
      </c>
      <c r="Q406" s="242" t="str">
        <f t="shared" si="53"/>
        <v/>
      </c>
      <c r="R406" s="243" t="str">
        <f t="shared" si="55"/>
        <v/>
      </c>
      <c r="S406" s="244" t="str">
        <f t="shared" si="56"/>
        <v/>
      </c>
      <c r="T406" s="245" t="str">
        <f t="shared" si="57"/>
        <v/>
      </c>
      <c r="U406" s="246" t="str">
        <f t="shared" si="58"/>
        <v/>
      </c>
      <c r="V406" s="8"/>
      <c r="AR406" t="str">
        <f t="shared" si="59"/>
        <v/>
      </c>
      <c r="AS406" t="str">
        <f t="shared" si="54"/>
        <v/>
      </c>
    </row>
    <row r="407" spans="1:45" x14ac:dyDescent="0.3">
      <c r="A407" s="231"/>
      <c r="B407" s="235"/>
      <c r="C407" s="214"/>
      <c r="D407" s="214"/>
      <c r="E407" s="214"/>
      <c r="F407" s="214"/>
      <c r="G407" s="222"/>
      <c r="H407" s="221"/>
      <c r="I407" s="213"/>
      <c r="J407" s="213"/>
      <c r="K407" s="215"/>
      <c r="L407" s="216"/>
      <c r="M407" s="217"/>
      <c r="N407" s="176"/>
      <c r="O407" s="241" t="str">
        <f>IF(Q407 = "", "", COUNT(Q$4:$Q407))</f>
        <v/>
      </c>
      <c r="P407" s="241" t="str">
        <f t="shared" si="52"/>
        <v/>
      </c>
      <c r="Q407" s="242" t="str">
        <f t="shared" si="53"/>
        <v/>
      </c>
      <c r="R407" s="243" t="str">
        <f t="shared" si="55"/>
        <v/>
      </c>
      <c r="S407" s="244" t="str">
        <f t="shared" si="56"/>
        <v/>
      </c>
      <c r="T407" s="245" t="str">
        <f t="shared" si="57"/>
        <v/>
      </c>
      <c r="U407" s="246" t="str">
        <f t="shared" si="58"/>
        <v/>
      </c>
      <c r="V407" s="8"/>
      <c r="AR407" t="str">
        <f t="shared" si="59"/>
        <v/>
      </c>
      <c r="AS407" t="str">
        <f t="shared" si="54"/>
        <v/>
      </c>
    </row>
    <row r="408" spans="1:45" x14ac:dyDescent="0.3">
      <c r="A408" s="231"/>
      <c r="B408" s="235"/>
      <c r="C408" s="214"/>
      <c r="D408" s="214"/>
      <c r="E408" s="214"/>
      <c r="F408" s="214"/>
      <c r="G408" s="222"/>
      <c r="H408" s="221"/>
      <c r="I408" s="213"/>
      <c r="J408" s="213"/>
      <c r="K408" s="215"/>
      <c r="L408" s="216"/>
      <c r="M408" s="217"/>
      <c r="N408" s="176"/>
      <c r="O408" s="241" t="str">
        <f>IF(Q408 = "", "", COUNT(Q$4:$Q408))</f>
        <v/>
      </c>
      <c r="P408" s="241" t="str">
        <f t="shared" si="52"/>
        <v/>
      </c>
      <c r="Q408" s="242" t="str">
        <f t="shared" si="53"/>
        <v/>
      </c>
      <c r="R408" s="243" t="str">
        <f t="shared" si="55"/>
        <v/>
      </c>
      <c r="S408" s="244" t="str">
        <f t="shared" si="56"/>
        <v/>
      </c>
      <c r="T408" s="245" t="str">
        <f t="shared" si="57"/>
        <v/>
      </c>
      <c r="U408" s="246" t="str">
        <f t="shared" si="58"/>
        <v/>
      </c>
      <c r="V408" s="8"/>
      <c r="AR408" t="str">
        <f t="shared" si="59"/>
        <v/>
      </c>
      <c r="AS408" t="str">
        <f t="shared" si="54"/>
        <v/>
      </c>
    </row>
    <row r="409" spans="1:45" x14ac:dyDescent="0.3">
      <c r="A409" s="231"/>
      <c r="B409" s="235"/>
      <c r="C409" s="214"/>
      <c r="D409" s="214"/>
      <c r="E409" s="214"/>
      <c r="F409" s="214"/>
      <c r="G409" s="222"/>
      <c r="H409" s="221"/>
      <c r="I409" s="213"/>
      <c r="J409" s="213"/>
      <c r="K409" s="215"/>
      <c r="L409" s="216"/>
      <c r="M409" s="217"/>
      <c r="N409" s="176"/>
      <c r="O409" s="241" t="str">
        <f>IF(Q409 = "", "", COUNT(Q$4:$Q409))</f>
        <v/>
      </c>
      <c r="P409" s="241" t="str">
        <f t="shared" si="52"/>
        <v/>
      </c>
      <c r="Q409" s="242" t="str">
        <f t="shared" si="53"/>
        <v/>
      </c>
      <c r="R409" s="243" t="str">
        <f t="shared" si="55"/>
        <v/>
      </c>
      <c r="S409" s="244" t="str">
        <f t="shared" si="56"/>
        <v/>
      </c>
      <c r="T409" s="245" t="str">
        <f t="shared" si="57"/>
        <v/>
      </c>
      <c r="U409" s="246" t="str">
        <f t="shared" si="58"/>
        <v/>
      </c>
      <c r="V409" s="8"/>
      <c r="AR409" t="str">
        <f t="shared" si="59"/>
        <v/>
      </c>
      <c r="AS409" t="str">
        <f t="shared" si="54"/>
        <v/>
      </c>
    </row>
    <row r="410" spans="1:45" x14ac:dyDescent="0.3">
      <c r="A410" s="231"/>
      <c r="B410" s="235"/>
      <c r="C410" s="214"/>
      <c r="D410" s="214"/>
      <c r="E410" s="214"/>
      <c r="F410" s="214"/>
      <c r="G410" s="222"/>
      <c r="H410" s="221"/>
      <c r="I410" s="213"/>
      <c r="J410" s="213"/>
      <c r="K410" s="215"/>
      <c r="L410" s="216"/>
      <c r="M410" s="217"/>
      <c r="N410" s="176"/>
      <c r="O410" s="241" t="str">
        <f>IF(Q410 = "", "", COUNT(Q$4:$Q410))</f>
        <v/>
      </c>
      <c r="P410" s="241" t="str">
        <f t="shared" si="52"/>
        <v/>
      </c>
      <c r="Q410" s="242" t="str">
        <f t="shared" si="53"/>
        <v/>
      </c>
      <c r="R410" s="243" t="str">
        <f t="shared" si="55"/>
        <v/>
      </c>
      <c r="S410" s="244" t="str">
        <f t="shared" si="56"/>
        <v/>
      </c>
      <c r="T410" s="245" t="str">
        <f t="shared" si="57"/>
        <v/>
      </c>
      <c r="U410" s="246" t="str">
        <f t="shared" si="58"/>
        <v/>
      </c>
      <c r="V410" s="8"/>
      <c r="AR410" t="str">
        <f t="shared" si="59"/>
        <v/>
      </c>
      <c r="AS410" t="str">
        <f t="shared" si="54"/>
        <v/>
      </c>
    </row>
    <row r="411" spans="1:45" x14ac:dyDescent="0.3">
      <c r="A411" s="231"/>
      <c r="B411" s="235"/>
      <c r="C411" s="214"/>
      <c r="D411" s="214"/>
      <c r="E411" s="214"/>
      <c r="F411" s="214"/>
      <c r="G411" s="222"/>
      <c r="H411" s="221"/>
      <c r="I411" s="213"/>
      <c r="J411" s="213"/>
      <c r="K411" s="215"/>
      <c r="L411" s="216"/>
      <c r="M411" s="217"/>
      <c r="N411" s="176"/>
      <c r="O411" s="241" t="str">
        <f>IF(Q411 = "", "", COUNT(Q$4:$Q411))</f>
        <v/>
      </c>
      <c r="P411" s="241" t="str">
        <f t="shared" si="52"/>
        <v/>
      </c>
      <c r="Q411" s="242" t="str">
        <f t="shared" si="53"/>
        <v/>
      </c>
      <c r="R411" s="243" t="str">
        <f t="shared" si="55"/>
        <v/>
      </c>
      <c r="S411" s="244" t="str">
        <f t="shared" si="56"/>
        <v/>
      </c>
      <c r="T411" s="245" t="str">
        <f t="shared" si="57"/>
        <v/>
      </c>
      <c r="U411" s="246" t="str">
        <f t="shared" si="58"/>
        <v/>
      </c>
      <c r="V411" s="8"/>
      <c r="AR411" t="str">
        <f t="shared" si="59"/>
        <v/>
      </c>
      <c r="AS411" t="str">
        <f t="shared" si="54"/>
        <v/>
      </c>
    </row>
    <row r="412" spans="1:45" x14ac:dyDescent="0.3">
      <c r="A412" s="231"/>
      <c r="B412" s="235"/>
      <c r="C412" s="214"/>
      <c r="D412" s="214"/>
      <c r="E412" s="214"/>
      <c r="F412" s="214"/>
      <c r="G412" s="222"/>
      <c r="H412" s="221"/>
      <c r="I412" s="213"/>
      <c r="J412" s="213"/>
      <c r="K412" s="215"/>
      <c r="L412" s="216"/>
      <c r="M412" s="217"/>
      <c r="N412" s="176"/>
      <c r="O412" s="241" t="str">
        <f>IF(Q412 = "", "", COUNT(Q$4:$Q412))</f>
        <v/>
      </c>
      <c r="P412" s="241" t="str">
        <f t="shared" si="52"/>
        <v/>
      </c>
      <c r="Q412" s="242" t="str">
        <f t="shared" si="53"/>
        <v/>
      </c>
      <c r="R412" s="243" t="str">
        <f t="shared" si="55"/>
        <v/>
      </c>
      <c r="S412" s="244" t="str">
        <f t="shared" si="56"/>
        <v/>
      </c>
      <c r="T412" s="245" t="str">
        <f t="shared" si="57"/>
        <v/>
      </c>
      <c r="U412" s="246" t="str">
        <f t="shared" si="58"/>
        <v/>
      </c>
      <c r="V412" s="8"/>
      <c r="AR412" t="str">
        <f t="shared" si="59"/>
        <v/>
      </c>
      <c r="AS412" t="str">
        <f t="shared" si="54"/>
        <v/>
      </c>
    </row>
    <row r="413" spans="1:45" x14ac:dyDescent="0.3">
      <c r="A413" s="231"/>
      <c r="B413" s="235"/>
      <c r="C413" s="214"/>
      <c r="D413" s="214"/>
      <c r="E413" s="214"/>
      <c r="F413" s="214"/>
      <c r="G413" s="222"/>
      <c r="H413" s="221"/>
      <c r="I413" s="213"/>
      <c r="J413" s="213"/>
      <c r="K413" s="215"/>
      <c r="L413" s="216"/>
      <c r="M413" s="217"/>
      <c r="N413" s="176"/>
      <c r="O413" s="241" t="str">
        <f>IF(Q413 = "", "", COUNT(Q$4:$Q413))</f>
        <v/>
      </c>
      <c r="P413" s="241" t="str">
        <f t="shared" si="52"/>
        <v/>
      </c>
      <c r="Q413" s="242" t="str">
        <f t="shared" si="53"/>
        <v/>
      </c>
      <c r="R413" s="243" t="str">
        <f t="shared" si="55"/>
        <v/>
      </c>
      <c r="S413" s="244" t="str">
        <f t="shared" si="56"/>
        <v/>
      </c>
      <c r="T413" s="245" t="str">
        <f t="shared" si="57"/>
        <v/>
      </c>
      <c r="U413" s="246" t="str">
        <f t="shared" si="58"/>
        <v/>
      </c>
      <c r="V413" s="8"/>
      <c r="AR413" t="str">
        <f t="shared" si="59"/>
        <v/>
      </c>
      <c r="AS413" t="str">
        <f t="shared" si="54"/>
        <v/>
      </c>
    </row>
    <row r="414" spans="1:45" x14ac:dyDescent="0.3">
      <c r="A414" s="231"/>
      <c r="B414" s="235"/>
      <c r="C414" s="214"/>
      <c r="D414" s="214"/>
      <c r="E414" s="214"/>
      <c r="F414" s="214"/>
      <c r="G414" s="222"/>
      <c r="H414" s="221"/>
      <c r="I414" s="213"/>
      <c r="J414" s="213"/>
      <c r="K414" s="215"/>
      <c r="L414" s="216"/>
      <c r="M414" s="217"/>
      <c r="N414" s="176"/>
      <c r="O414" s="241" t="str">
        <f>IF(Q414 = "", "", COUNT(Q$4:$Q414))</f>
        <v/>
      </c>
      <c r="P414" s="241" t="str">
        <f t="shared" si="52"/>
        <v/>
      </c>
      <c r="Q414" s="242" t="str">
        <f t="shared" si="53"/>
        <v/>
      </c>
      <c r="R414" s="243" t="str">
        <f t="shared" si="55"/>
        <v/>
      </c>
      <c r="S414" s="244" t="str">
        <f t="shared" si="56"/>
        <v/>
      </c>
      <c r="T414" s="245" t="str">
        <f t="shared" si="57"/>
        <v/>
      </c>
      <c r="U414" s="246" t="str">
        <f t="shared" si="58"/>
        <v/>
      </c>
      <c r="V414" s="8"/>
      <c r="AR414" t="str">
        <f t="shared" si="59"/>
        <v/>
      </c>
      <c r="AS414" t="str">
        <f t="shared" si="54"/>
        <v/>
      </c>
    </row>
    <row r="415" spans="1:45" x14ac:dyDescent="0.3">
      <c r="A415" s="231"/>
      <c r="B415" s="235"/>
      <c r="C415" s="214"/>
      <c r="D415" s="214"/>
      <c r="E415" s="214"/>
      <c r="F415" s="214"/>
      <c r="G415" s="222"/>
      <c r="H415" s="221"/>
      <c r="I415" s="213"/>
      <c r="J415" s="213"/>
      <c r="K415" s="215"/>
      <c r="L415" s="216"/>
      <c r="M415" s="217"/>
      <c r="N415" s="176"/>
      <c r="O415" s="241" t="str">
        <f>IF(Q415 = "", "", COUNT(Q$4:$Q415))</f>
        <v/>
      </c>
      <c r="P415" s="241" t="str">
        <f t="shared" si="52"/>
        <v/>
      </c>
      <c r="Q415" s="242" t="str">
        <f t="shared" si="53"/>
        <v/>
      </c>
      <c r="R415" s="243" t="str">
        <f t="shared" si="55"/>
        <v/>
      </c>
      <c r="S415" s="244" t="str">
        <f t="shared" si="56"/>
        <v/>
      </c>
      <c r="T415" s="245" t="str">
        <f t="shared" si="57"/>
        <v/>
      </c>
      <c r="U415" s="246" t="str">
        <f t="shared" si="58"/>
        <v/>
      </c>
      <c r="V415" s="8"/>
      <c r="AR415" t="str">
        <f t="shared" si="59"/>
        <v/>
      </c>
      <c r="AS415" t="str">
        <f t="shared" si="54"/>
        <v/>
      </c>
    </row>
    <row r="416" spans="1:45" x14ac:dyDescent="0.3">
      <c r="A416" s="231"/>
      <c r="B416" s="235"/>
      <c r="C416" s="214"/>
      <c r="D416" s="214"/>
      <c r="E416" s="214"/>
      <c r="F416" s="214"/>
      <c r="G416" s="222"/>
      <c r="H416" s="221"/>
      <c r="I416" s="213"/>
      <c r="J416" s="213"/>
      <c r="K416" s="215"/>
      <c r="L416" s="216"/>
      <c r="M416" s="217"/>
      <c r="N416" s="176"/>
      <c r="O416" s="241" t="str">
        <f>IF(Q416 = "", "", COUNT(Q$4:$Q416))</f>
        <v/>
      </c>
      <c r="P416" s="241" t="str">
        <f t="shared" si="52"/>
        <v/>
      </c>
      <c r="Q416" s="242" t="str">
        <f t="shared" si="53"/>
        <v/>
      </c>
      <c r="R416" s="243" t="str">
        <f t="shared" si="55"/>
        <v/>
      </c>
      <c r="S416" s="244" t="str">
        <f t="shared" si="56"/>
        <v/>
      </c>
      <c r="T416" s="245" t="str">
        <f t="shared" si="57"/>
        <v/>
      </c>
      <c r="U416" s="246" t="str">
        <f t="shared" si="58"/>
        <v/>
      </c>
      <c r="V416" s="8"/>
      <c r="AR416" t="str">
        <f t="shared" si="59"/>
        <v/>
      </c>
      <c r="AS416" t="str">
        <f t="shared" si="54"/>
        <v/>
      </c>
    </row>
    <row r="417" spans="1:45" x14ac:dyDescent="0.3">
      <c r="A417" s="231"/>
      <c r="B417" s="235"/>
      <c r="C417" s="214"/>
      <c r="D417" s="214"/>
      <c r="E417" s="214"/>
      <c r="F417" s="214"/>
      <c r="G417" s="222"/>
      <c r="H417" s="221"/>
      <c r="I417" s="213"/>
      <c r="J417" s="213"/>
      <c r="K417" s="215"/>
      <c r="L417" s="216"/>
      <c r="M417" s="217"/>
      <c r="N417" s="176"/>
      <c r="O417" s="241" t="str">
        <f>IF(Q417 = "", "", COUNT(Q$4:$Q417))</f>
        <v/>
      </c>
      <c r="P417" s="241" t="str">
        <f t="shared" si="52"/>
        <v/>
      </c>
      <c r="Q417" s="242" t="str">
        <f t="shared" si="53"/>
        <v/>
      </c>
      <c r="R417" s="243" t="str">
        <f t="shared" si="55"/>
        <v/>
      </c>
      <c r="S417" s="244" t="str">
        <f t="shared" si="56"/>
        <v/>
      </c>
      <c r="T417" s="245" t="str">
        <f t="shared" si="57"/>
        <v/>
      </c>
      <c r="U417" s="246" t="str">
        <f t="shared" si="58"/>
        <v/>
      </c>
      <c r="V417" s="8"/>
      <c r="AR417" t="str">
        <f t="shared" si="59"/>
        <v/>
      </c>
      <c r="AS417" t="str">
        <f t="shared" si="54"/>
        <v/>
      </c>
    </row>
    <row r="418" spans="1:45" x14ac:dyDescent="0.3">
      <c r="A418" s="231"/>
      <c r="B418" s="235"/>
      <c r="C418" s="214"/>
      <c r="D418" s="214"/>
      <c r="E418" s="214"/>
      <c r="F418" s="214"/>
      <c r="G418" s="222"/>
      <c r="H418" s="221"/>
      <c r="I418" s="213"/>
      <c r="J418" s="213"/>
      <c r="K418" s="215"/>
      <c r="L418" s="216"/>
      <c r="M418" s="217"/>
      <c r="N418" s="176"/>
      <c r="O418" s="241" t="str">
        <f>IF(Q418 = "", "", COUNT(Q$4:$Q418))</f>
        <v/>
      </c>
      <c r="P418" s="241" t="str">
        <f t="shared" si="52"/>
        <v/>
      </c>
      <c r="Q418" s="242" t="str">
        <f t="shared" si="53"/>
        <v/>
      </c>
      <c r="R418" s="243" t="str">
        <f t="shared" si="55"/>
        <v/>
      </c>
      <c r="S418" s="244" t="str">
        <f t="shared" si="56"/>
        <v/>
      </c>
      <c r="T418" s="245" t="str">
        <f t="shared" si="57"/>
        <v/>
      </c>
      <c r="U418" s="246" t="str">
        <f t="shared" si="58"/>
        <v/>
      </c>
      <c r="V418" s="8"/>
      <c r="AR418" t="str">
        <f t="shared" si="59"/>
        <v/>
      </c>
      <c r="AS418" t="str">
        <f t="shared" si="54"/>
        <v/>
      </c>
    </row>
    <row r="419" spans="1:45" x14ac:dyDescent="0.3">
      <c r="A419" s="231"/>
      <c r="B419" s="235"/>
      <c r="C419" s="214"/>
      <c r="D419" s="214"/>
      <c r="E419" s="214"/>
      <c r="F419" s="214"/>
      <c r="G419" s="222"/>
      <c r="H419" s="221"/>
      <c r="I419" s="213"/>
      <c r="J419" s="213"/>
      <c r="K419" s="215"/>
      <c r="L419" s="216"/>
      <c r="M419" s="217"/>
      <c r="N419" s="176"/>
      <c r="O419" s="241" t="str">
        <f>IF(Q419 = "", "", COUNT(Q$4:$Q419))</f>
        <v/>
      </c>
      <c r="P419" s="241" t="str">
        <f t="shared" si="52"/>
        <v/>
      </c>
      <c r="Q419" s="242" t="str">
        <f t="shared" si="53"/>
        <v/>
      </c>
      <c r="R419" s="243" t="str">
        <f t="shared" si="55"/>
        <v/>
      </c>
      <c r="S419" s="244" t="str">
        <f t="shared" si="56"/>
        <v/>
      </c>
      <c r="T419" s="245" t="str">
        <f t="shared" si="57"/>
        <v/>
      </c>
      <c r="U419" s="246" t="str">
        <f t="shared" si="58"/>
        <v/>
      </c>
      <c r="V419" s="8"/>
      <c r="AR419" t="str">
        <f t="shared" si="59"/>
        <v/>
      </c>
      <c r="AS419" t="str">
        <f t="shared" si="54"/>
        <v/>
      </c>
    </row>
    <row r="420" spans="1:45" x14ac:dyDescent="0.3">
      <c r="A420" s="231"/>
      <c r="B420" s="235"/>
      <c r="C420" s="214"/>
      <c r="D420" s="214"/>
      <c r="E420" s="214"/>
      <c r="F420" s="214"/>
      <c r="G420" s="222"/>
      <c r="H420" s="221"/>
      <c r="I420" s="213"/>
      <c r="J420" s="213"/>
      <c r="K420" s="215"/>
      <c r="L420" s="216"/>
      <c r="M420" s="217"/>
      <c r="N420" s="176"/>
      <c r="O420" s="241" t="str">
        <f>IF(Q420 = "", "", COUNT(Q$4:$Q420))</f>
        <v/>
      </c>
      <c r="P420" s="241" t="str">
        <f t="shared" si="52"/>
        <v/>
      </c>
      <c r="Q420" s="242" t="str">
        <f t="shared" si="53"/>
        <v/>
      </c>
      <c r="R420" s="243" t="str">
        <f t="shared" si="55"/>
        <v/>
      </c>
      <c r="S420" s="244" t="str">
        <f t="shared" si="56"/>
        <v/>
      </c>
      <c r="T420" s="245" t="str">
        <f t="shared" si="57"/>
        <v/>
      </c>
      <c r="U420" s="246" t="str">
        <f t="shared" si="58"/>
        <v/>
      </c>
      <c r="V420" s="8"/>
      <c r="AR420" t="str">
        <f t="shared" si="59"/>
        <v/>
      </c>
      <c r="AS420" t="str">
        <f t="shared" si="54"/>
        <v/>
      </c>
    </row>
    <row r="421" spans="1:45" x14ac:dyDescent="0.3">
      <c r="A421" s="231"/>
      <c r="B421" s="235"/>
      <c r="C421" s="214"/>
      <c r="D421" s="214"/>
      <c r="E421" s="214"/>
      <c r="F421" s="214"/>
      <c r="G421" s="222"/>
      <c r="H421" s="221"/>
      <c r="I421" s="213"/>
      <c r="J421" s="213"/>
      <c r="K421" s="215"/>
      <c r="L421" s="216"/>
      <c r="M421" s="217"/>
      <c r="N421" s="176"/>
      <c r="O421" s="241" t="str">
        <f>IF(Q421 = "", "", COUNT(Q$4:$Q421))</f>
        <v/>
      </c>
      <c r="P421" s="241" t="str">
        <f t="shared" si="52"/>
        <v/>
      </c>
      <c r="Q421" s="242" t="str">
        <f t="shared" si="53"/>
        <v/>
      </c>
      <c r="R421" s="243" t="str">
        <f t="shared" si="55"/>
        <v/>
      </c>
      <c r="S421" s="244" t="str">
        <f t="shared" si="56"/>
        <v/>
      </c>
      <c r="T421" s="245" t="str">
        <f t="shared" si="57"/>
        <v/>
      </c>
      <c r="U421" s="246" t="str">
        <f t="shared" si="58"/>
        <v/>
      </c>
      <c r="V421" s="8"/>
      <c r="AR421" t="str">
        <f t="shared" si="59"/>
        <v/>
      </c>
      <c r="AS421" t="str">
        <f t="shared" si="54"/>
        <v/>
      </c>
    </row>
    <row r="422" spans="1:45" x14ac:dyDescent="0.3">
      <c r="A422" s="231"/>
      <c r="B422" s="235"/>
      <c r="C422" s="214"/>
      <c r="D422" s="214"/>
      <c r="E422" s="214"/>
      <c r="F422" s="214"/>
      <c r="G422" s="222"/>
      <c r="H422" s="221"/>
      <c r="I422" s="213"/>
      <c r="J422" s="213"/>
      <c r="K422" s="215"/>
      <c r="L422" s="216"/>
      <c r="M422" s="217"/>
      <c r="N422" s="176"/>
      <c r="O422" s="241" t="str">
        <f>IF(Q422 = "", "", COUNT(Q$4:$Q422))</f>
        <v/>
      </c>
      <c r="P422" s="241" t="str">
        <f t="shared" si="52"/>
        <v/>
      </c>
      <c r="Q422" s="242" t="str">
        <f t="shared" si="53"/>
        <v/>
      </c>
      <c r="R422" s="243" t="str">
        <f t="shared" si="55"/>
        <v/>
      </c>
      <c r="S422" s="244" t="str">
        <f t="shared" si="56"/>
        <v/>
      </c>
      <c r="T422" s="245" t="str">
        <f t="shared" si="57"/>
        <v/>
      </c>
      <c r="U422" s="246" t="str">
        <f t="shared" si="58"/>
        <v/>
      </c>
      <c r="V422" s="8"/>
      <c r="AR422" t="str">
        <f t="shared" si="59"/>
        <v/>
      </c>
      <c r="AS422" t="str">
        <f t="shared" si="54"/>
        <v/>
      </c>
    </row>
    <row r="423" spans="1:45" x14ac:dyDescent="0.3">
      <c r="A423" s="231"/>
      <c r="B423" s="235"/>
      <c r="C423" s="214"/>
      <c r="D423" s="214"/>
      <c r="E423" s="214"/>
      <c r="F423" s="214"/>
      <c r="G423" s="222"/>
      <c r="H423" s="221"/>
      <c r="I423" s="213"/>
      <c r="J423" s="213"/>
      <c r="K423" s="215"/>
      <c r="L423" s="216"/>
      <c r="M423" s="217"/>
      <c r="N423" s="176"/>
      <c r="O423" s="241" t="str">
        <f>IF(Q423 = "", "", COUNT(Q$4:$Q423))</f>
        <v/>
      </c>
      <c r="P423" s="241" t="str">
        <f t="shared" si="52"/>
        <v/>
      </c>
      <c r="Q423" s="242" t="str">
        <f t="shared" si="53"/>
        <v/>
      </c>
      <c r="R423" s="243" t="str">
        <f t="shared" si="55"/>
        <v/>
      </c>
      <c r="S423" s="244" t="str">
        <f t="shared" si="56"/>
        <v/>
      </c>
      <c r="T423" s="245" t="str">
        <f t="shared" si="57"/>
        <v/>
      </c>
      <c r="U423" s="246" t="str">
        <f t="shared" si="58"/>
        <v/>
      </c>
      <c r="V423" s="8"/>
      <c r="AR423" t="str">
        <f t="shared" si="59"/>
        <v/>
      </c>
      <c r="AS423" t="str">
        <f t="shared" si="54"/>
        <v/>
      </c>
    </row>
    <row r="424" spans="1:45" x14ac:dyDescent="0.3">
      <c r="A424" s="231"/>
      <c r="B424" s="235"/>
      <c r="C424" s="214"/>
      <c r="D424" s="214"/>
      <c r="E424" s="214"/>
      <c r="F424" s="214"/>
      <c r="G424" s="222"/>
      <c r="H424" s="221"/>
      <c r="I424" s="213"/>
      <c r="J424" s="213"/>
      <c r="K424" s="215"/>
      <c r="L424" s="216"/>
      <c r="M424" s="217"/>
      <c r="N424" s="176"/>
      <c r="O424" s="241" t="str">
        <f>IF(Q424 = "", "", COUNT(Q$4:$Q424))</f>
        <v/>
      </c>
      <c r="P424" s="241" t="str">
        <f t="shared" si="52"/>
        <v/>
      </c>
      <c r="Q424" s="242" t="str">
        <f t="shared" si="53"/>
        <v/>
      </c>
      <c r="R424" s="243" t="str">
        <f t="shared" si="55"/>
        <v/>
      </c>
      <c r="S424" s="244" t="str">
        <f t="shared" si="56"/>
        <v/>
      </c>
      <c r="T424" s="245" t="str">
        <f t="shared" si="57"/>
        <v/>
      </c>
      <c r="U424" s="246" t="str">
        <f t="shared" si="58"/>
        <v/>
      </c>
      <c r="V424" s="8"/>
      <c r="AR424" t="str">
        <f t="shared" si="59"/>
        <v/>
      </c>
      <c r="AS424" t="str">
        <f t="shared" si="54"/>
        <v/>
      </c>
    </row>
    <row r="425" spans="1:45" x14ac:dyDescent="0.3">
      <c r="A425" s="231"/>
      <c r="B425" s="235"/>
      <c r="C425" s="214"/>
      <c r="D425" s="214"/>
      <c r="E425" s="214"/>
      <c r="F425" s="214"/>
      <c r="G425" s="222"/>
      <c r="H425" s="221"/>
      <c r="I425" s="213"/>
      <c r="J425" s="213"/>
      <c r="K425" s="215"/>
      <c r="L425" s="216"/>
      <c r="M425" s="217"/>
      <c r="N425" s="176"/>
      <c r="O425" s="241" t="str">
        <f>IF(Q425 = "", "", COUNT(Q$4:$Q425))</f>
        <v/>
      </c>
      <c r="P425" s="241" t="str">
        <f t="shared" si="52"/>
        <v/>
      </c>
      <c r="Q425" s="242" t="str">
        <f t="shared" si="53"/>
        <v/>
      </c>
      <c r="R425" s="243" t="str">
        <f t="shared" si="55"/>
        <v/>
      </c>
      <c r="S425" s="244" t="str">
        <f t="shared" si="56"/>
        <v/>
      </c>
      <c r="T425" s="245" t="str">
        <f t="shared" si="57"/>
        <v/>
      </c>
      <c r="U425" s="246" t="str">
        <f t="shared" si="58"/>
        <v/>
      </c>
      <c r="V425" s="8"/>
      <c r="AR425" t="str">
        <f t="shared" si="59"/>
        <v/>
      </c>
      <c r="AS425" t="str">
        <f t="shared" si="54"/>
        <v/>
      </c>
    </row>
    <row r="426" spans="1:45" x14ac:dyDescent="0.3">
      <c r="A426" s="231"/>
      <c r="B426" s="235"/>
      <c r="C426" s="214"/>
      <c r="D426" s="214"/>
      <c r="E426" s="214"/>
      <c r="F426" s="214"/>
      <c r="G426" s="222"/>
      <c r="H426" s="221"/>
      <c r="I426" s="213"/>
      <c r="J426" s="213"/>
      <c r="K426" s="215"/>
      <c r="L426" s="216"/>
      <c r="M426" s="217"/>
      <c r="N426" s="176"/>
      <c r="O426" s="241" t="str">
        <f>IF(Q426 = "", "", COUNT(Q$4:$Q426))</f>
        <v/>
      </c>
      <c r="P426" s="241" t="str">
        <f t="shared" si="52"/>
        <v/>
      </c>
      <c r="Q426" s="242" t="str">
        <f t="shared" si="53"/>
        <v/>
      </c>
      <c r="R426" s="243" t="str">
        <f t="shared" si="55"/>
        <v/>
      </c>
      <c r="S426" s="244" t="str">
        <f t="shared" si="56"/>
        <v/>
      </c>
      <c r="T426" s="245" t="str">
        <f t="shared" si="57"/>
        <v/>
      </c>
      <c r="U426" s="246" t="str">
        <f t="shared" si="58"/>
        <v/>
      </c>
      <c r="V426" s="8"/>
      <c r="AR426" t="str">
        <f t="shared" si="59"/>
        <v/>
      </c>
      <c r="AS426" t="str">
        <f t="shared" si="54"/>
        <v/>
      </c>
    </row>
    <row r="427" spans="1:45" x14ac:dyDescent="0.3">
      <c r="A427" s="231"/>
      <c r="B427" s="235"/>
      <c r="C427" s="214"/>
      <c r="D427" s="214"/>
      <c r="E427" s="214"/>
      <c r="F427" s="214"/>
      <c r="G427" s="222"/>
      <c r="H427" s="221"/>
      <c r="I427" s="213"/>
      <c r="J427" s="213"/>
      <c r="K427" s="215"/>
      <c r="L427" s="216"/>
      <c r="M427" s="217"/>
      <c r="N427" s="176"/>
      <c r="O427" s="241" t="str">
        <f>IF(Q427 = "", "", COUNT(Q$4:$Q427))</f>
        <v/>
      </c>
      <c r="P427" s="241" t="str">
        <f t="shared" si="52"/>
        <v/>
      </c>
      <c r="Q427" s="242" t="str">
        <f t="shared" si="53"/>
        <v/>
      </c>
      <c r="R427" s="243" t="str">
        <f t="shared" si="55"/>
        <v/>
      </c>
      <c r="S427" s="244" t="str">
        <f t="shared" si="56"/>
        <v/>
      </c>
      <c r="T427" s="245" t="str">
        <f t="shared" si="57"/>
        <v/>
      </c>
      <c r="U427" s="246" t="str">
        <f t="shared" si="58"/>
        <v/>
      </c>
      <c r="V427" s="8"/>
      <c r="AR427" t="str">
        <f t="shared" si="59"/>
        <v/>
      </c>
      <c r="AS427" t="str">
        <f t="shared" si="54"/>
        <v/>
      </c>
    </row>
    <row r="428" spans="1:45" x14ac:dyDescent="0.3">
      <c r="A428" s="231"/>
      <c r="B428" s="235"/>
      <c r="C428" s="214"/>
      <c r="D428" s="214"/>
      <c r="E428" s="214"/>
      <c r="F428" s="214"/>
      <c r="G428" s="222"/>
      <c r="H428" s="221"/>
      <c r="I428" s="213"/>
      <c r="J428" s="213"/>
      <c r="K428" s="215"/>
      <c r="L428" s="216"/>
      <c r="M428" s="217"/>
      <c r="N428" s="176"/>
      <c r="O428" s="241" t="str">
        <f>IF(Q428 = "", "", COUNT(Q$4:$Q428))</f>
        <v/>
      </c>
      <c r="P428" s="241" t="str">
        <f t="shared" si="52"/>
        <v/>
      </c>
      <c r="Q428" s="242" t="str">
        <f t="shared" si="53"/>
        <v/>
      </c>
      <c r="R428" s="243" t="str">
        <f t="shared" si="55"/>
        <v/>
      </c>
      <c r="S428" s="244" t="str">
        <f t="shared" si="56"/>
        <v/>
      </c>
      <c r="T428" s="245" t="str">
        <f t="shared" si="57"/>
        <v/>
      </c>
      <c r="U428" s="246" t="str">
        <f t="shared" si="58"/>
        <v/>
      </c>
      <c r="V428" s="8"/>
      <c r="AR428" t="str">
        <f t="shared" si="59"/>
        <v/>
      </c>
      <c r="AS428" t="str">
        <f t="shared" si="54"/>
        <v/>
      </c>
    </row>
    <row r="429" spans="1:45" x14ac:dyDescent="0.3">
      <c r="A429" s="231"/>
      <c r="B429" s="235"/>
      <c r="C429" s="214"/>
      <c r="D429" s="214"/>
      <c r="E429" s="214"/>
      <c r="F429" s="214"/>
      <c r="G429" s="222"/>
      <c r="H429" s="221"/>
      <c r="I429" s="213"/>
      <c r="J429" s="213"/>
      <c r="K429" s="215"/>
      <c r="L429" s="216"/>
      <c r="M429" s="217"/>
      <c r="N429" s="176"/>
      <c r="O429" s="241" t="str">
        <f>IF(Q429 = "", "", COUNT(Q$4:$Q429))</f>
        <v/>
      </c>
      <c r="P429" s="241" t="str">
        <f t="shared" si="52"/>
        <v/>
      </c>
      <c r="Q429" s="242" t="str">
        <f t="shared" si="53"/>
        <v/>
      </c>
      <c r="R429" s="243" t="str">
        <f t="shared" si="55"/>
        <v/>
      </c>
      <c r="S429" s="244" t="str">
        <f t="shared" si="56"/>
        <v/>
      </c>
      <c r="T429" s="245" t="str">
        <f t="shared" si="57"/>
        <v/>
      </c>
      <c r="U429" s="246" t="str">
        <f t="shared" si="58"/>
        <v/>
      </c>
      <c r="V429" s="8"/>
      <c r="AR429" t="str">
        <f t="shared" si="59"/>
        <v/>
      </c>
      <c r="AS429" t="str">
        <f t="shared" si="54"/>
        <v/>
      </c>
    </row>
    <row r="430" spans="1:45" x14ac:dyDescent="0.3">
      <c r="A430" s="231"/>
      <c r="B430" s="235"/>
      <c r="C430" s="214"/>
      <c r="D430" s="214"/>
      <c r="E430" s="214"/>
      <c r="F430" s="214"/>
      <c r="G430" s="222"/>
      <c r="H430" s="221"/>
      <c r="I430" s="213"/>
      <c r="J430" s="213"/>
      <c r="K430" s="215"/>
      <c r="L430" s="216"/>
      <c r="M430" s="217"/>
      <c r="N430" s="176"/>
      <c r="O430" s="241" t="str">
        <f>IF(Q430 = "", "", COUNT(Q$4:$Q430))</f>
        <v/>
      </c>
      <c r="P430" s="241" t="str">
        <f t="shared" si="52"/>
        <v/>
      </c>
      <c r="Q430" s="242" t="str">
        <f t="shared" si="53"/>
        <v/>
      </c>
      <c r="R430" s="243" t="str">
        <f t="shared" si="55"/>
        <v/>
      </c>
      <c r="S430" s="244" t="str">
        <f t="shared" si="56"/>
        <v/>
      </c>
      <c r="T430" s="245" t="str">
        <f t="shared" si="57"/>
        <v/>
      </c>
      <c r="U430" s="246" t="str">
        <f t="shared" si="58"/>
        <v/>
      </c>
      <c r="V430" s="8"/>
      <c r="AR430" t="str">
        <f t="shared" si="59"/>
        <v/>
      </c>
      <c r="AS430" t="str">
        <f t="shared" si="54"/>
        <v/>
      </c>
    </row>
    <row r="431" spans="1:45" x14ac:dyDescent="0.3">
      <c r="A431" s="231"/>
      <c r="B431" s="235"/>
      <c r="C431" s="214"/>
      <c r="D431" s="214"/>
      <c r="E431" s="214"/>
      <c r="F431" s="214"/>
      <c r="G431" s="222"/>
      <c r="H431" s="221"/>
      <c r="I431" s="213"/>
      <c r="J431" s="213"/>
      <c r="K431" s="215"/>
      <c r="L431" s="216"/>
      <c r="M431" s="217"/>
      <c r="N431" s="176"/>
      <c r="O431" s="241" t="str">
        <f>IF(Q431 = "", "", COUNT(Q$4:$Q431))</f>
        <v/>
      </c>
      <c r="P431" s="241" t="str">
        <f t="shared" si="52"/>
        <v/>
      </c>
      <c r="Q431" s="242" t="str">
        <f t="shared" si="53"/>
        <v/>
      </c>
      <c r="R431" s="243" t="str">
        <f t="shared" si="55"/>
        <v/>
      </c>
      <c r="S431" s="244" t="str">
        <f t="shared" si="56"/>
        <v/>
      </c>
      <c r="T431" s="245" t="str">
        <f t="shared" si="57"/>
        <v/>
      </c>
      <c r="U431" s="246" t="str">
        <f t="shared" si="58"/>
        <v/>
      </c>
      <c r="V431" s="8"/>
      <c r="AR431" t="str">
        <f t="shared" si="59"/>
        <v/>
      </c>
      <c r="AS431" t="str">
        <f t="shared" si="54"/>
        <v/>
      </c>
    </row>
    <row r="432" spans="1:45" x14ac:dyDescent="0.3">
      <c r="A432" s="231"/>
      <c r="B432" s="235"/>
      <c r="C432" s="214"/>
      <c r="D432" s="214"/>
      <c r="E432" s="214"/>
      <c r="F432" s="214"/>
      <c r="G432" s="222"/>
      <c r="H432" s="221"/>
      <c r="I432" s="213"/>
      <c r="J432" s="213"/>
      <c r="K432" s="215"/>
      <c r="L432" s="216"/>
      <c r="M432" s="217"/>
      <c r="N432" s="176"/>
      <c r="O432" s="241" t="str">
        <f>IF(Q432 = "", "", COUNT(Q$4:$Q432))</f>
        <v/>
      </c>
      <c r="P432" s="241" t="str">
        <f t="shared" si="52"/>
        <v/>
      </c>
      <c r="Q432" s="242" t="str">
        <f t="shared" si="53"/>
        <v/>
      </c>
      <c r="R432" s="243" t="str">
        <f t="shared" si="55"/>
        <v/>
      </c>
      <c r="S432" s="244" t="str">
        <f t="shared" si="56"/>
        <v/>
      </c>
      <c r="T432" s="245" t="str">
        <f t="shared" si="57"/>
        <v/>
      </c>
      <c r="U432" s="246" t="str">
        <f t="shared" si="58"/>
        <v/>
      </c>
      <c r="V432" s="8"/>
      <c r="AR432" t="str">
        <f t="shared" si="59"/>
        <v/>
      </c>
      <c r="AS432" t="str">
        <f t="shared" si="54"/>
        <v/>
      </c>
    </row>
    <row r="433" spans="1:45" x14ac:dyDescent="0.3">
      <c r="A433" s="231"/>
      <c r="B433" s="235"/>
      <c r="C433" s="214"/>
      <c r="D433" s="214"/>
      <c r="E433" s="214"/>
      <c r="F433" s="214"/>
      <c r="G433" s="222"/>
      <c r="H433" s="221"/>
      <c r="I433" s="213"/>
      <c r="J433" s="213"/>
      <c r="K433" s="215"/>
      <c r="L433" s="216"/>
      <c r="M433" s="217"/>
      <c r="N433" s="176"/>
      <c r="O433" s="241" t="str">
        <f>IF(Q433 = "", "", COUNT(Q$4:$Q433))</f>
        <v/>
      </c>
      <c r="P433" s="241" t="str">
        <f t="shared" si="52"/>
        <v/>
      </c>
      <c r="Q433" s="242" t="str">
        <f t="shared" si="53"/>
        <v/>
      </c>
      <c r="R433" s="243" t="str">
        <f t="shared" si="55"/>
        <v/>
      </c>
      <c r="S433" s="244" t="str">
        <f t="shared" si="56"/>
        <v/>
      </c>
      <c r="T433" s="245" t="str">
        <f t="shared" si="57"/>
        <v/>
      </c>
      <c r="U433" s="246" t="str">
        <f t="shared" si="58"/>
        <v/>
      </c>
      <c r="V433" s="8"/>
      <c r="AR433" t="str">
        <f t="shared" si="59"/>
        <v/>
      </c>
      <c r="AS433" t="str">
        <f t="shared" si="54"/>
        <v/>
      </c>
    </row>
    <row r="434" spans="1:45" x14ac:dyDescent="0.3">
      <c r="A434" s="231"/>
      <c r="B434" s="235"/>
      <c r="C434" s="214"/>
      <c r="D434" s="214"/>
      <c r="E434" s="214"/>
      <c r="F434" s="214"/>
      <c r="G434" s="222"/>
      <c r="H434" s="221"/>
      <c r="I434" s="213"/>
      <c r="J434" s="213"/>
      <c r="K434" s="215"/>
      <c r="L434" s="216"/>
      <c r="M434" s="217"/>
      <c r="N434" s="176"/>
      <c r="O434" s="241" t="str">
        <f>IF(Q434 = "", "", COUNT(Q$4:$Q434))</f>
        <v/>
      </c>
      <c r="P434" s="241" t="str">
        <f t="shared" si="52"/>
        <v/>
      </c>
      <c r="Q434" s="242" t="str">
        <f t="shared" si="53"/>
        <v/>
      </c>
      <c r="R434" s="243" t="str">
        <f t="shared" si="55"/>
        <v/>
      </c>
      <c r="S434" s="244" t="str">
        <f t="shared" si="56"/>
        <v/>
      </c>
      <c r="T434" s="245" t="str">
        <f t="shared" si="57"/>
        <v/>
      </c>
      <c r="U434" s="246" t="str">
        <f t="shared" si="58"/>
        <v/>
      </c>
      <c r="V434" s="8"/>
      <c r="AR434" t="str">
        <f t="shared" si="59"/>
        <v/>
      </c>
      <c r="AS434" t="str">
        <f t="shared" si="54"/>
        <v/>
      </c>
    </row>
    <row r="435" spans="1:45" x14ac:dyDescent="0.3">
      <c r="A435" s="231"/>
      <c r="B435" s="235"/>
      <c r="C435" s="214"/>
      <c r="D435" s="214"/>
      <c r="E435" s="214"/>
      <c r="F435" s="214"/>
      <c r="G435" s="222"/>
      <c r="H435" s="221"/>
      <c r="I435" s="213"/>
      <c r="J435" s="213"/>
      <c r="K435" s="215"/>
      <c r="L435" s="216"/>
      <c r="M435" s="217"/>
      <c r="N435" s="176"/>
      <c r="O435" s="241" t="str">
        <f>IF(Q435 = "", "", COUNT(Q$4:$Q435))</f>
        <v/>
      </c>
      <c r="P435" s="241" t="str">
        <f t="shared" si="52"/>
        <v/>
      </c>
      <c r="Q435" s="242" t="str">
        <f t="shared" si="53"/>
        <v/>
      </c>
      <c r="R435" s="243" t="str">
        <f t="shared" si="55"/>
        <v/>
      </c>
      <c r="S435" s="244" t="str">
        <f t="shared" si="56"/>
        <v/>
      </c>
      <c r="T435" s="245" t="str">
        <f t="shared" si="57"/>
        <v/>
      </c>
      <c r="U435" s="246" t="str">
        <f t="shared" si="58"/>
        <v/>
      </c>
      <c r="V435" s="8"/>
      <c r="AR435" t="str">
        <f t="shared" si="59"/>
        <v/>
      </c>
      <c r="AS435" t="str">
        <f t="shared" si="54"/>
        <v/>
      </c>
    </row>
    <row r="436" spans="1:45" x14ac:dyDescent="0.3">
      <c r="A436" s="231"/>
      <c r="B436" s="235"/>
      <c r="C436" s="214"/>
      <c r="D436" s="214"/>
      <c r="E436" s="214"/>
      <c r="F436" s="214"/>
      <c r="G436" s="222"/>
      <c r="H436" s="221"/>
      <c r="I436" s="213"/>
      <c r="J436" s="213"/>
      <c r="K436" s="215"/>
      <c r="L436" s="216"/>
      <c r="M436" s="217"/>
      <c r="N436" s="176"/>
      <c r="O436" s="241" t="str">
        <f>IF(Q436 = "", "", COUNT(Q$4:$Q436))</f>
        <v/>
      </c>
      <c r="P436" s="241" t="str">
        <f t="shared" si="52"/>
        <v/>
      </c>
      <c r="Q436" s="242" t="str">
        <f t="shared" si="53"/>
        <v/>
      </c>
      <c r="R436" s="243" t="str">
        <f t="shared" si="55"/>
        <v/>
      </c>
      <c r="S436" s="244" t="str">
        <f t="shared" si="56"/>
        <v/>
      </c>
      <c r="T436" s="245" t="str">
        <f t="shared" si="57"/>
        <v/>
      </c>
      <c r="U436" s="246" t="str">
        <f t="shared" si="58"/>
        <v/>
      </c>
      <c r="V436" s="8"/>
      <c r="AR436" t="str">
        <f t="shared" si="59"/>
        <v/>
      </c>
      <c r="AS436" t="str">
        <f t="shared" si="54"/>
        <v/>
      </c>
    </row>
    <row r="437" spans="1:45" x14ac:dyDescent="0.3">
      <c r="A437" s="231"/>
      <c r="B437" s="235"/>
      <c r="C437" s="214"/>
      <c r="D437" s="214"/>
      <c r="E437" s="214"/>
      <c r="F437" s="214"/>
      <c r="G437" s="222"/>
      <c r="H437" s="221"/>
      <c r="I437" s="213"/>
      <c r="J437" s="213"/>
      <c r="K437" s="215"/>
      <c r="L437" s="216"/>
      <c r="M437" s="217"/>
      <c r="N437" s="176"/>
      <c r="O437" s="241" t="str">
        <f>IF(Q437 = "", "", COUNT(Q$4:$Q437))</f>
        <v/>
      </c>
      <c r="P437" s="241" t="str">
        <f t="shared" si="52"/>
        <v/>
      </c>
      <c r="Q437" s="242" t="str">
        <f t="shared" si="53"/>
        <v/>
      </c>
      <c r="R437" s="243" t="str">
        <f t="shared" si="55"/>
        <v/>
      </c>
      <c r="S437" s="244" t="str">
        <f t="shared" si="56"/>
        <v/>
      </c>
      <c r="T437" s="245" t="str">
        <f t="shared" si="57"/>
        <v/>
      </c>
      <c r="U437" s="246" t="str">
        <f t="shared" si="58"/>
        <v/>
      </c>
      <c r="V437" s="8"/>
      <c r="AR437" t="str">
        <f t="shared" si="59"/>
        <v/>
      </c>
      <c r="AS437" t="str">
        <f t="shared" si="54"/>
        <v/>
      </c>
    </row>
    <row r="438" spans="1:45" x14ac:dyDescent="0.3">
      <c r="A438" s="231"/>
      <c r="B438" s="235"/>
      <c r="C438" s="214"/>
      <c r="D438" s="214"/>
      <c r="E438" s="214"/>
      <c r="F438" s="214"/>
      <c r="G438" s="222"/>
      <c r="H438" s="221"/>
      <c r="I438" s="213"/>
      <c r="J438" s="213"/>
      <c r="K438" s="215"/>
      <c r="L438" s="216"/>
      <c r="M438" s="217"/>
      <c r="N438" s="176"/>
      <c r="O438" s="241" t="str">
        <f>IF(Q438 = "", "", COUNT(Q$4:$Q438))</f>
        <v/>
      </c>
      <c r="P438" s="241" t="str">
        <f t="shared" si="52"/>
        <v/>
      </c>
      <c r="Q438" s="242" t="str">
        <f t="shared" si="53"/>
        <v/>
      </c>
      <c r="R438" s="243" t="str">
        <f t="shared" si="55"/>
        <v/>
      </c>
      <c r="S438" s="244" t="str">
        <f t="shared" si="56"/>
        <v/>
      </c>
      <c r="T438" s="245" t="str">
        <f t="shared" si="57"/>
        <v/>
      </c>
      <c r="U438" s="246" t="str">
        <f t="shared" si="58"/>
        <v/>
      </c>
      <c r="V438" s="8"/>
      <c r="AR438" t="str">
        <f t="shared" si="59"/>
        <v/>
      </c>
      <c r="AS438" t="str">
        <f t="shared" si="54"/>
        <v/>
      </c>
    </row>
    <row r="439" spans="1:45" x14ac:dyDescent="0.3">
      <c r="A439" s="231"/>
      <c r="B439" s="235"/>
      <c r="C439" s="214"/>
      <c r="D439" s="214"/>
      <c r="E439" s="214"/>
      <c r="F439" s="214"/>
      <c r="G439" s="222"/>
      <c r="H439" s="221"/>
      <c r="I439" s="213"/>
      <c r="J439" s="213"/>
      <c r="K439" s="215"/>
      <c r="L439" s="216"/>
      <c r="M439" s="217"/>
      <c r="N439" s="176"/>
      <c r="O439" s="241" t="str">
        <f>IF(Q439 = "", "", COUNT(Q$4:$Q439))</f>
        <v/>
      </c>
      <c r="P439" s="241" t="str">
        <f t="shared" si="52"/>
        <v/>
      </c>
      <c r="Q439" s="242" t="str">
        <f t="shared" si="53"/>
        <v/>
      </c>
      <c r="R439" s="243" t="str">
        <f t="shared" si="55"/>
        <v/>
      </c>
      <c r="S439" s="244" t="str">
        <f t="shared" si="56"/>
        <v/>
      </c>
      <c r="T439" s="245" t="str">
        <f t="shared" si="57"/>
        <v/>
      </c>
      <c r="U439" s="246" t="str">
        <f t="shared" si="58"/>
        <v/>
      </c>
      <c r="V439" s="8"/>
      <c r="AR439" t="str">
        <f t="shared" si="59"/>
        <v/>
      </c>
      <c r="AS439" t="str">
        <f t="shared" si="54"/>
        <v/>
      </c>
    </row>
    <row r="440" spans="1:45" x14ac:dyDescent="0.3">
      <c r="A440" s="231"/>
      <c r="B440" s="235"/>
      <c r="C440" s="214"/>
      <c r="D440" s="214"/>
      <c r="E440" s="214"/>
      <c r="F440" s="214"/>
      <c r="G440" s="222"/>
      <c r="H440" s="221"/>
      <c r="I440" s="213"/>
      <c r="J440" s="213"/>
      <c r="K440" s="215"/>
      <c r="L440" s="216"/>
      <c r="M440" s="217"/>
      <c r="N440" s="176"/>
      <c r="O440" s="241" t="str">
        <f>IF(Q440 = "", "", COUNT(Q$4:$Q440))</f>
        <v/>
      </c>
      <c r="P440" s="241" t="str">
        <f t="shared" si="52"/>
        <v/>
      </c>
      <c r="Q440" s="242" t="str">
        <f t="shared" si="53"/>
        <v/>
      </c>
      <c r="R440" s="243" t="str">
        <f t="shared" si="55"/>
        <v/>
      </c>
      <c r="S440" s="244" t="str">
        <f t="shared" si="56"/>
        <v/>
      </c>
      <c r="T440" s="245" t="str">
        <f t="shared" si="57"/>
        <v/>
      </c>
      <c r="U440" s="246" t="str">
        <f t="shared" si="58"/>
        <v/>
      </c>
      <c r="V440" s="8"/>
      <c r="AR440" t="str">
        <f t="shared" si="59"/>
        <v/>
      </c>
      <c r="AS440" t="str">
        <f t="shared" si="54"/>
        <v/>
      </c>
    </row>
    <row r="441" spans="1:45" x14ac:dyDescent="0.3">
      <c r="A441" s="231"/>
      <c r="B441" s="235"/>
      <c r="C441" s="214"/>
      <c r="D441" s="214"/>
      <c r="E441" s="214"/>
      <c r="F441" s="214"/>
      <c r="G441" s="222"/>
      <c r="H441" s="221"/>
      <c r="I441" s="213"/>
      <c r="J441" s="213"/>
      <c r="K441" s="215"/>
      <c r="L441" s="216"/>
      <c r="M441" s="217"/>
      <c r="N441" s="176"/>
      <c r="O441" s="241" t="str">
        <f>IF(Q441 = "", "", COUNT(Q$4:$Q441))</f>
        <v/>
      </c>
      <c r="P441" s="241" t="str">
        <f t="shared" si="52"/>
        <v/>
      </c>
      <c r="Q441" s="242" t="str">
        <f t="shared" si="53"/>
        <v/>
      </c>
      <c r="R441" s="243" t="str">
        <f t="shared" si="55"/>
        <v/>
      </c>
      <c r="S441" s="244" t="str">
        <f t="shared" si="56"/>
        <v/>
      </c>
      <c r="T441" s="245" t="str">
        <f t="shared" si="57"/>
        <v/>
      </c>
      <c r="U441" s="246" t="str">
        <f t="shared" si="58"/>
        <v/>
      </c>
      <c r="V441" s="8"/>
      <c r="AR441" t="str">
        <f t="shared" si="59"/>
        <v/>
      </c>
      <c r="AS441" t="str">
        <f t="shared" si="54"/>
        <v/>
      </c>
    </row>
    <row r="442" spans="1:45" x14ac:dyDescent="0.3">
      <c r="A442" s="231"/>
      <c r="B442" s="235"/>
      <c r="C442" s="214"/>
      <c r="D442" s="214"/>
      <c r="E442" s="214"/>
      <c r="F442" s="214"/>
      <c r="G442" s="222"/>
      <c r="H442" s="221"/>
      <c r="I442" s="213"/>
      <c r="J442" s="213"/>
      <c r="K442" s="215"/>
      <c r="L442" s="216"/>
      <c r="M442" s="217"/>
      <c r="N442" s="176"/>
      <c r="O442" s="241" t="str">
        <f>IF(Q442 = "", "", COUNT(Q$4:$Q442))</f>
        <v/>
      </c>
      <c r="P442" s="241" t="str">
        <f t="shared" si="52"/>
        <v/>
      </c>
      <c r="Q442" s="242" t="str">
        <f t="shared" si="53"/>
        <v/>
      </c>
      <c r="R442" s="243" t="str">
        <f t="shared" si="55"/>
        <v/>
      </c>
      <c r="S442" s="244" t="str">
        <f t="shared" si="56"/>
        <v/>
      </c>
      <c r="T442" s="245" t="str">
        <f t="shared" si="57"/>
        <v/>
      </c>
      <c r="U442" s="246" t="str">
        <f t="shared" si="58"/>
        <v/>
      </c>
      <c r="V442" s="8"/>
      <c r="AR442" t="str">
        <f t="shared" si="59"/>
        <v/>
      </c>
      <c r="AS442" t="str">
        <f t="shared" si="54"/>
        <v/>
      </c>
    </row>
    <row r="443" spans="1:45" x14ac:dyDescent="0.3">
      <c r="A443" s="231"/>
      <c r="B443" s="235"/>
      <c r="C443" s="214"/>
      <c r="D443" s="214"/>
      <c r="E443" s="214"/>
      <c r="F443" s="214"/>
      <c r="G443" s="222"/>
      <c r="H443" s="221"/>
      <c r="I443" s="213"/>
      <c r="J443" s="213"/>
      <c r="K443" s="215"/>
      <c r="L443" s="216"/>
      <c r="M443" s="217"/>
      <c r="N443" s="176"/>
      <c r="O443" s="241" t="str">
        <f>IF(Q443 = "", "", COUNT(Q$4:$Q443))</f>
        <v/>
      </c>
      <c r="P443" s="241" t="str">
        <f t="shared" si="52"/>
        <v/>
      </c>
      <c r="Q443" s="242" t="str">
        <f t="shared" si="53"/>
        <v/>
      </c>
      <c r="R443" s="243" t="str">
        <f t="shared" si="55"/>
        <v/>
      </c>
      <c r="S443" s="244" t="str">
        <f t="shared" si="56"/>
        <v/>
      </c>
      <c r="T443" s="245" t="str">
        <f t="shared" si="57"/>
        <v/>
      </c>
      <c r="U443" s="246" t="str">
        <f t="shared" si="58"/>
        <v/>
      </c>
      <c r="V443" s="8"/>
      <c r="AR443" t="str">
        <f t="shared" si="59"/>
        <v/>
      </c>
      <c r="AS443" t="str">
        <f t="shared" si="54"/>
        <v/>
      </c>
    </row>
    <row r="444" spans="1:45" x14ac:dyDescent="0.3">
      <c r="A444" s="231"/>
      <c r="B444" s="235"/>
      <c r="C444" s="214"/>
      <c r="D444" s="214"/>
      <c r="E444" s="214"/>
      <c r="F444" s="214"/>
      <c r="G444" s="222"/>
      <c r="H444" s="221"/>
      <c r="I444" s="213"/>
      <c r="J444" s="213"/>
      <c r="K444" s="215"/>
      <c r="L444" s="216"/>
      <c r="M444" s="217"/>
      <c r="N444" s="176"/>
      <c r="O444" s="241" t="str">
        <f>IF(Q444 = "", "", COUNT(Q$4:$Q444))</f>
        <v/>
      </c>
      <c r="P444" s="241" t="str">
        <f t="shared" si="52"/>
        <v/>
      </c>
      <c r="Q444" s="242" t="str">
        <f t="shared" si="53"/>
        <v/>
      </c>
      <c r="R444" s="243" t="str">
        <f t="shared" si="55"/>
        <v/>
      </c>
      <c r="S444" s="244" t="str">
        <f t="shared" si="56"/>
        <v/>
      </c>
      <c r="T444" s="245" t="str">
        <f t="shared" si="57"/>
        <v/>
      </c>
      <c r="U444" s="246" t="str">
        <f t="shared" si="58"/>
        <v/>
      </c>
      <c r="V444" s="8"/>
      <c r="AR444" t="str">
        <f t="shared" si="59"/>
        <v/>
      </c>
      <c r="AS444" t="str">
        <f t="shared" si="54"/>
        <v/>
      </c>
    </row>
    <row r="445" spans="1:45" x14ac:dyDescent="0.3">
      <c r="A445" s="231"/>
      <c r="B445" s="235"/>
      <c r="C445" s="214"/>
      <c r="D445" s="214"/>
      <c r="E445" s="214"/>
      <c r="F445" s="214"/>
      <c r="G445" s="222"/>
      <c r="H445" s="221"/>
      <c r="I445" s="213"/>
      <c r="J445" s="213"/>
      <c r="K445" s="215"/>
      <c r="L445" s="216"/>
      <c r="M445" s="217"/>
      <c r="N445" s="176"/>
      <c r="O445" s="241" t="str">
        <f>IF(Q445 = "", "", COUNT(Q$4:$Q445))</f>
        <v/>
      </c>
      <c r="P445" s="241" t="str">
        <f t="shared" si="52"/>
        <v/>
      </c>
      <c r="Q445" s="242" t="str">
        <f t="shared" si="53"/>
        <v/>
      </c>
      <c r="R445" s="243" t="str">
        <f t="shared" si="55"/>
        <v/>
      </c>
      <c r="S445" s="244" t="str">
        <f t="shared" si="56"/>
        <v/>
      </c>
      <c r="T445" s="245" t="str">
        <f t="shared" si="57"/>
        <v/>
      </c>
      <c r="U445" s="246" t="str">
        <f t="shared" si="58"/>
        <v/>
      </c>
      <c r="V445" s="8"/>
      <c r="AR445" t="str">
        <f t="shared" si="59"/>
        <v/>
      </c>
      <c r="AS445" t="str">
        <f t="shared" si="54"/>
        <v/>
      </c>
    </row>
    <row r="446" spans="1:45" x14ac:dyDescent="0.3">
      <c r="A446" s="231"/>
      <c r="B446" s="235"/>
      <c r="C446" s="214"/>
      <c r="D446" s="214"/>
      <c r="E446" s="214"/>
      <c r="F446" s="214"/>
      <c r="G446" s="222"/>
      <c r="H446" s="221"/>
      <c r="I446" s="213"/>
      <c r="J446" s="213"/>
      <c r="K446" s="215"/>
      <c r="L446" s="216"/>
      <c r="M446" s="217"/>
      <c r="N446" s="176"/>
      <c r="O446" s="241" t="str">
        <f>IF(Q446 = "", "", COUNT(Q$4:$Q446))</f>
        <v/>
      </c>
      <c r="P446" s="241" t="str">
        <f t="shared" si="52"/>
        <v/>
      </c>
      <c r="Q446" s="242" t="str">
        <f t="shared" si="53"/>
        <v/>
      </c>
      <c r="R446" s="243" t="str">
        <f t="shared" si="55"/>
        <v/>
      </c>
      <c r="S446" s="244" t="str">
        <f t="shared" si="56"/>
        <v/>
      </c>
      <c r="T446" s="245" t="str">
        <f t="shared" si="57"/>
        <v/>
      </c>
      <c r="U446" s="246" t="str">
        <f t="shared" si="58"/>
        <v/>
      </c>
      <c r="V446" s="8"/>
      <c r="AR446" t="str">
        <f t="shared" si="59"/>
        <v/>
      </c>
      <c r="AS446" t="str">
        <f t="shared" si="54"/>
        <v/>
      </c>
    </row>
    <row r="447" spans="1:45" x14ac:dyDescent="0.3">
      <c r="A447" s="231"/>
      <c r="B447" s="235"/>
      <c r="C447" s="214"/>
      <c r="D447" s="214"/>
      <c r="E447" s="214"/>
      <c r="F447" s="214"/>
      <c r="G447" s="222"/>
      <c r="H447" s="221"/>
      <c r="I447" s="213"/>
      <c r="J447" s="213"/>
      <c r="K447" s="215"/>
      <c r="L447" s="216"/>
      <c r="M447" s="217"/>
      <c r="N447" s="176"/>
      <c r="O447" s="241" t="str">
        <f>IF(Q447 = "", "", COUNT(Q$4:$Q447))</f>
        <v/>
      </c>
      <c r="P447" s="241" t="str">
        <f t="shared" si="52"/>
        <v/>
      </c>
      <c r="Q447" s="242" t="str">
        <f t="shared" si="53"/>
        <v/>
      </c>
      <c r="R447" s="243" t="str">
        <f t="shared" si="55"/>
        <v/>
      </c>
      <c r="S447" s="244" t="str">
        <f t="shared" si="56"/>
        <v/>
      </c>
      <c r="T447" s="245" t="str">
        <f t="shared" si="57"/>
        <v/>
      </c>
      <c r="U447" s="246" t="str">
        <f t="shared" si="58"/>
        <v/>
      </c>
      <c r="V447" s="8"/>
      <c r="AR447" t="str">
        <f t="shared" si="59"/>
        <v/>
      </c>
      <c r="AS447" t="str">
        <f t="shared" si="54"/>
        <v/>
      </c>
    </row>
    <row r="448" spans="1:45" x14ac:dyDescent="0.3">
      <c r="A448" s="231"/>
      <c r="B448" s="235"/>
      <c r="C448" s="214"/>
      <c r="D448" s="214"/>
      <c r="E448" s="214"/>
      <c r="F448" s="214"/>
      <c r="G448" s="222"/>
      <c r="H448" s="221"/>
      <c r="I448" s="213"/>
      <c r="J448" s="213"/>
      <c r="K448" s="215"/>
      <c r="L448" s="216"/>
      <c r="M448" s="217"/>
      <c r="N448" s="176"/>
      <c r="O448" s="241" t="str">
        <f>IF(Q448 = "", "", COUNT(Q$4:$Q448))</f>
        <v/>
      </c>
      <c r="P448" s="241" t="str">
        <f t="shared" si="52"/>
        <v/>
      </c>
      <c r="Q448" s="242" t="str">
        <f t="shared" si="53"/>
        <v/>
      </c>
      <c r="R448" s="243" t="str">
        <f t="shared" si="55"/>
        <v/>
      </c>
      <c r="S448" s="244" t="str">
        <f t="shared" si="56"/>
        <v/>
      </c>
      <c r="T448" s="245" t="str">
        <f t="shared" si="57"/>
        <v/>
      </c>
      <c r="U448" s="246" t="str">
        <f t="shared" si="58"/>
        <v/>
      </c>
      <c r="V448" s="8"/>
      <c r="AR448" t="str">
        <f t="shared" si="59"/>
        <v/>
      </c>
      <c r="AS448" t="str">
        <f t="shared" si="54"/>
        <v/>
      </c>
    </row>
    <row r="449" spans="1:45" x14ac:dyDescent="0.3">
      <c r="A449" s="231"/>
      <c r="B449" s="235"/>
      <c r="C449" s="214"/>
      <c r="D449" s="214"/>
      <c r="E449" s="214"/>
      <c r="F449" s="214"/>
      <c r="G449" s="222"/>
      <c r="H449" s="221"/>
      <c r="I449" s="213"/>
      <c r="J449" s="213"/>
      <c r="K449" s="215"/>
      <c r="L449" s="216"/>
      <c r="M449" s="217"/>
      <c r="N449" s="176"/>
      <c r="O449" s="241" t="str">
        <f>IF(Q449 = "", "", COUNT(Q$4:$Q449))</f>
        <v/>
      </c>
      <c r="P449" s="241" t="str">
        <f t="shared" si="52"/>
        <v/>
      </c>
      <c r="Q449" s="242" t="str">
        <f t="shared" si="53"/>
        <v/>
      </c>
      <c r="R449" s="243" t="str">
        <f t="shared" si="55"/>
        <v/>
      </c>
      <c r="S449" s="244" t="str">
        <f t="shared" si="56"/>
        <v/>
      </c>
      <c r="T449" s="245" t="str">
        <f t="shared" si="57"/>
        <v/>
      </c>
      <c r="U449" s="246" t="str">
        <f t="shared" si="58"/>
        <v/>
      </c>
      <c r="V449" s="8"/>
      <c r="AR449" t="str">
        <f t="shared" si="59"/>
        <v/>
      </c>
      <c r="AS449" t="str">
        <f t="shared" si="54"/>
        <v/>
      </c>
    </row>
    <row r="450" spans="1:45" x14ac:dyDescent="0.3">
      <c r="A450" s="231"/>
      <c r="B450" s="235"/>
      <c r="C450" s="214"/>
      <c r="D450" s="214"/>
      <c r="E450" s="214"/>
      <c r="F450" s="214"/>
      <c r="G450" s="222"/>
      <c r="H450" s="221"/>
      <c r="I450" s="213"/>
      <c r="J450" s="213"/>
      <c r="K450" s="215"/>
      <c r="L450" s="216"/>
      <c r="M450" s="217"/>
      <c r="N450" s="176"/>
      <c r="O450" s="241" t="str">
        <f>IF(Q450 = "", "", COUNT(Q$4:$Q450))</f>
        <v/>
      </c>
      <c r="P450" s="241" t="str">
        <f t="shared" si="52"/>
        <v/>
      </c>
      <c r="Q450" s="242" t="str">
        <f t="shared" si="53"/>
        <v/>
      </c>
      <c r="R450" s="243" t="str">
        <f t="shared" si="55"/>
        <v/>
      </c>
      <c r="S450" s="244" t="str">
        <f t="shared" si="56"/>
        <v/>
      </c>
      <c r="T450" s="245" t="str">
        <f t="shared" si="57"/>
        <v/>
      </c>
      <c r="U450" s="246" t="str">
        <f t="shared" si="58"/>
        <v/>
      </c>
      <c r="V450" s="8"/>
      <c r="AR450" t="str">
        <f t="shared" si="59"/>
        <v/>
      </c>
      <c r="AS450" t="str">
        <f t="shared" si="54"/>
        <v/>
      </c>
    </row>
    <row r="451" spans="1:45" x14ac:dyDescent="0.3">
      <c r="A451" s="231"/>
      <c r="B451" s="235"/>
      <c r="C451" s="214"/>
      <c r="D451" s="214"/>
      <c r="E451" s="214"/>
      <c r="F451" s="214"/>
      <c r="G451" s="222"/>
      <c r="H451" s="221"/>
      <c r="I451" s="213"/>
      <c r="J451" s="213"/>
      <c r="K451" s="215"/>
      <c r="L451" s="216"/>
      <c r="M451" s="217"/>
      <c r="N451" s="176"/>
      <c r="O451" s="241" t="str">
        <f>IF(Q451 = "", "", COUNT(Q$4:$Q451))</f>
        <v/>
      </c>
      <c r="P451" s="241" t="str">
        <f t="shared" si="52"/>
        <v/>
      </c>
      <c r="Q451" s="242" t="str">
        <f t="shared" si="53"/>
        <v/>
      </c>
      <c r="R451" s="243" t="str">
        <f t="shared" si="55"/>
        <v/>
      </c>
      <c r="S451" s="244" t="str">
        <f t="shared" si="56"/>
        <v/>
      </c>
      <c r="T451" s="245" t="str">
        <f t="shared" si="57"/>
        <v/>
      </c>
      <c r="U451" s="246" t="str">
        <f t="shared" si="58"/>
        <v/>
      </c>
      <c r="V451" s="8"/>
      <c r="AR451" t="str">
        <f t="shared" si="59"/>
        <v/>
      </c>
      <c r="AS451" t="str">
        <f t="shared" si="54"/>
        <v/>
      </c>
    </row>
    <row r="452" spans="1:45" x14ac:dyDescent="0.3">
      <c r="A452" s="231"/>
      <c r="B452" s="235"/>
      <c r="C452" s="214"/>
      <c r="D452" s="214"/>
      <c r="E452" s="214"/>
      <c r="F452" s="214"/>
      <c r="G452" s="222"/>
      <c r="H452" s="221"/>
      <c r="I452" s="213"/>
      <c r="J452" s="213"/>
      <c r="K452" s="215"/>
      <c r="L452" s="216"/>
      <c r="M452" s="217"/>
      <c r="N452" s="176"/>
      <c r="O452" s="241" t="str">
        <f>IF(Q452 = "", "", COUNT(Q$4:$Q452))</f>
        <v/>
      </c>
      <c r="P452" s="241" t="str">
        <f t="shared" ref="P452:P515" si="60">IF(C452 &gt; 0, YEAR(B452), "")</f>
        <v/>
      </c>
      <c r="Q452" s="242" t="str">
        <f t="shared" ref="Q452:Q515" si="61">IF(A452="", "", IF(G452="",1,IF(G452="O",1,IF(G452="C",8.4,IF(G452="B",8.4,IF(G452="A",76.8,IF(G452="K",76.8,"ERR")))))))</f>
        <v/>
      </c>
      <c r="R452" s="243" t="str">
        <f t="shared" si="55"/>
        <v/>
      </c>
      <c r="S452" s="244" t="str">
        <f t="shared" si="56"/>
        <v/>
      </c>
      <c r="T452" s="245" t="str">
        <f t="shared" si="57"/>
        <v/>
      </c>
      <c r="U452" s="246" t="str">
        <f t="shared" si="58"/>
        <v/>
      </c>
      <c r="V452" s="8"/>
      <c r="AR452" t="str">
        <f t="shared" si="59"/>
        <v/>
      </c>
      <c r="AS452" t="str">
        <f t="shared" ref="AS452:AS515" si="62">IF(OR(L452="Y",M452="Y"),"Y","")</f>
        <v/>
      </c>
    </row>
    <row r="453" spans="1:45" x14ac:dyDescent="0.3">
      <c r="A453" s="231"/>
      <c r="B453" s="235"/>
      <c r="C453" s="214"/>
      <c r="D453" s="214"/>
      <c r="E453" s="214"/>
      <c r="F453" s="214"/>
      <c r="G453" s="222"/>
      <c r="H453" s="221"/>
      <c r="I453" s="213"/>
      <c r="J453" s="213"/>
      <c r="K453" s="215"/>
      <c r="L453" s="216"/>
      <c r="M453" s="217"/>
      <c r="N453" s="176"/>
      <c r="O453" s="241" t="str">
        <f>IF(Q453 = "", "", COUNT(Q$4:$Q453))</f>
        <v/>
      </c>
      <c r="P453" s="241" t="str">
        <f t="shared" si="60"/>
        <v/>
      </c>
      <c r="Q453" s="242" t="str">
        <f t="shared" si="61"/>
        <v/>
      </c>
      <c r="R453" s="243" t="str">
        <f t="shared" ref="R453:R516" si="63">IF(L453&lt;&gt;"",Q453,"")</f>
        <v/>
      </c>
      <c r="S453" s="244" t="str">
        <f t="shared" ref="S453:S516" si="64">IF(IF(L453&lt;&gt;"",G453,"")=0, "O", IF(L453&lt;&gt;"",G453,""))</f>
        <v/>
      </c>
      <c r="T453" s="245" t="str">
        <f t="shared" ref="T453:T516" si="65">IF(M453&lt;&gt;"",Q453,"")</f>
        <v/>
      </c>
      <c r="U453" s="246" t="str">
        <f t="shared" ref="U453:U516" si="66">IF(IF(M453&lt;&gt;"",G453,"")=0, "O", IF(M453&lt;&gt;"",G453,""))</f>
        <v/>
      </c>
      <c r="V453" s="8"/>
      <c r="AR453" t="str">
        <f t="shared" ref="AR453:AR516" si="67">IF(O453&gt;0, O453, "")</f>
        <v/>
      </c>
      <c r="AS453" t="str">
        <f t="shared" si="62"/>
        <v/>
      </c>
    </row>
    <row r="454" spans="1:45" x14ac:dyDescent="0.3">
      <c r="A454" s="231"/>
      <c r="B454" s="235"/>
      <c r="C454" s="214"/>
      <c r="D454" s="214"/>
      <c r="E454" s="214"/>
      <c r="F454" s="214"/>
      <c r="G454" s="222"/>
      <c r="H454" s="221"/>
      <c r="I454" s="213"/>
      <c r="J454" s="213"/>
      <c r="K454" s="215"/>
      <c r="L454" s="216"/>
      <c r="M454" s="217"/>
      <c r="N454" s="176"/>
      <c r="O454" s="241" t="str">
        <f>IF(Q454 = "", "", COUNT(Q$4:$Q454))</f>
        <v/>
      </c>
      <c r="P454" s="241" t="str">
        <f t="shared" si="60"/>
        <v/>
      </c>
      <c r="Q454" s="242" t="str">
        <f t="shared" si="61"/>
        <v/>
      </c>
      <c r="R454" s="243" t="str">
        <f t="shared" si="63"/>
        <v/>
      </c>
      <c r="S454" s="244" t="str">
        <f t="shared" si="64"/>
        <v/>
      </c>
      <c r="T454" s="245" t="str">
        <f t="shared" si="65"/>
        <v/>
      </c>
      <c r="U454" s="246" t="str">
        <f t="shared" si="66"/>
        <v/>
      </c>
      <c r="V454" s="8"/>
      <c r="AR454" t="str">
        <f t="shared" si="67"/>
        <v/>
      </c>
      <c r="AS454" t="str">
        <f t="shared" si="62"/>
        <v/>
      </c>
    </row>
    <row r="455" spans="1:45" x14ac:dyDescent="0.3">
      <c r="A455" s="231"/>
      <c r="B455" s="235"/>
      <c r="C455" s="214"/>
      <c r="D455" s="214"/>
      <c r="E455" s="214"/>
      <c r="F455" s="214"/>
      <c r="G455" s="222"/>
      <c r="H455" s="221"/>
      <c r="I455" s="213"/>
      <c r="J455" s="213"/>
      <c r="K455" s="215"/>
      <c r="L455" s="216"/>
      <c r="M455" s="217"/>
      <c r="N455" s="176"/>
      <c r="O455" s="241" t="str">
        <f>IF(Q455 = "", "", COUNT(Q$4:$Q455))</f>
        <v/>
      </c>
      <c r="P455" s="241" t="str">
        <f t="shared" si="60"/>
        <v/>
      </c>
      <c r="Q455" s="242" t="str">
        <f t="shared" si="61"/>
        <v/>
      </c>
      <c r="R455" s="243" t="str">
        <f t="shared" si="63"/>
        <v/>
      </c>
      <c r="S455" s="244" t="str">
        <f t="shared" si="64"/>
        <v/>
      </c>
      <c r="T455" s="245" t="str">
        <f t="shared" si="65"/>
        <v/>
      </c>
      <c r="U455" s="246" t="str">
        <f t="shared" si="66"/>
        <v/>
      </c>
      <c r="V455" s="8"/>
      <c r="AR455" t="str">
        <f t="shared" si="67"/>
        <v/>
      </c>
      <c r="AS455" t="str">
        <f t="shared" si="62"/>
        <v/>
      </c>
    </row>
    <row r="456" spans="1:45" x14ac:dyDescent="0.3">
      <c r="A456" s="231"/>
      <c r="B456" s="235"/>
      <c r="C456" s="214"/>
      <c r="D456" s="214"/>
      <c r="E456" s="214"/>
      <c r="F456" s="214"/>
      <c r="G456" s="222"/>
      <c r="H456" s="221"/>
      <c r="I456" s="213"/>
      <c r="J456" s="213"/>
      <c r="K456" s="215"/>
      <c r="L456" s="216"/>
      <c r="M456" s="217"/>
      <c r="N456" s="176"/>
      <c r="O456" s="241" t="str">
        <f>IF(Q456 = "", "", COUNT(Q$4:$Q456))</f>
        <v/>
      </c>
      <c r="P456" s="241" t="str">
        <f t="shared" si="60"/>
        <v/>
      </c>
      <c r="Q456" s="242" t="str">
        <f t="shared" si="61"/>
        <v/>
      </c>
      <c r="R456" s="243" t="str">
        <f t="shared" si="63"/>
        <v/>
      </c>
      <c r="S456" s="244" t="str">
        <f t="shared" si="64"/>
        <v/>
      </c>
      <c r="T456" s="245" t="str">
        <f t="shared" si="65"/>
        <v/>
      </c>
      <c r="U456" s="246" t="str">
        <f t="shared" si="66"/>
        <v/>
      </c>
      <c r="V456" s="8"/>
      <c r="AR456" t="str">
        <f t="shared" si="67"/>
        <v/>
      </c>
      <c r="AS456" t="str">
        <f t="shared" si="62"/>
        <v/>
      </c>
    </row>
    <row r="457" spans="1:45" x14ac:dyDescent="0.3">
      <c r="A457" s="231"/>
      <c r="B457" s="235"/>
      <c r="C457" s="214"/>
      <c r="D457" s="214"/>
      <c r="E457" s="214"/>
      <c r="F457" s="214"/>
      <c r="G457" s="222"/>
      <c r="H457" s="221"/>
      <c r="I457" s="213"/>
      <c r="J457" s="213"/>
      <c r="K457" s="215"/>
      <c r="L457" s="216"/>
      <c r="M457" s="217"/>
      <c r="N457" s="176"/>
      <c r="O457" s="241" t="str">
        <f>IF(Q457 = "", "", COUNT(Q$4:$Q457))</f>
        <v/>
      </c>
      <c r="P457" s="241" t="str">
        <f t="shared" si="60"/>
        <v/>
      </c>
      <c r="Q457" s="242" t="str">
        <f t="shared" si="61"/>
        <v/>
      </c>
      <c r="R457" s="243" t="str">
        <f t="shared" si="63"/>
        <v/>
      </c>
      <c r="S457" s="244" t="str">
        <f t="shared" si="64"/>
        <v/>
      </c>
      <c r="T457" s="245" t="str">
        <f t="shared" si="65"/>
        <v/>
      </c>
      <c r="U457" s="246" t="str">
        <f t="shared" si="66"/>
        <v/>
      </c>
      <c r="V457" s="8"/>
      <c r="AR457" t="str">
        <f t="shared" si="67"/>
        <v/>
      </c>
      <c r="AS457" t="str">
        <f t="shared" si="62"/>
        <v/>
      </c>
    </row>
    <row r="458" spans="1:45" x14ac:dyDescent="0.3">
      <c r="A458" s="231"/>
      <c r="B458" s="235"/>
      <c r="C458" s="214"/>
      <c r="D458" s="214"/>
      <c r="E458" s="214"/>
      <c r="F458" s="214"/>
      <c r="G458" s="222"/>
      <c r="H458" s="221"/>
      <c r="I458" s="213"/>
      <c r="J458" s="213"/>
      <c r="K458" s="215"/>
      <c r="L458" s="216"/>
      <c r="M458" s="217"/>
      <c r="N458" s="176"/>
      <c r="O458" s="241" t="str">
        <f>IF(Q458 = "", "", COUNT(Q$4:$Q458))</f>
        <v/>
      </c>
      <c r="P458" s="241" t="str">
        <f t="shared" si="60"/>
        <v/>
      </c>
      <c r="Q458" s="242" t="str">
        <f t="shared" si="61"/>
        <v/>
      </c>
      <c r="R458" s="243" t="str">
        <f t="shared" si="63"/>
        <v/>
      </c>
      <c r="S458" s="244" t="str">
        <f t="shared" si="64"/>
        <v/>
      </c>
      <c r="T458" s="245" t="str">
        <f t="shared" si="65"/>
        <v/>
      </c>
      <c r="U458" s="246" t="str">
        <f t="shared" si="66"/>
        <v/>
      </c>
      <c r="V458" s="8"/>
      <c r="AR458" t="str">
        <f t="shared" si="67"/>
        <v/>
      </c>
      <c r="AS458" t="str">
        <f t="shared" si="62"/>
        <v/>
      </c>
    </row>
    <row r="459" spans="1:45" x14ac:dyDescent="0.3">
      <c r="A459" s="231"/>
      <c r="B459" s="235"/>
      <c r="C459" s="214"/>
      <c r="D459" s="214"/>
      <c r="E459" s="214"/>
      <c r="F459" s="214"/>
      <c r="G459" s="222"/>
      <c r="H459" s="221"/>
      <c r="I459" s="213"/>
      <c r="J459" s="213"/>
      <c r="K459" s="215"/>
      <c r="L459" s="216"/>
      <c r="M459" s="217"/>
      <c r="N459" s="176"/>
      <c r="O459" s="241" t="str">
        <f>IF(Q459 = "", "", COUNT(Q$4:$Q459))</f>
        <v/>
      </c>
      <c r="P459" s="241" t="str">
        <f t="shared" si="60"/>
        <v/>
      </c>
      <c r="Q459" s="242" t="str">
        <f t="shared" si="61"/>
        <v/>
      </c>
      <c r="R459" s="243" t="str">
        <f t="shared" si="63"/>
        <v/>
      </c>
      <c r="S459" s="244" t="str">
        <f t="shared" si="64"/>
        <v/>
      </c>
      <c r="T459" s="245" t="str">
        <f t="shared" si="65"/>
        <v/>
      </c>
      <c r="U459" s="246" t="str">
        <f t="shared" si="66"/>
        <v/>
      </c>
      <c r="V459" s="8"/>
      <c r="AR459" t="str">
        <f t="shared" si="67"/>
        <v/>
      </c>
      <c r="AS459" t="str">
        <f t="shared" si="62"/>
        <v/>
      </c>
    </row>
    <row r="460" spans="1:45" x14ac:dyDescent="0.3">
      <c r="A460" s="231"/>
      <c r="B460" s="235"/>
      <c r="C460" s="214"/>
      <c r="D460" s="214"/>
      <c r="E460" s="214"/>
      <c r="F460" s="214"/>
      <c r="G460" s="222"/>
      <c r="H460" s="221"/>
      <c r="I460" s="213"/>
      <c r="J460" s="213"/>
      <c r="K460" s="215"/>
      <c r="L460" s="216"/>
      <c r="M460" s="217"/>
      <c r="N460" s="176"/>
      <c r="O460" s="241" t="str">
        <f>IF(Q460 = "", "", COUNT(Q$4:$Q460))</f>
        <v/>
      </c>
      <c r="P460" s="241" t="str">
        <f t="shared" si="60"/>
        <v/>
      </c>
      <c r="Q460" s="242" t="str">
        <f t="shared" si="61"/>
        <v/>
      </c>
      <c r="R460" s="243" t="str">
        <f t="shared" si="63"/>
        <v/>
      </c>
      <c r="S460" s="244" t="str">
        <f t="shared" si="64"/>
        <v/>
      </c>
      <c r="T460" s="245" t="str">
        <f t="shared" si="65"/>
        <v/>
      </c>
      <c r="U460" s="246" t="str">
        <f t="shared" si="66"/>
        <v/>
      </c>
      <c r="V460" s="8"/>
      <c r="AR460" t="str">
        <f t="shared" si="67"/>
        <v/>
      </c>
      <c r="AS460" t="str">
        <f t="shared" si="62"/>
        <v/>
      </c>
    </row>
    <row r="461" spans="1:45" x14ac:dyDescent="0.3">
      <c r="A461" s="231"/>
      <c r="B461" s="235"/>
      <c r="C461" s="214"/>
      <c r="D461" s="214"/>
      <c r="E461" s="214"/>
      <c r="F461" s="214"/>
      <c r="G461" s="222"/>
      <c r="H461" s="221"/>
      <c r="I461" s="213"/>
      <c r="J461" s="213"/>
      <c r="K461" s="215"/>
      <c r="L461" s="216"/>
      <c r="M461" s="217"/>
      <c r="N461" s="176"/>
      <c r="O461" s="241" t="str">
        <f>IF(Q461 = "", "", COUNT(Q$4:$Q461))</f>
        <v/>
      </c>
      <c r="P461" s="241" t="str">
        <f t="shared" si="60"/>
        <v/>
      </c>
      <c r="Q461" s="242" t="str">
        <f t="shared" si="61"/>
        <v/>
      </c>
      <c r="R461" s="243" t="str">
        <f t="shared" si="63"/>
        <v/>
      </c>
      <c r="S461" s="244" t="str">
        <f t="shared" si="64"/>
        <v/>
      </c>
      <c r="T461" s="245" t="str">
        <f t="shared" si="65"/>
        <v/>
      </c>
      <c r="U461" s="246" t="str">
        <f t="shared" si="66"/>
        <v/>
      </c>
      <c r="V461" s="8"/>
      <c r="AR461" t="str">
        <f t="shared" si="67"/>
        <v/>
      </c>
      <c r="AS461" t="str">
        <f t="shared" si="62"/>
        <v/>
      </c>
    </row>
    <row r="462" spans="1:45" x14ac:dyDescent="0.3">
      <c r="A462" s="231"/>
      <c r="B462" s="235"/>
      <c r="C462" s="214"/>
      <c r="D462" s="214"/>
      <c r="E462" s="214"/>
      <c r="F462" s="214"/>
      <c r="G462" s="222"/>
      <c r="H462" s="221"/>
      <c r="I462" s="213"/>
      <c r="J462" s="213"/>
      <c r="K462" s="215"/>
      <c r="L462" s="216"/>
      <c r="M462" s="217"/>
      <c r="N462" s="176"/>
      <c r="O462" s="241" t="str">
        <f>IF(Q462 = "", "", COUNT(Q$4:$Q462))</f>
        <v/>
      </c>
      <c r="P462" s="241" t="str">
        <f t="shared" si="60"/>
        <v/>
      </c>
      <c r="Q462" s="242" t="str">
        <f t="shared" si="61"/>
        <v/>
      </c>
      <c r="R462" s="243" t="str">
        <f t="shared" si="63"/>
        <v/>
      </c>
      <c r="S462" s="244" t="str">
        <f t="shared" si="64"/>
        <v/>
      </c>
      <c r="T462" s="245" t="str">
        <f t="shared" si="65"/>
        <v/>
      </c>
      <c r="U462" s="246" t="str">
        <f t="shared" si="66"/>
        <v/>
      </c>
      <c r="V462" s="8"/>
      <c r="AR462" t="str">
        <f t="shared" si="67"/>
        <v/>
      </c>
      <c r="AS462" t="str">
        <f t="shared" si="62"/>
        <v/>
      </c>
    </row>
    <row r="463" spans="1:45" x14ac:dyDescent="0.3">
      <c r="A463" s="231"/>
      <c r="B463" s="235"/>
      <c r="C463" s="214"/>
      <c r="D463" s="214"/>
      <c r="E463" s="214"/>
      <c r="F463" s="214"/>
      <c r="G463" s="222"/>
      <c r="H463" s="221"/>
      <c r="I463" s="213"/>
      <c r="J463" s="213"/>
      <c r="K463" s="215"/>
      <c r="L463" s="216"/>
      <c r="M463" s="217"/>
      <c r="N463" s="176"/>
      <c r="O463" s="241" t="str">
        <f>IF(Q463 = "", "", COUNT(Q$4:$Q463))</f>
        <v/>
      </c>
      <c r="P463" s="241" t="str">
        <f t="shared" si="60"/>
        <v/>
      </c>
      <c r="Q463" s="242" t="str">
        <f t="shared" si="61"/>
        <v/>
      </c>
      <c r="R463" s="243" t="str">
        <f t="shared" si="63"/>
        <v/>
      </c>
      <c r="S463" s="244" t="str">
        <f t="shared" si="64"/>
        <v/>
      </c>
      <c r="T463" s="245" t="str">
        <f t="shared" si="65"/>
        <v/>
      </c>
      <c r="U463" s="246" t="str">
        <f t="shared" si="66"/>
        <v/>
      </c>
      <c r="V463" s="8"/>
      <c r="AR463" t="str">
        <f t="shared" si="67"/>
        <v/>
      </c>
      <c r="AS463" t="str">
        <f t="shared" si="62"/>
        <v/>
      </c>
    </row>
    <row r="464" spans="1:45" x14ac:dyDescent="0.3">
      <c r="A464" s="231"/>
      <c r="B464" s="235"/>
      <c r="C464" s="214"/>
      <c r="D464" s="214"/>
      <c r="E464" s="214"/>
      <c r="F464" s="214"/>
      <c r="G464" s="222"/>
      <c r="H464" s="221"/>
      <c r="I464" s="213"/>
      <c r="J464" s="213"/>
      <c r="K464" s="215"/>
      <c r="L464" s="216"/>
      <c r="M464" s="217"/>
      <c r="N464" s="176"/>
      <c r="O464" s="241" t="str">
        <f>IF(Q464 = "", "", COUNT(Q$4:$Q464))</f>
        <v/>
      </c>
      <c r="P464" s="241" t="str">
        <f t="shared" si="60"/>
        <v/>
      </c>
      <c r="Q464" s="242" t="str">
        <f t="shared" si="61"/>
        <v/>
      </c>
      <c r="R464" s="243" t="str">
        <f t="shared" si="63"/>
        <v/>
      </c>
      <c r="S464" s="244" t="str">
        <f t="shared" si="64"/>
        <v/>
      </c>
      <c r="T464" s="245" t="str">
        <f t="shared" si="65"/>
        <v/>
      </c>
      <c r="U464" s="246" t="str">
        <f t="shared" si="66"/>
        <v/>
      </c>
      <c r="V464" s="8"/>
      <c r="AR464" t="str">
        <f t="shared" si="67"/>
        <v/>
      </c>
      <c r="AS464" t="str">
        <f t="shared" si="62"/>
        <v/>
      </c>
    </row>
    <row r="465" spans="1:45" x14ac:dyDescent="0.3">
      <c r="A465" s="231"/>
      <c r="B465" s="235"/>
      <c r="C465" s="214"/>
      <c r="D465" s="214"/>
      <c r="E465" s="214"/>
      <c r="F465" s="214"/>
      <c r="G465" s="222"/>
      <c r="H465" s="221"/>
      <c r="I465" s="213"/>
      <c r="J465" s="213"/>
      <c r="K465" s="215"/>
      <c r="L465" s="216"/>
      <c r="M465" s="217"/>
      <c r="N465" s="176"/>
      <c r="O465" s="241" t="str">
        <f>IF(Q465 = "", "", COUNT(Q$4:$Q465))</f>
        <v/>
      </c>
      <c r="P465" s="241" t="str">
        <f t="shared" si="60"/>
        <v/>
      </c>
      <c r="Q465" s="242" t="str">
        <f t="shared" si="61"/>
        <v/>
      </c>
      <c r="R465" s="243" t="str">
        <f t="shared" si="63"/>
        <v/>
      </c>
      <c r="S465" s="244" t="str">
        <f t="shared" si="64"/>
        <v/>
      </c>
      <c r="T465" s="245" t="str">
        <f t="shared" si="65"/>
        <v/>
      </c>
      <c r="U465" s="246" t="str">
        <f t="shared" si="66"/>
        <v/>
      </c>
      <c r="V465" s="8"/>
      <c r="AR465" t="str">
        <f t="shared" si="67"/>
        <v/>
      </c>
      <c r="AS465" t="str">
        <f t="shared" si="62"/>
        <v/>
      </c>
    </row>
    <row r="466" spans="1:45" x14ac:dyDescent="0.3">
      <c r="A466" s="231"/>
      <c r="B466" s="235"/>
      <c r="C466" s="214"/>
      <c r="D466" s="214"/>
      <c r="E466" s="214"/>
      <c r="F466" s="214"/>
      <c r="G466" s="222"/>
      <c r="H466" s="221"/>
      <c r="I466" s="213"/>
      <c r="J466" s="213"/>
      <c r="K466" s="215"/>
      <c r="L466" s="216"/>
      <c r="M466" s="217"/>
      <c r="N466" s="176"/>
      <c r="O466" s="241" t="str">
        <f>IF(Q466 = "", "", COUNT(Q$4:$Q466))</f>
        <v/>
      </c>
      <c r="P466" s="241" t="str">
        <f t="shared" si="60"/>
        <v/>
      </c>
      <c r="Q466" s="242" t="str">
        <f t="shared" si="61"/>
        <v/>
      </c>
      <c r="R466" s="243" t="str">
        <f t="shared" si="63"/>
        <v/>
      </c>
      <c r="S466" s="244" t="str">
        <f t="shared" si="64"/>
        <v/>
      </c>
      <c r="T466" s="245" t="str">
        <f t="shared" si="65"/>
        <v/>
      </c>
      <c r="U466" s="246" t="str">
        <f t="shared" si="66"/>
        <v/>
      </c>
      <c r="V466" s="8"/>
      <c r="AR466" t="str">
        <f t="shared" si="67"/>
        <v/>
      </c>
      <c r="AS466" t="str">
        <f t="shared" si="62"/>
        <v/>
      </c>
    </row>
    <row r="467" spans="1:45" x14ac:dyDescent="0.3">
      <c r="A467" s="231"/>
      <c r="B467" s="235"/>
      <c r="C467" s="214"/>
      <c r="D467" s="214"/>
      <c r="E467" s="214"/>
      <c r="F467" s="214"/>
      <c r="G467" s="222"/>
      <c r="H467" s="221"/>
      <c r="I467" s="213"/>
      <c r="J467" s="213"/>
      <c r="K467" s="215"/>
      <c r="L467" s="216"/>
      <c r="M467" s="217"/>
      <c r="N467" s="176"/>
      <c r="O467" s="241" t="str">
        <f>IF(Q467 = "", "", COUNT(Q$4:$Q467))</f>
        <v/>
      </c>
      <c r="P467" s="241" t="str">
        <f t="shared" si="60"/>
        <v/>
      </c>
      <c r="Q467" s="242" t="str">
        <f t="shared" si="61"/>
        <v/>
      </c>
      <c r="R467" s="243" t="str">
        <f t="shared" si="63"/>
        <v/>
      </c>
      <c r="S467" s="244" t="str">
        <f t="shared" si="64"/>
        <v/>
      </c>
      <c r="T467" s="245" t="str">
        <f t="shared" si="65"/>
        <v/>
      </c>
      <c r="U467" s="246" t="str">
        <f t="shared" si="66"/>
        <v/>
      </c>
      <c r="V467" s="8"/>
      <c r="AR467" t="str">
        <f t="shared" si="67"/>
        <v/>
      </c>
      <c r="AS467" t="str">
        <f t="shared" si="62"/>
        <v/>
      </c>
    </row>
    <row r="468" spans="1:45" x14ac:dyDescent="0.3">
      <c r="A468" s="231"/>
      <c r="B468" s="235"/>
      <c r="C468" s="214"/>
      <c r="D468" s="214"/>
      <c r="E468" s="214"/>
      <c r="F468" s="214"/>
      <c r="G468" s="222"/>
      <c r="H468" s="221"/>
      <c r="I468" s="213"/>
      <c r="J468" s="213"/>
      <c r="K468" s="215"/>
      <c r="L468" s="216"/>
      <c r="M468" s="217"/>
      <c r="N468" s="176"/>
      <c r="O468" s="241" t="str">
        <f>IF(Q468 = "", "", COUNT(Q$4:$Q468))</f>
        <v/>
      </c>
      <c r="P468" s="241" t="str">
        <f t="shared" si="60"/>
        <v/>
      </c>
      <c r="Q468" s="242" t="str">
        <f t="shared" si="61"/>
        <v/>
      </c>
      <c r="R468" s="243" t="str">
        <f t="shared" si="63"/>
        <v/>
      </c>
      <c r="S468" s="244" t="str">
        <f t="shared" si="64"/>
        <v/>
      </c>
      <c r="T468" s="245" t="str">
        <f t="shared" si="65"/>
        <v/>
      </c>
      <c r="U468" s="246" t="str">
        <f t="shared" si="66"/>
        <v/>
      </c>
      <c r="V468" s="8"/>
      <c r="AR468" t="str">
        <f t="shared" si="67"/>
        <v/>
      </c>
      <c r="AS468" t="str">
        <f t="shared" si="62"/>
        <v/>
      </c>
    </row>
    <row r="469" spans="1:45" x14ac:dyDescent="0.3">
      <c r="A469" s="231"/>
      <c r="B469" s="235"/>
      <c r="C469" s="214"/>
      <c r="D469" s="214"/>
      <c r="E469" s="214"/>
      <c r="F469" s="214"/>
      <c r="G469" s="222"/>
      <c r="H469" s="221"/>
      <c r="I469" s="213"/>
      <c r="J469" s="213"/>
      <c r="K469" s="215"/>
      <c r="L469" s="216"/>
      <c r="M469" s="217"/>
      <c r="N469" s="176"/>
      <c r="O469" s="241" t="str">
        <f>IF(Q469 = "", "", COUNT(Q$4:$Q469))</f>
        <v/>
      </c>
      <c r="P469" s="241" t="str">
        <f t="shared" si="60"/>
        <v/>
      </c>
      <c r="Q469" s="242" t="str">
        <f t="shared" si="61"/>
        <v/>
      </c>
      <c r="R469" s="243" t="str">
        <f t="shared" si="63"/>
        <v/>
      </c>
      <c r="S469" s="244" t="str">
        <f t="shared" si="64"/>
        <v/>
      </c>
      <c r="T469" s="245" t="str">
        <f t="shared" si="65"/>
        <v/>
      </c>
      <c r="U469" s="246" t="str">
        <f t="shared" si="66"/>
        <v/>
      </c>
      <c r="V469" s="8"/>
      <c r="AR469" t="str">
        <f t="shared" si="67"/>
        <v/>
      </c>
      <c r="AS469" t="str">
        <f t="shared" si="62"/>
        <v/>
      </c>
    </row>
    <row r="470" spans="1:45" x14ac:dyDescent="0.3">
      <c r="A470" s="231"/>
      <c r="B470" s="235"/>
      <c r="C470" s="214"/>
      <c r="D470" s="214"/>
      <c r="E470" s="214"/>
      <c r="F470" s="214"/>
      <c r="G470" s="222"/>
      <c r="H470" s="221"/>
      <c r="I470" s="213"/>
      <c r="J470" s="213"/>
      <c r="K470" s="215"/>
      <c r="L470" s="216"/>
      <c r="M470" s="217"/>
      <c r="N470" s="176"/>
      <c r="O470" s="241" t="str">
        <f>IF(Q470 = "", "", COUNT(Q$4:$Q470))</f>
        <v/>
      </c>
      <c r="P470" s="241" t="str">
        <f t="shared" si="60"/>
        <v/>
      </c>
      <c r="Q470" s="242" t="str">
        <f t="shared" si="61"/>
        <v/>
      </c>
      <c r="R470" s="243" t="str">
        <f t="shared" si="63"/>
        <v/>
      </c>
      <c r="S470" s="244" t="str">
        <f t="shared" si="64"/>
        <v/>
      </c>
      <c r="T470" s="245" t="str">
        <f t="shared" si="65"/>
        <v/>
      </c>
      <c r="U470" s="246" t="str">
        <f t="shared" si="66"/>
        <v/>
      </c>
      <c r="V470" s="8"/>
      <c r="AR470" t="str">
        <f t="shared" si="67"/>
        <v/>
      </c>
      <c r="AS470" t="str">
        <f t="shared" si="62"/>
        <v/>
      </c>
    </row>
    <row r="471" spans="1:45" x14ac:dyDescent="0.3">
      <c r="A471" s="231"/>
      <c r="B471" s="235"/>
      <c r="C471" s="214"/>
      <c r="D471" s="214"/>
      <c r="E471" s="214"/>
      <c r="F471" s="214"/>
      <c r="G471" s="222"/>
      <c r="H471" s="221"/>
      <c r="I471" s="213"/>
      <c r="J471" s="213"/>
      <c r="K471" s="215"/>
      <c r="L471" s="216"/>
      <c r="M471" s="217"/>
      <c r="N471" s="176"/>
      <c r="O471" s="241" t="str">
        <f>IF(Q471 = "", "", COUNT(Q$4:$Q471))</f>
        <v/>
      </c>
      <c r="P471" s="241" t="str">
        <f t="shared" si="60"/>
        <v/>
      </c>
      <c r="Q471" s="242" t="str">
        <f t="shared" si="61"/>
        <v/>
      </c>
      <c r="R471" s="243" t="str">
        <f t="shared" si="63"/>
        <v/>
      </c>
      <c r="S471" s="244" t="str">
        <f t="shared" si="64"/>
        <v/>
      </c>
      <c r="T471" s="245" t="str">
        <f t="shared" si="65"/>
        <v/>
      </c>
      <c r="U471" s="246" t="str">
        <f t="shared" si="66"/>
        <v/>
      </c>
      <c r="V471" s="8"/>
      <c r="AR471" t="str">
        <f t="shared" si="67"/>
        <v/>
      </c>
      <c r="AS471" t="str">
        <f t="shared" si="62"/>
        <v/>
      </c>
    </row>
    <row r="472" spans="1:45" x14ac:dyDescent="0.3">
      <c r="A472" s="231"/>
      <c r="B472" s="235"/>
      <c r="C472" s="214"/>
      <c r="D472" s="214"/>
      <c r="E472" s="214"/>
      <c r="F472" s="214"/>
      <c r="G472" s="222"/>
      <c r="H472" s="221"/>
      <c r="I472" s="213"/>
      <c r="J472" s="213"/>
      <c r="K472" s="215"/>
      <c r="L472" s="216"/>
      <c r="M472" s="217"/>
      <c r="N472" s="176"/>
      <c r="O472" s="241" t="str">
        <f>IF(Q472 = "", "", COUNT(Q$4:$Q472))</f>
        <v/>
      </c>
      <c r="P472" s="241" t="str">
        <f t="shared" si="60"/>
        <v/>
      </c>
      <c r="Q472" s="242" t="str">
        <f t="shared" si="61"/>
        <v/>
      </c>
      <c r="R472" s="243" t="str">
        <f t="shared" si="63"/>
        <v/>
      </c>
      <c r="S472" s="244" t="str">
        <f t="shared" si="64"/>
        <v/>
      </c>
      <c r="T472" s="245" t="str">
        <f t="shared" si="65"/>
        <v/>
      </c>
      <c r="U472" s="246" t="str">
        <f t="shared" si="66"/>
        <v/>
      </c>
      <c r="V472" s="8"/>
      <c r="AR472" t="str">
        <f t="shared" si="67"/>
        <v/>
      </c>
      <c r="AS472" t="str">
        <f t="shared" si="62"/>
        <v/>
      </c>
    </row>
    <row r="473" spans="1:45" x14ac:dyDescent="0.3">
      <c r="A473" s="231"/>
      <c r="B473" s="235"/>
      <c r="C473" s="214"/>
      <c r="D473" s="214"/>
      <c r="E473" s="214"/>
      <c r="F473" s="214"/>
      <c r="G473" s="222"/>
      <c r="H473" s="221"/>
      <c r="I473" s="213"/>
      <c r="J473" s="213"/>
      <c r="K473" s="215"/>
      <c r="L473" s="216"/>
      <c r="M473" s="217"/>
      <c r="N473" s="176"/>
      <c r="O473" s="241" t="str">
        <f>IF(Q473 = "", "", COUNT(Q$4:$Q473))</f>
        <v/>
      </c>
      <c r="P473" s="241" t="str">
        <f t="shared" si="60"/>
        <v/>
      </c>
      <c r="Q473" s="242" t="str">
        <f t="shared" si="61"/>
        <v/>
      </c>
      <c r="R473" s="243" t="str">
        <f t="shared" si="63"/>
        <v/>
      </c>
      <c r="S473" s="244" t="str">
        <f t="shared" si="64"/>
        <v/>
      </c>
      <c r="T473" s="245" t="str">
        <f t="shared" si="65"/>
        <v/>
      </c>
      <c r="U473" s="246" t="str">
        <f t="shared" si="66"/>
        <v/>
      </c>
      <c r="V473" s="8"/>
      <c r="AR473" t="str">
        <f t="shared" si="67"/>
        <v/>
      </c>
      <c r="AS473" t="str">
        <f t="shared" si="62"/>
        <v/>
      </c>
    </row>
    <row r="474" spans="1:45" x14ac:dyDescent="0.3">
      <c r="A474" s="231"/>
      <c r="B474" s="235"/>
      <c r="C474" s="214"/>
      <c r="D474" s="214"/>
      <c r="E474" s="214"/>
      <c r="F474" s="214"/>
      <c r="G474" s="222"/>
      <c r="H474" s="221"/>
      <c r="I474" s="213"/>
      <c r="J474" s="213"/>
      <c r="K474" s="215"/>
      <c r="L474" s="216"/>
      <c r="M474" s="217"/>
      <c r="N474" s="176"/>
      <c r="O474" s="241" t="str">
        <f>IF(Q474 = "", "", COUNT(Q$4:$Q474))</f>
        <v/>
      </c>
      <c r="P474" s="241" t="str">
        <f t="shared" si="60"/>
        <v/>
      </c>
      <c r="Q474" s="242" t="str">
        <f t="shared" si="61"/>
        <v/>
      </c>
      <c r="R474" s="243" t="str">
        <f t="shared" si="63"/>
        <v/>
      </c>
      <c r="S474" s="244" t="str">
        <f t="shared" si="64"/>
        <v/>
      </c>
      <c r="T474" s="245" t="str">
        <f t="shared" si="65"/>
        <v/>
      </c>
      <c r="U474" s="246" t="str">
        <f t="shared" si="66"/>
        <v/>
      </c>
      <c r="V474" s="8"/>
      <c r="AR474" t="str">
        <f t="shared" si="67"/>
        <v/>
      </c>
      <c r="AS474" t="str">
        <f t="shared" si="62"/>
        <v/>
      </c>
    </row>
    <row r="475" spans="1:45" x14ac:dyDescent="0.3">
      <c r="A475" s="231"/>
      <c r="B475" s="235"/>
      <c r="C475" s="214"/>
      <c r="D475" s="214"/>
      <c r="E475" s="214"/>
      <c r="F475" s="214"/>
      <c r="G475" s="222"/>
      <c r="H475" s="221"/>
      <c r="I475" s="213"/>
      <c r="J475" s="213"/>
      <c r="K475" s="215"/>
      <c r="L475" s="216"/>
      <c r="M475" s="217"/>
      <c r="N475" s="176"/>
      <c r="O475" s="241" t="str">
        <f>IF(Q475 = "", "", COUNT(Q$4:$Q475))</f>
        <v/>
      </c>
      <c r="P475" s="241" t="str">
        <f t="shared" si="60"/>
        <v/>
      </c>
      <c r="Q475" s="242" t="str">
        <f t="shared" si="61"/>
        <v/>
      </c>
      <c r="R475" s="243" t="str">
        <f t="shared" si="63"/>
        <v/>
      </c>
      <c r="S475" s="244" t="str">
        <f t="shared" si="64"/>
        <v/>
      </c>
      <c r="T475" s="245" t="str">
        <f t="shared" si="65"/>
        <v/>
      </c>
      <c r="U475" s="246" t="str">
        <f t="shared" si="66"/>
        <v/>
      </c>
      <c r="V475" s="8"/>
      <c r="AR475" t="str">
        <f t="shared" si="67"/>
        <v/>
      </c>
      <c r="AS475" t="str">
        <f t="shared" si="62"/>
        <v/>
      </c>
    </row>
    <row r="476" spans="1:45" x14ac:dyDescent="0.3">
      <c r="A476" s="231"/>
      <c r="B476" s="235"/>
      <c r="C476" s="214"/>
      <c r="D476" s="214"/>
      <c r="E476" s="214"/>
      <c r="F476" s="214"/>
      <c r="G476" s="222"/>
      <c r="H476" s="221"/>
      <c r="I476" s="213"/>
      <c r="J476" s="213"/>
      <c r="K476" s="215"/>
      <c r="L476" s="216"/>
      <c r="M476" s="217"/>
      <c r="N476" s="176"/>
      <c r="O476" s="241" t="str">
        <f>IF(Q476 = "", "", COUNT(Q$4:$Q476))</f>
        <v/>
      </c>
      <c r="P476" s="241" t="str">
        <f t="shared" si="60"/>
        <v/>
      </c>
      <c r="Q476" s="242" t="str">
        <f t="shared" si="61"/>
        <v/>
      </c>
      <c r="R476" s="243" t="str">
        <f t="shared" si="63"/>
        <v/>
      </c>
      <c r="S476" s="244" t="str">
        <f t="shared" si="64"/>
        <v/>
      </c>
      <c r="T476" s="245" t="str">
        <f t="shared" si="65"/>
        <v/>
      </c>
      <c r="U476" s="246" t="str">
        <f t="shared" si="66"/>
        <v/>
      </c>
      <c r="V476" s="8"/>
      <c r="AR476" t="str">
        <f t="shared" si="67"/>
        <v/>
      </c>
      <c r="AS476" t="str">
        <f t="shared" si="62"/>
        <v/>
      </c>
    </row>
    <row r="477" spans="1:45" x14ac:dyDescent="0.3">
      <c r="A477" s="231"/>
      <c r="B477" s="235"/>
      <c r="C477" s="214"/>
      <c r="D477" s="214"/>
      <c r="E477" s="214"/>
      <c r="F477" s="214"/>
      <c r="G477" s="222"/>
      <c r="H477" s="221"/>
      <c r="I477" s="213"/>
      <c r="J477" s="213"/>
      <c r="K477" s="215"/>
      <c r="L477" s="216"/>
      <c r="M477" s="217"/>
      <c r="N477" s="176"/>
      <c r="O477" s="241" t="str">
        <f>IF(Q477 = "", "", COUNT(Q$4:$Q477))</f>
        <v/>
      </c>
      <c r="P477" s="241" t="str">
        <f t="shared" si="60"/>
        <v/>
      </c>
      <c r="Q477" s="242" t="str">
        <f t="shared" si="61"/>
        <v/>
      </c>
      <c r="R477" s="243" t="str">
        <f t="shared" si="63"/>
        <v/>
      </c>
      <c r="S477" s="244" t="str">
        <f t="shared" si="64"/>
        <v/>
      </c>
      <c r="T477" s="245" t="str">
        <f t="shared" si="65"/>
        <v/>
      </c>
      <c r="U477" s="246" t="str">
        <f t="shared" si="66"/>
        <v/>
      </c>
      <c r="V477" s="8"/>
      <c r="AR477" t="str">
        <f t="shared" si="67"/>
        <v/>
      </c>
      <c r="AS477" t="str">
        <f t="shared" si="62"/>
        <v/>
      </c>
    </row>
    <row r="478" spans="1:45" x14ac:dyDescent="0.3">
      <c r="A478" s="231"/>
      <c r="B478" s="235"/>
      <c r="C478" s="214"/>
      <c r="D478" s="214"/>
      <c r="E478" s="214"/>
      <c r="F478" s="214"/>
      <c r="G478" s="222"/>
      <c r="H478" s="221"/>
      <c r="I478" s="213"/>
      <c r="J478" s="213"/>
      <c r="K478" s="215"/>
      <c r="L478" s="216"/>
      <c r="M478" s="217"/>
      <c r="N478" s="176"/>
      <c r="O478" s="241" t="str">
        <f>IF(Q478 = "", "", COUNT(Q$4:$Q478))</f>
        <v/>
      </c>
      <c r="P478" s="241" t="str">
        <f t="shared" si="60"/>
        <v/>
      </c>
      <c r="Q478" s="242" t="str">
        <f t="shared" si="61"/>
        <v/>
      </c>
      <c r="R478" s="243" t="str">
        <f t="shared" si="63"/>
        <v/>
      </c>
      <c r="S478" s="244" t="str">
        <f t="shared" si="64"/>
        <v/>
      </c>
      <c r="T478" s="245" t="str">
        <f t="shared" si="65"/>
        <v/>
      </c>
      <c r="U478" s="246" t="str">
        <f t="shared" si="66"/>
        <v/>
      </c>
      <c r="V478" s="8"/>
      <c r="AR478" t="str">
        <f t="shared" si="67"/>
        <v/>
      </c>
      <c r="AS478" t="str">
        <f t="shared" si="62"/>
        <v/>
      </c>
    </row>
    <row r="479" spans="1:45" x14ac:dyDescent="0.3">
      <c r="A479" s="231"/>
      <c r="B479" s="235"/>
      <c r="C479" s="214"/>
      <c r="D479" s="214"/>
      <c r="E479" s="214"/>
      <c r="F479" s="214"/>
      <c r="G479" s="222"/>
      <c r="H479" s="221"/>
      <c r="I479" s="213"/>
      <c r="J479" s="213"/>
      <c r="K479" s="215"/>
      <c r="L479" s="216"/>
      <c r="M479" s="217"/>
      <c r="N479" s="176"/>
      <c r="O479" s="241" t="str">
        <f>IF(Q479 = "", "", COUNT(Q$4:$Q479))</f>
        <v/>
      </c>
      <c r="P479" s="241" t="str">
        <f t="shared" si="60"/>
        <v/>
      </c>
      <c r="Q479" s="242" t="str">
        <f t="shared" si="61"/>
        <v/>
      </c>
      <c r="R479" s="243" t="str">
        <f t="shared" si="63"/>
        <v/>
      </c>
      <c r="S479" s="244" t="str">
        <f t="shared" si="64"/>
        <v/>
      </c>
      <c r="T479" s="245" t="str">
        <f t="shared" si="65"/>
        <v/>
      </c>
      <c r="U479" s="246" t="str">
        <f t="shared" si="66"/>
        <v/>
      </c>
      <c r="V479" s="8"/>
      <c r="AR479" t="str">
        <f t="shared" si="67"/>
        <v/>
      </c>
      <c r="AS479" t="str">
        <f t="shared" si="62"/>
        <v/>
      </c>
    </row>
    <row r="480" spans="1:45" x14ac:dyDescent="0.3">
      <c r="A480" s="231"/>
      <c r="B480" s="235"/>
      <c r="C480" s="214"/>
      <c r="D480" s="214"/>
      <c r="E480" s="214"/>
      <c r="F480" s="214"/>
      <c r="G480" s="222"/>
      <c r="H480" s="221"/>
      <c r="I480" s="213"/>
      <c r="J480" s="213"/>
      <c r="K480" s="215"/>
      <c r="L480" s="216"/>
      <c r="M480" s="217"/>
      <c r="N480" s="176"/>
      <c r="O480" s="241" t="str">
        <f>IF(Q480 = "", "", COUNT(Q$4:$Q480))</f>
        <v/>
      </c>
      <c r="P480" s="241" t="str">
        <f t="shared" si="60"/>
        <v/>
      </c>
      <c r="Q480" s="242" t="str">
        <f t="shared" si="61"/>
        <v/>
      </c>
      <c r="R480" s="243" t="str">
        <f t="shared" si="63"/>
        <v/>
      </c>
      <c r="S480" s="244" t="str">
        <f t="shared" si="64"/>
        <v/>
      </c>
      <c r="T480" s="245" t="str">
        <f t="shared" si="65"/>
        <v/>
      </c>
      <c r="U480" s="246" t="str">
        <f t="shared" si="66"/>
        <v/>
      </c>
      <c r="V480" s="8"/>
      <c r="AR480" t="str">
        <f t="shared" si="67"/>
        <v/>
      </c>
      <c r="AS480" t="str">
        <f t="shared" si="62"/>
        <v/>
      </c>
    </row>
    <row r="481" spans="1:45" x14ac:dyDescent="0.3">
      <c r="A481" s="231"/>
      <c r="B481" s="235"/>
      <c r="C481" s="214"/>
      <c r="D481" s="214"/>
      <c r="E481" s="214"/>
      <c r="F481" s="214"/>
      <c r="G481" s="222"/>
      <c r="H481" s="221"/>
      <c r="I481" s="213"/>
      <c r="J481" s="213"/>
      <c r="K481" s="215"/>
      <c r="L481" s="216"/>
      <c r="M481" s="217"/>
      <c r="N481" s="176"/>
      <c r="O481" s="241" t="str">
        <f>IF(Q481 = "", "", COUNT(Q$4:$Q481))</f>
        <v/>
      </c>
      <c r="P481" s="241" t="str">
        <f t="shared" si="60"/>
        <v/>
      </c>
      <c r="Q481" s="242" t="str">
        <f t="shared" si="61"/>
        <v/>
      </c>
      <c r="R481" s="243" t="str">
        <f t="shared" si="63"/>
        <v/>
      </c>
      <c r="S481" s="244" t="str">
        <f t="shared" si="64"/>
        <v/>
      </c>
      <c r="T481" s="245" t="str">
        <f t="shared" si="65"/>
        <v/>
      </c>
      <c r="U481" s="246" t="str">
        <f t="shared" si="66"/>
        <v/>
      </c>
      <c r="V481" s="8"/>
      <c r="AR481" t="str">
        <f t="shared" si="67"/>
        <v/>
      </c>
      <c r="AS481" t="str">
        <f t="shared" si="62"/>
        <v/>
      </c>
    </row>
    <row r="482" spans="1:45" x14ac:dyDescent="0.3">
      <c r="A482" s="231"/>
      <c r="B482" s="235"/>
      <c r="C482" s="214"/>
      <c r="D482" s="214"/>
      <c r="E482" s="214"/>
      <c r="F482" s="214"/>
      <c r="G482" s="222"/>
      <c r="H482" s="221"/>
      <c r="I482" s="213"/>
      <c r="J482" s="213"/>
      <c r="K482" s="215"/>
      <c r="L482" s="216"/>
      <c r="M482" s="217"/>
      <c r="N482" s="176"/>
      <c r="O482" s="241" t="str">
        <f>IF(Q482 = "", "", COUNT(Q$4:$Q482))</f>
        <v/>
      </c>
      <c r="P482" s="241" t="str">
        <f t="shared" si="60"/>
        <v/>
      </c>
      <c r="Q482" s="242" t="str">
        <f t="shared" si="61"/>
        <v/>
      </c>
      <c r="R482" s="243" t="str">
        <f t="shared" si="63"/>
        <v/>
      </c>
      <c r="S482" s="244" t="str">
        <f t="shared" si="64"/>
        <v/>
      </c>
      <c r="T482" s="245" t="str">
        <f t="shared" si="65"/>
        <v/>
      </c>
      <c r="U482" s="246" t="str">
        <f t="shared" si="66"/>
        <v/>
      </c>
      <c r="V482" s="8"/>
      <c r="AR482" t="str">
        <f t="shared" si="67"/>
        <v/>
      </c>
      <c r="AS482" t="str">
        <f t="shared" si="62"/>
        <v/>
      </c>
    </row>
    <row r="483" spans="1:45" x14ac:dyDescent="0.3">
      <c r="A483" s="231"/>
      <c r="B483" s="235"/>
      <c r="C483" s="214"/>
      <c r="D483" s="214"/>
      <c r="E483" s="214"/>
      <c r="F483" s="214"/>
      <c r="G483" s="222"/>
      <c r="H483" s="221"/>
      <c r="I483" s="213"/>
      <c r="J483" s="213"/>
      <c r="K483" s="215"/>
      <c r="L483" s="216"/>
      <c r="M483" s="217"/>
      <c r="N483" s="176"/>
      <c r="O483" s="241" t="str">
        <f>IF(Q483 = "", "", COUNT(Q$4:$Q483))</f>
        <v/>
      </c>
      <c r="P483" s="241" t="str">
        <f t="shared" si="60"/>
        <v/>
      </c>
      <c r="Q483" s="242" t="str">
        <f t="shared" si="61"/>
        <v/>
      </c>
      <c r="R483" s="243" t="str">
        <f t="shared" si="63"/>
        <v/>
      </c>
      <c r="S483" s="244" t="str">
        <f t="shared" si="64"/>
        <v/>
      </c>
      <c r="T483" s="245" t="str">
        <f t="shared" si="65"/>
        <v/>
      </c>
      <c r="U483" s="246" t="str">
        <f t="shared" si="66"/>
        <v/>
      </c>
      <c r="V483" s="8"/>
      <c r="AR483" t="str">
        <f t="shared" si="67"/>
        <v/>
      </c>
      <c r="AS483" t="str">
        <f t="shared" si="62"/>
        <v/>
      </c>
    </row>
    <row r="484" spans="1:45" x14ac:dyDescent="0.3">
      <c r="A484" s="231"/>
      <c r="B484" s="235"/>
      <c r="C484" s="214"/>
      <c r="D484" s="214"/>
      <c r="E484" s="214"/>
      <c r="F484" s="214"/>
      <c r="G484" s="222"/>
      <c r="H484" s="221"/>
      <c r="I484" s="213"/>
      <c r="J484" s="213"/>
      <c r="K484" s="215"/>
      <c r="L484" s="216"/>
      <c r="M484" s="217"/>
      <c r="N484" s="176"/>
      <c r="O484" s="241" t="str">
        <f>IF(Q484 = "", "", COUNT(Q$4:$Q484))</f>
        <v/>
      </c>
      <c r="P484" s="241" t="str">
        <f t="shared" si="60"/>
        <v/>
      </c>
      <c r="Q484" s="242" t="str">
        <f t="shared" si="61"/>
        <v/>
      </c>
      <c r="R484" s="243" t="str">
        <f t="shared" si="63"/>
        <v/>
      </c>
      <c r="S484" s="244" t="str">
        <f t="shared" si="64"/>
        <v/>
      </c>
      <c r="T484" s="245" t="str">
        <f t="shared" si="65"/>
        <v/>
      </c>
      <c r="U484" s="246" t="str">
        <f t="shared" si="66"/>
        <v/>
      </c>
      <c r="V484" s="8"/>
      <c r="AR484" t="str">
        <f t="shared" si="67"/>
        <v/>
      </c>
      <c r="AS484" t="str">
        <f t="shared" si="62"/>
        <v/>
      </c>
    </row>
    <row r="485" spans="1:45" x14ac:dyDescent="0.3">
      <c r="A485" s="231"/>
      <c r="B485" s="235"/>
      <c r="C485" s="214"/>
      <c r="D485" s="214"/>
      <c r="E485" s="214"/>
      <c r="F485" s="214"/>
      <c r="G485" s="222"/>
      <c r="H485" s="221"/>
      <c r="I485" s="213"/>
      <c r="J485" s="213"/>
      <c r="K485" s="215"/>
      <c r="L485" s="216"/>
      <c r="M485" s="217"/>
      <c r="N485" s="176"/>
      <c r="O485" s="241" t="str">
        <f>IF(Q485 = "", "", COUNT(Q$4:$Q485))</f>
        <v/>
      </c>
      <c r="P485" s="241" t="str">
        <f t="shared" si="60"/>
        <v/>
      </c>
      <c r="Q485" s="242" t="str">
        <f t="shared" si="61"/>
        <v/>
      </c>
      <c r="R485" s="243" t="str">
        <f t="shared" si="63"/>
        <v/>
      </c>
      <c r="S485" s="244" t="str">
        <f t="shared" si="64"/>
        <v/>
      </c>
      <c r="T485" s="245" t="str">
        <f t="shared" si="65"/>
        <v/>
      </c>
      <c r="U485" s="246" t="str">
        <f t="shared" si="66"/>
        <v/>
      </c>
      <c r="V485" s="8"/>
      <c r="AR485" t="str">
        <f t="shared" si="67"/>
        <v/>
      </c>
      <c r="AS485" t="str">
        <f t="shared" si="62"/>
        <v/>
      </c>
    </row>
    <row r="486" spans="1:45" x14ac:dyDescent="0.3">
      <c r="A486" s="231"/>
      <c r="B486" s="235"/>
      <c r="C486" s="214"/>
      <c r="D486" s="214"/>
      <c r="E486" s="214"/>
      <c r="F486" s="214"/>
      <c r="G486" s="222"/>
      <c r="H486" s="221"/>
      <c r="I486" s="213"/>
      <c r="J486" s="213"/>
      <c r="K486" s="215"/>
      <c r="L486" s="216"/>
      <c r="M486" s="217"/>
      <c r="N486" s="176"/>
      <c r="O486" s="241" t="str">
        <f>IF(Q486 = "", "", COUNT(Q$4:$Q486))</f>
        <v/>
      </c>
      <c r="P486" s="241" t="str">
        <f t="shared" si="60"/>
        <v/>
      </c>
      <c r="Q486" s="242" t="str">
        <f t="shared" si="61"/>
        <v/>
      </c>
      <c r="R486" s="243" t="str">
        <f t="shared" si="63"/>
        <v/>
      </c>
      <c r="S486" s="244" t="str">
        <f t="shared" si="64"/>
        <v/>
      </c>
      <c r="T486" s="245" t="str">
        <f t="shared" si="65"/>
        <v/>
      </c>
      <c r="U486" s="246" t="str">
        <f t="shared" si="66"/>
        <v/>
      </c>
      <c r="V486" s="8"/>
      <c r="AR486" t="str">
        <f t="shared" si="67"/>
        <v/>
      </c>
      <c r="AS486" t="str">
        <f t="shared" si="62"/>
        <v/>
      </c>
    </row>
    <row r="487" spans="1:45" x14ac:dyDescent="0.3">
      <c r="A487" s="231"/>
      <c r="B487" s="235"/>
      <c r="C487" s="214"/>
      <c r="D487" s="214"/>
      <c r="E487" s="214"/>
      <c r="F487" s="214"/>
      <c r="G487" s="222"/>
      <c r="H487" s="221"/>
      <c r="I487" s="213"/>
      <c r="J487" s="213"/>
      <c r="K487" s="215"/>
      <c r="L487" s="216"/>
      <c r="M487" s="217"/>
      <c r="N487" s="176"/>
      <c r="O487" s="241" t="str">
        <f>IF(Q487 = "", "", COUNT(Q$4:$Q487))</f>
        <v/>
      </c>
      <c r="P487" s="241" t="str">
        <f t="shared" si="60"/>
        <v/>
      </c>
      <c r="Q487" s="242" t="str">
        <f t="shared" si="61"/>
        <v/>
      </c>
      <c r="R487" s="243" t="str">
        <f t="shared" si="63"/>
        <v/>
      </c>
      <c r="S487" s="244" t="str">
        <f t="shared" si="64"/>
        <v/>
      </c>
      <c r="T487" s="245" t="str">
        <f t="shared" si="65"/>
        <v/>
      </c>
      <c r="U487" s="246" t="str">
        <f t="shared" si="66"/>
        <v/>
      </c>
      <c r="V487" s="8"/>
      <c r="AR487" t="str">
        <f t="shared" si="67"/>
        <v/>
      </c>
      <c r="AS487" t="str">
        <f t="shared" si="62"/>
        <v/>
      </c>
    </row>
    <row r="488" spans="1:45" x14ac:dyDescent="0.3">
      <c r="A488" s="231"/>
      <c r="B488" s="235"/>
      <c r="C488" s="214"/>
      <c r="D488" s="214"/>
      <c r="E488" s="214"/>
      <c r="F488" s="214"/>
      <c r="G488" s="222"/>
      <c r="H488" s="221"/>
      <c r="I488" s="213"/>
      <c r="J488" s="213"/>
      <c r="K488" s="215"/>
      <c r="L488" s="216"/>
      <c r="M488" s="217"/>
      <c r="N488" s="176"/>
      <c r="O488" s="241" t="str">
        <f>IF(Q488 = "", "", COUNT(Q$4:$Q488))</f>
        <v/>
      </c>
      <c r="P488" s="241" t="str">
        <f t="shared" si="60"/>
        <v/>
      </c>
      <c r="Q488" s="242" t="str">
        <f t="shared" si="61"/>
        <v/>
      </c>
      <c r="R488" s="243" t="str">
        <f t="shared" si="63"/>
        <v/>
      </c>
      <c r="S488" s="244" t="str">
        <f t="shared" si="64"/>
        <v/>
      </c>
      <c r="T488" s="245" t="str">
        <f t="shared" si="65"/>
        <v/>
      </c>
      <c r="U488" s="246" t="str">
        <f t="shared" si="66"/>
        <v/>
      </c>
      <c r="V488" s="8"/>
      <c r="AR488" t="str">
        <f t="shared" si="67"/>
        <v/>
      </c>
      <c r="AS488" t="str">
        <f t="shared" si="62"/>
        <v/>
      </c>
    </row>
    <row r="489" spans="1:45" x14ac:dyDescent="0.3">
      <c r="A489" s="231"/>
      <c r="B489" s="235"/>
      <c r="C489" s="214"/>
      <c r="D489" s="214"/>
      <c r="E489" s="214"/>
      <c r="F489" s="214"/>
      <c r="G489" s="222"/>
      <c r="H489" s="221"/>
      <c r="I489" s="213"/>
      <c r="J489" s="213"/>
      <c r="K489" s="215"/>
      <c r="L489" s="216"/>
      <c r="M489" s="217"/>
      <c r="N489" s="176"/>
      <c r="O489" s="241" t="str">
        <f>IF(Q489 = "", "", COUNT(Q$4:$Q489))</f>
        <v/>
      </c>
      <c r="P489" s="241" t="str">
        <f t="shared" si="60"/>
        <v/>
      </c>
      <c r="Q489" s="242" t="str">
        <f t="shared" si="61"/>
        <v/>
      </c>
      <c r="R489" s="243" t="str">
        <f t="shared" si="63"/>
        <v/>
      </c>
      <c r="S489" s="244" t="str">
        <f t="shared" si="64"/>
        <v/>
      </c>
      <c r="T489" s="245" t="str">
        <f t="shared" si="65"/>
        <v/>
      </c>
      <c r="U489" s="246" t="str">
        <f t="shared" si="66"/>
        <v/>
      </c>
      <c r="V489" s="8"/>
      <c r="AR489" t="str">
        <f t="shared" si="67"/>
        <v/>
      </c>
      <c r="AS489" t="str">
        <f t="shared" si="62"/>
        <v/>
      </c>
    </row>
    <row r="490" spans="1:45" x14ac:dyDescent="0.3">
      <c r="A490" s="231"/>
      <c r="B490" s="235"/>
      <c r="C490" s="214"/>
      <c r="D490" s="214"/>
      <c r="E490" s="214"/>
      <c r="F490" s="214"/>
      <c r="G490" s="222"/>
      <c r="H490" s="221"/>
      <c r="I490" s="213"/>
      <c r="J490" s="213"/>
      <c r="K490" s="215"/>
      <c r="L490" s="216"/>
      <c r="M490" s="217"/>
      <c r="N490" s="176"/>
      <c r="O490" s="241" t="str">
        <f>IF(Q490 = "", "", COUNT(Q$4:$Q490))</f>
        <v/>
      </c>
      <c r="P490" s="241" t="str">
        <f t="shared" si="60"/>
        <v/>
      </c>
      <c r="Q490" s="242" t="str">
        <f t="shared" si="61"/>
        <v/>
      </c>
      <c r="R490" s="243" t="str">
        <f t="shared" si="63"/>
        <v/>
      </c>
      <c r="S490" s="244" t="str">
        <f t="shared" si="64"/>
        <v/>
      </c>
      <c r="T490" s="245" t="str">
        <f t="shared" si="65"/>
        <v/>
      </c>
      <c r="U490" s="246" t="str">
        <f t="shared" si="66"/>
        <v/>
      </c>
      <c r="V490" s="8"/>
      <c r="AR490" t="str">
        <f t="shared" si="67"/>
        <v/>
      </c>
      <c r="AS490" t="str">
        <f t="shared" si="62"/>
        <v/>
      </c>
    </row>
    <row r="491" spans="1:45" x14ac:dyDescent="0.3">
      <c r="A491" s="231"/>
      <c r="B491" s="235"/>
      <c r="C491" s="214"/>
      <c r="D491" s="214"/>
      <c r="E491" s="214"/>
      <c r="F491" s="214"/>
      <c r="G491" s="222"/>
      <c r="H491" s="221"/>
      <c r="I491" s="213"/>
      <c r="J491" s="213"/>
      <c r="K491" s="215"/>
      <c r="L491" s="216"/>
      <c r="M491" s="217"/>
      <c r="N491" s="176"/>
      <c r="O491" s="241" t="str">
        <f>IF(Q491 = "", "", COUNT(Q$4:$Q491))</f>
        <v/>
      </c>
      <c r="P491" s="241" t="str">
        <f t="shared" si="60"/>
        <v/>
      </c>
      <c r="Q491" s="242" t="str">
        <f t="shared" si="61"/>
        <v/>
      </c>
      <c r="R491" s="243" t="str">
        <f t="shared" si="63"/>
        <v/>
      </c>
      <c r="S491" s="244" t="str">
        <f t="shared" si="64"/>
        <v/>
      </c>
      <c r="T491" s="245" t="str">
        <f t="shared" si="65"/>
        <v/>
      </c>
      <c r="U491" s="246" t="str">
        <f t="shared" si="66"/>
        <v/>
      </c>
      <c r="V491" s="8"/>
      <c r="AR491" t="str">
        <f t="shared" si="67"/>
        <v/>
      </c>
      <c r="AS491" t="str">
        <f t="shared" si="62"/>
        <v/>
      </c>
    </row>
    <row r="492" spans="1:45" x14ac:dyDescent="0.3">
      <c r="A492" s="231"/>
      <c r="B492" s="235"/>
      <c r="C492" s="214"/>
      <c r="D492" s="214"/>
      <c r="E492" s="214"/>
      <c r="F492" s="214"/>
      <c r="G492" s="222"/>
      <c r="H492" s="221"/>
      <c r="I492" s="213"/>
      <c r="J492" s="213"/>
      <c r="K492" s="215"/>
      <c r="L492" s="216"/>
      <c r="M492" s="217"/>
      <c r="N492" s="176"/>
      <c r="O492" s="241" t="str">
        <f>IF(Q492 = "", "", COUNT(Q$4:$Q492))</f>
        <v/>
      </c>
      <c r="P492" s="241" t="str">
        <f t="shared" si="60"/>
        <v/>
      </c>
      <c r="Q492" s="242" t="str">
        <f t="shared" si="61"/>
        <v/>
      </c>
      <c r="R492" s="243" t="str">
        <f t="shared" si="63"/>
        <v/>
      </c>
      <c r="S492" s="244" t="str">
        <f t="shared" si="64"/>
        <v/>
      </c>
      <c r="T492" s="245" t="str">
        <f t="shared" si="65"/>
        <v/>
      </c>
      <c r="U492" s="246" t="str">
        <f t="shared" si="66"/>
        <v/>
      </c>
      <c r="V492" s="8"/>
      <c r="AR492" t="str">
        <f t="shared" si="67"/>
        <v/>
      </c>
      <c r="AS492" t="str">
        <f t="shared" si="62"/>
        <v/>
      </c>
    </row>
    <row r="493" spans="1:45" x14ac:dyDescent="0.3">
      <c r="A493" s="231"/>
      <c r="B493" s="235"/>
      <c r="C493" s="214"/>
      <c r="D493" s="214"/>
      <c r="E493" s="214"/>
      <c r="F493" s="214"/>
      <c r="G493" s="222"/>
      <c r="H493" s="221"/>
      <c r="I493" s="213"/>
      <c r="J493" s="213"/>
      <c r="K493" s="215"/>
      <c r="L493" s="216"/>
      <c r="M493" s="217"/>
      <c r="N493" s="176"/>
      <c r="O493" s="241" t="str">
        <f>IF(Q493 = "", "", COUNT(Q$4:$Q493))</f>
        <v/>
      </c>
      <c r="P493" s="241" t="str">
        <f t="shared" si="60"/>
        <v/>
      </c>
      <c r="Q493" s="242" t="str">
        <f t="shared" si="61"/>
        <v/>
      </c>
      <c r="R493" s="243" t="str">
        <f t="shared" si="63"/>
        <v/>
      </c>
      <c r="S493" s="244" t="str">
        <f t="shared" si="64"/>
        <v/>
      </c>
      <c r="T493" s="245" t="str">
        <f t="shared" si="65"/>
        <v/>
      </c>
      <c r="U493" s="246" t="str">
        <f t="shared" si="66"/>
        <v/>
      </c>
      <c r="V493" s="8"/>
      <c r="AR493" t="str">
        <f t="shared" si="67"/>
        <v/>
      </c>
      <c r="AS493" t="str">
        <f t="shared" si="62"/>
        <v/>
      </c>
    </row>
    <row r="494" spans="1:45" x14ac:dyDescent="0.3">
      <c r="A494" s="231"/>
      <c r="B494" s="235"/>
      <c r="C494" s="214"/>
      <c r="D494" s="214"/>
      <c r="E494" s="214"/>
      <c r="F494" s="214"/>
      <c r="G494" s="222"/>
      <c r="H494" s="221"/>
      <c r="I494" s="213"/>
      <c r="J494" s="213"/>
      <c r="K494" s="215"/>
      <c r="L494" s="216"/>
      <c r="M494" s="217"/>
      <c r="N494" s="176"/>
      <c r="O494" s="241" t="str">
        <f>IF(Q494 = "", "", COUNT(Q$4:$Q494))</f>
        <v/>
      </c>
      <c r="P494" s="241" t="str">
        <f t="shared" si="60"/>
        <v/>
      </c>
      <c r="Q494" s="242" t="str">
        <f t="shared" si="61"/>
        <v/>
      </c>
      <c r="R494" s="243" t="str">
        <f t="shared" si="63"/>
        <v/>
      </c>
      <c r="S494" s="244" t="str">
        <f t="shared" si="64"/>
        <v/>
      </c>
      <c r="T494" s="245" t="str">
        <f t="shared" si="65"/>
        <v/>
      </c>
      <c r="U494" s="246" t="str">
        <f t="shared" si="66"/>
        <v/>
      </c>
      <c r="V494" s="8"/>
      <c r="AR494" t="str">
        <f t="shared" si="67"/>
        <v/>
      </c>
      <c r="AS494" t="str">
        <f t="shared" si="62"/>
        <v/>
      </c>
    </row>
    <row r="495" spans="1:45" x14ac:dyDescent="0.3">
      <c r="A495" s="231"/>
      <c r="B495" s="235"/>
      <c r="C495" s="214"/>
      <c r="D495" s="214"/>
      <c r="E495" s="214"/>
      <c r="F495" s="214"/>
      <c r="G495" s="222"/>
      <c r="H495" s="221"/>
      <c r="I495" s="213"/>
      <c r="J495" s="213"/>
      <c r="K495" s="215"/>
      <c r="L495" s="216"/>
      <c r="M495" s="217"/>
      <c r="N495" s="176"/>
      <c r="O495" s="241" t="str">
        <f>IF(Q495 = "", "", COUNT(Q$4:$Q495))</f>
        <v/>
      </c>
      <c r="P495" s="241" t="str">
        <f t="shared" si="60"/>
        <v/>
      </c>
      <c r="Q495" s="242" t="str">
        <f t="shared" si="61"/>
        <v/>
      </c>
      <c r="R495" s="243" t="str">
        <f t="shared" si="63"/>
        <v/>
      </c>
      <c r="S495" s="244" t="str">
        <f t="shared" si="64"/>
        <v/>
      </c>
      <c r="T495" s="245" t="str">
        <f t="shared" si="65"/>
        <v/>
      </c>
      <c r="U495" s="246" t="str">
        <f t="shared" si="66"/>
        <v/>
      </c>
      <c r="V495" s="8"/>
      <c r="AR495" t="str">
        <f t="shared" si="67"/>
        <v/>
      </c>
      <c r="AS495" t="str">
        <f t="shared" si="62"/>
        <v/>
      </c>
    </row>
    <row r="496" spans="1:45" x14ac:dyDescent="0.3">
      <c r="A496" s="231"/>
      <c r="B496" s="235"/>
      <c r="C496" s="214"/>
      <c r="D496" s="214"/>
      <c r="E496" s="214"/>
      <c r="F496" s="214"/>
      <c r="G496" s="222"/>
      <c r="H496" s="221"/>
      <c r="I496" s="213"/>
      <c r="J496" s="213"/>
      <c r="K496" s="215"/>
      <c r="L496" s="216"/>
      <c r="M496" s="217"/>
      <c r="N496" s="176"/>
      <c r="O496" s="241" t="str">
        <f>IF(Q496 = "", "", COUNT(Q$4:$Q496))</f>
        <v/>
      </c>
      <c r="P496" s="241" t="str">
        <f t="shared" si="60"/>
        <v/>
      </c>
      <c r="Q496" s="242" t="str">
        <f t="shared" si="61"/>
        <v/>
      </c>
      <c r="R496" s="243" t="str">
        <f t="shared" si="63"/>
        <v/>
      </c>
      <c r="S496" s="244" t="str">
        <f t="shared" si="64"/>
        <v/>
      </c>
      <c r="T496" s="245" t="str">
        <f t="shared" si="65"/>
        <v/>
      </c>
      <c r="U496" s="246" t="str">
        <f t="shared" si="66"/>
        <v/>
      </c>
      <c r="V496" s="8"/>
      <c r="AR496" t="str">
        <f t="shared" si="67"/>
        <v/>
      </c>
      <c r="AS496" t="str">
        <f t="shared" si="62"/>
        <v/>
      </c>
    </row>
    <row r="497" spans="1:45" x14ac:dyDescent="0.3">
      <c r="A497" s="231"/>
      <c r="B497" s="235"/>
      <c r="C497" s="214"/>
      <c r="D497" s="214"/>
      <c r="E497" s="214"/>
      <c r="F497" s="214"/>
      <c r="G497" s="222"/>
      <c r="H497" s="221"/>
      <c r="I497" s="213"/>
      <c r="J497" s="213"/>
      <c r="K497" s="215"/>
      <c r="L497" s="216"/>
      <c r="M497" s="217"/>
      <c r="N497" s="176"/>
      <c r="O497" s="241" t="str">
        <f>IF(Q497 = "", "", COUNT(Q$4:$Q497))</f>
        <v/>
      </c>
      <c r="P497" s="241" t="str">
        <f t="shared" si="60"/>
        <v/>
      </c>
      <c r="Q497" s="242" t="str">
        <f t="shared" si="61"/>
        <v/>
      </c>
      <c r="R497" s="243" t="str">
        <f t="shared" si="63"/>
        <v/>
      </c>
      <c r="S497" s="244" t="str">
        <f t="shared" si="64"/>
        <v/>
      </c>
      <c r="T497" s="245" t="str">
        <f t="shared" si="65"/>
        <v/>
      </c>
      <c r="U497" s="246" t="str">
        <f t="shared" si="66"/>
        <v/>
      </c>
      <c r="V497" s="8"/>
      <c r="AR497" t="str">
        <f t="shared" si="67"/>
        <v/>
      </c>
      <c r="AS497" t="str">
        <f t="shared" si="62"/>
        <v/>
      </c>
    </row>
    <row r="498" spans="1:45" x14ac:dyDescent="0.3">
      <c r="A498" s="231"/>
      <c r="B498" s="235"/>
      <c r="C498" s="214"/>
      <c r="D498" s="214"/>
      <c r="E498" s="214"/>
      <c r="F498" s="214"/>
      <c r="G498" s="222"/>
      <c r="H498" s="221"/>
      <c r="I498" s="213"/>
      <c r="J498" s="213"/>
      <c r="K498" s="215"/>
      <c r="L498" s="216"/>
      <c r="M498" s="217"/>
      <c r="N498" s="176"/>
      <c r="O498" s="241" t="str">
        <f>IF(Q498 = "", "", COUNT(Q$4:$Q498))</f>
        <v/>
      </c>
      <c r="P498" s="241" t="str">
        <f t="shared" si="60"/>
        <v/>
      </c>
      <c r="Q498" s="242" t="str">
        <f t="shared" si="61"/>
        <v/>
      </c>
      <c r="R498" s="243" t="str">
        <f t="shared" si="63"/>
        <v/>
      </c>
      <c r="S498" s="244" t="str">
        <f t="shared" si="64"/>
        <v/>
      </c>
      <c r="T498" s="245" t="str">
        <f t="shared" si="65"/>
        <v/>
      </c>
      <c r="U498" s="246" t="str">
        <f t="shared" si="66"/>
        <v/>
      </c>
      <c r="V498" s="8"/>
      <c r="AR498" t="str">
        <f t="shared" si="67"/>
        <v/>
      </c>
      <c r="AS498" t="str">
        <f t="shared" si="62"/>
        <v/>
      </c>
    </row>
    <row r="499" spans="1:45" x14ac:dyDescent="0.3">
      <c r="A499" s="231"/>
      <c r="B499" s="235"/>
      <c r="C499" s="214"/>
      <c r="D499" s="214"/>
      <c r="E499" s="214"/>
      <c r="F499" s="214"/>
      <c r="G499" s="222"/>
      <c r="H499" s="221"/>
      <c r="I499" s="213"/>
      <c r="J499" s="213"/>
      <c r="K499" s="215"/>
      <c r="L499" s="216"/>
      <c r="M499" s="217"/>
      <c r="N499" s="176"/>
      <c r="O499" s="241" t="str">
        <f>IF(Q499 = "", "", COUNT(Q$4:$Q499))</f>
        <v/>
      </c>
      <c r="P499" s="241" t="str">
        <f t="shared" si="60"/>
        <v/>
      </c>
      <c r="Q499" s="242" t="str">
        <f t="shared" si="61"/>
        <v/>
      </c>
      <c r="R499" s="243" t="str">
        <f t="shared" si="63"/>
        <v/>
      </c>
      <c r="S499" s="244" t="str">
        <f t="shared" si="64"/>
        <v/>
      </c>
      <c r="T499" s="245" t="str">
        <f t="shared" si="65"/>
        <v/>
      </c>
      <c r="U499" s="246" t="str">
        <f t="shared" si="66"/>
        <v/>
      </c>
      <c r="V499" s="8"/>
      <c r="AR499" t="str">
        <f t="shared" si="67"/>
        <v/>
      </c>
      <c r="AS499" t="str">
        <f t="shared" si="62"/>
        <v/>
      </c>
    </row>
    <row r="500" spans="1:45" x14ac:dyDescent="0.3">
      <c r="A500" s="231"/>
      <c r="B500" s="235"/>
      <c r="C500" s="214"/>
      <c r="D500" s="214"/>
      <c r="E500" s="214"/>
      <c r="F500" s="214"/>
      <c r="G500" s="222"/>
      <c r="H500" s="221"/>
      <c r="I500" s="213"/>
      <c r="J500" s="213"/>
      <c r="K500" s="215"/>
      <c r="L500" s="216"/>
      <c r="M500" s="217"/>
      <c r="N500" s="176"/>
      <c r="O500" s="241" t="str">
        <f>IF(Q500 = "", "", COUNT(Q$4:$Q500))</f>
        <v/>
      </c>
      <c r="P500" s="241" t="str">
        <f t="shared" si="60"/>
        <v/>
      </c>
      <c r="Q500" s="242" t="str">
        <f t="shared" si="61"/>
        <v/>
      </c>
      <c r="R500" s="243" t="str">
        <f t="shared" si="63"/>
        <v/>
      </c>
      <c r="S500" s="244" t="str">
        <f t="shared" si="64"/>
        <v/>
      </c>
      <c r="T500" s="245" t="str">
        <f t="shared" si="65"/>
        <v/>
      </c>
      <c r="U500" s="246" t="str">
        <f t="shared" si="66"/>
        <v/>
      </c>
      <c r="V500" s="8"/>
      <c r="AR500" t="str">
        <f t="shared" si="67"/>
        <v/>
      </c>
      <c r="AS500" t="str">
        <f t="shared" si="62"/>
        <v/>
      </c>
    </row>
    <row r="501" spans="1:45" x14ac:dyDescent="0.3">
      <c r="A501" s="231"/>
      <c r="B501" s="235"/>
      <c r="C501" s="214"/>
      <c r="D501" s="214"/>
      <c r="E501" s="214"/>
      <c r="F501" s="214"/>
      <c r="G501" s="222"/>
      <c r="H501" s="221"/>
      <c r="I501" s="213"/>
      <c r="J501" s="213"/>
      <c r="K501" s="215"/>
      <c r="L501" s="216"/>
      <c r="M501" s="217"/>
      <c r="N501" s="176"/>
      <c r="O501" s="241" t="str">
        <f>IF(Q501 = "", "", COUNT(Q$4:$Q501))</f>
        <v/>
      </c>
      <c r="P501" s="241" t="str">
        <f t="shared" si="60"/>
        <v/>
      </c>
      <c r="Q501" s="242" t="str">
        <f t="shared" si="61"/>
        <v/>
      </c>
      <c r="R501" s="243" t="str">
        <f t="shared" si="63"/>
        <v/>
      </c>
      <c r="S501" s="244" t="str">
        <f t="shared" si="64"/>
        <v/>
      </c>
      <c r="T501" s="245" t="str">
        <f t="shared" si="65"/>
        <v/>
      </c>
      <c r="U501" s="246" t="str">
        <f t="shared" si="66"/>
        <v/>
      </c>
      <c r="V501" s="8"/>
      <c r="AR501" t="str">
        <f t="shared" si="67"/>
        <v/>
      </c>
      <c r="AS501" t="str">
        <f t="shared" si="62"/>
        <v/>
      </c>
    </row>
    <row r="502" spans="1:45" x14ac:dyDescent="0.3">
      <c r="A502" s="231"/>
      <c r="B502" s="235"/>
      <c r="C502" s="214"/>
      <c r="D502" s="214"/>
      <c r="E502" s="214"/>
      <c r="F502" s="214"/>
      <c r="G502" s="222"/>
      <c r="H502" s="221"/>
      <c r="I502" s="213"/>
      <c r="J502" s="213"/>
      <c r="K502" s="215"/>
      <c r="L502" s="216"/>
      <c r="M502" s="217"/>
      <c r="N502" s="176"/>
      <c r="O502" s="241" t="str">
        <f>IF(Q502 = "", "", COUNT(Q$4:$Q502))</f>
        <v/>
      </c>
      <c r="P502" s="241" t="str">
        <f t="shared" si="60"/>
        <v/>
      </c>
      <c r="Q502" s="242" t="str">
        <f t="shared" si="61"/>
        <v/>
      </c>
      <c r="R502" s="243" t="str">
        <f t="shared" si="63"/>
        <v/>
      </c>
      <c r="S502" s="244" t="str">
        <f t="shared" si="64"/>
        <v/>
      </c>
      <c r="T502" s="245" t="str">
        <f t="shared" si="65"/>
        <v/>
      </c>
      <c r="U502" s="246" t="str">
        <f t="shared" si="66"/>
        <v/>
      </c>
      <c r="V502" s="8"/>
      <c r="AR502" t="str">
        <f t="shared" si="67"/>
        <v/>
      </c>
      <c r="AS502" t="str">
        <f t="shared" si="62"/>
        <v/>
      </c>
    </row>
    <row r="503" spans="1:45" x14ac:dyDescent="0.3">
      <c r="A503" s="231"/>
      <c r="B503" s="235"/>
      <c r="C503" s="214"/>
      <c r="D503" s="214"/>
      <c r="E503" s="214"/>
      <c r="F503" s="214"/>
      <c r="G503" s="222"/>
      <c r="H503" s="221"/>
      <c r="I503" s="213"/>
      <c r="J503" s="213"/>
      <c r="K503" s="215"/>
      <c r="L503" s="216"/>
      <c r="M503" s="217"/>
      <c r="N503" s="176"/>
      <c r="O503" s="241" t="str">
        <f>IF(Q503 = "", "", COUNT(Q$4:$Q503))</f>
        <v/>
      </c>
      <c r="P503" s="241" t="str">
        <f t="shared" si="60"/>
        <v/>
      </c>
      <c r="Q503" s="242" t="str">
        <f t="shared" si="61"/>
        <v/>
      </c>
      <c r="R503" s="243" t="str">
        <f t="shared" si="63"/>
        <v/>
      </c>
      <c r="S503" s="244" t="str">
        <f t="shared" si="64"/>
        <v/>
      </c>
      <c r="T503" s="245" t="str">
        <f t="shared" si="65"/>
        <v/>
      </c>
      <c r="U503" s="246" t="str">
        <f t="shared" si="66"/>
        <v/>
      </c>
      <c r="V503" s="8"/>
      <c r="AR503" t="str">
        <f t="shared" si="67"/>
        <v/>
      </c>
      <c r="AS503" t="str">
        <f t="shared" si="62"/>
        <v/>
      </c>
    </row>
    <row r="504" spans="1:45" x14ac:dyDescent="0.3">
      <c r="A504" s="231"/>
      <c r="B504" s="235"/>
      <c r="C504" s="214"/>
      <c r="D504" s="214"/>
      <c r="E504" s="214"/>
      <c r="F504" s="214"/>
      <c r="G504" s="222"/>
      <c r="H504" s="221"/>
      <c r="I504" s="213"/>
      <c r="J504" s="213"/>
      <c r="K504" s="215"/>
      <c r="L504" s="216"/>
      <c r="M504" s="217"/>
      <c r="N504" s="176"/>
      <c r="O504" s="241" t="str">
        <f>IF(Q504 = "", "", COUNT(Q$4:$Q504))</f>
        <v/>
      </c>
      <c r="P504" s="241" t="str">
        <f t="shared" si="60"/>
        <v/>
      </c>
      <c r="Q504" s="242" t="str">
        <f t="shared" si="61"/>
        <v/>
      </c>
      <c r="R504" s="243" t="str">
        <f t="shared" si="63"/>
        <v/>
      </c>
      <c r="S504" s="244" t="str">
        <f t="shared" si="64"/>
        <v/>
      </c>
      <c r="T504" s="245" t="str">
        <f t="shared" si="65"/>
        <v/>
      </c>
      <c r="U504" s="246" t="str">
        <f t="shared" si="66"/>
        <v/>
      </c>
      <c r="V504" s="8"/>
      <c r="AR504" t="str">
        <f t="shared" si="67"/>
        <v/>
      </c>
      <c r="AS504" t="str">
        <f t="shared" si="62"/>
        <v/>
      </c>
    </row>
    <row r="505" spans="1:45" x14ac:dyDescent="0.3">
      <c r="A505" s="231"/>
      <c r="B505" s="235"/>
      <c r="C505" s="214"/>
      <c r="D505" s="214"/>
      <c r="E505" s="214"/>
      <c r="F505" s="214"/>
      <c r="G505" s="222"/>
      <c r="H505" s="221"/>
      <c r="I505" s="213"/>
      <c r="J505" s="213"/>
      <c r="K505" s="215"/>
      <c r="L505" s="216"/>
      <c r="M505" s="217"/>
      <c r="N505" s="176"/>
      <c r="O505" s="241" t="str">
        <f>IF(Q505 = "", "", COUNT(Q$4:$Q505))</f>
        <v/>
      </c>
      <c r="P505" s="241" t="str">
        <f t="shared" si="60"/>
        <v/>
      </c>
      <c r="Q505" s="242" t="str">
        <f t="shared" si="61"/>
        <v/>
      </c>
      <c r="R505" s="243" t="str">
        <f t="shared" si="63"/>
        <v/>
      </c>
      <c r="S505" s="244" t="str">
        <f t="shared" si="64"/>
        <v/>
      </c>
      <c r="T505" s="245" t="str">
        <f t="shared" si="65"/>
        <v/>
      </c>
      <c r="U505" s="246" t="str">
        <f t="shared" si="66"/>
        <v/>
      </c>
      <c r="V505" s="8"/>
      <c r="AR505" t="str">
        <f t="shared" si="67"/>
        <v/>
      </c>
      <c r="AS505" t="str">
        <f t="shared" si="62"/>
        <v/>
      </c>
    </row>
    <row r="506" spans="1:45" x14ac:dyDescent="0.3">
      <c r="A506" s="231"/>
      <c r="B506" s="235"/>
      <c r="C506" s="214"/>
      <c r="D506" s="214"/>
      <c r="E506" s="214"/>
      <c r="F506" s="214"/>
      <c r="G506" s="222"/>
      <c r="H506" s="221"/>
      <c r="I506" s="213"/>
      <c r="J506" s="213"/>
      <c r="K506" s="215"/>
      <c r="L506" s="216"/>
      <c r="M506" s="217"/>
      <c r="N506" s="176"/>
      <c r="O506" s="241" t="str">
        <f>IF(Q506 = "", "", COUNT(Q$4:$Q506))</f>
        <v/>
      </c>
      <c r="P506" s="241" t="str">
        <f t="shared" si="60"/>
        <v/>
      </c>
      <c r="Q506" s="242" t="str">
        <f t="shared" si="61"/>
        <v/>
      </c>
      <c r="R506" s="243" t="str">
        <f t="shared" si="63"/>
        <v/>
      </c>
      <c r="S506" s="244" t="str">
        <f t="shared" si="64"/>
        <v/>
      </c>
      <c r="T506" s="245" t="str">
        <f t="shared" si="65"/>
        <v/>
      </c>
      <c r="U506" s="246" t="str">
        <f t="shared" si="66"/>
        <v/>
      </c>
      <c r="V506" s="8"/>
      <c r="AR506" t="str">
        <f t="shared" si="67"/>
        <v/>
      </c>
      <c r="AS506" t="str">
        <f t="shared" si="62"/>
        <v/>
      </c>
    </row>
    <row r="507" spans="1:45" x14ac:dyDescent="0.3">
      <c r="A507" s="231"/>
      <c r="B507" s="235"/>
      <c r="C507" s="214"/>
      <c r="D507" s="214"/>
      <c r="E507" s="214"/>
      <c r="F507" s="214"/>
      <c r="G507" s="222"/>
      <c r="H507" s="221"/>
      <c r="I507" s="213"/>
      <c r="J507" s="213"/>
      <c r="K507" s="215"/>
      <c r="L507" s="216"/>
      <c r="M507" s="217"/>
      <c r="N507" s="176"/>
      <c r="O507" s="241" t="str">
        <f>IF(Q507 = "", "", COUNT(Q$4:$Q507))</f>
        <v/>
      </c>
      <c r="P507" s="241" t="str">
        <f t="shared" si="60"/>
        <v/>
      </c>
      <c r="Q507" s="242" t="str">
        <f t="shared" si="61"/>
        <v/>
      </c>
      <c r="R507" s="243" t="str">
        <f t="shared" si="63"/>
        <v/>
      </c>
      <c r="S507" s="244" t="str">
        <f t="shared" si="64"/>
        <v/>
      </c>
      <c r="T507" s="245" t="str">
        <f t="shared" si="65"/>
        <v/>
      </c>
      <c r="U507" s="246" t="str">
        <f t="shared" si="66"/>
        <v/>
      </c>
      <c r="V507" s="8"/>
      <c r="AR507" t="str">
        <f t="shared" si="67"/>
        <v/>
      </c>
      <c r="AS507" t="str">
        <f t="shared" si="62"/>
        <v/>
      </c>
    </row>
    <row r="508" spans="1:45" x14ac:dyDescent="0.3">
      <c r="A508" s="231"/>
      <c r="B508" s="235"/>
      <c r="C508" s="214"/>
      <c r="D508" s="214"/>
      <c r="E508" s="214"/>
      <c r="F508" s="214"/>
      <c r="G508" s="222"/>
      <c r="H508" s="221"/>
      <c r="I508" s="213"/>
      <c r="J508" s="213"/>
      <c r="K508" s="215"/>
      <c r="L508" s="216"/>
      <c r="M508" s="217"/>
      <c r="N508" s="176"/>
      <c r="O508" s="241" t="str">
        <f>IF(Q508 = "", "", COUNT(Q$4:$Q508))</f>
        <v/>
      </c>
      <c r="P508" s="241" t="str">
        <f t="shared" si="60"/>
        <v/>
      </c>
      <c r="Q508" s="242" t="str">
        <f t="shared" si="61"/>
        <v/>
      </c>
      <c r="R508" s="243" t="str">
        <f t="shared" si="63"/>
        <v/>
      </c>
      <c r="S508" s="244" t="str">
        <f t="shared" si="64"/>
        <v/>
      </c>
      <c r="T508" s="245" t="str">
        <f t="shared" si="65"/>
        <v/>
      </c>
      <c r="U508" s="246" t="str">
        <f t="shared" si="66"/>
        <v/>
      </c>
      <c r="V508" s="8"/>
      <c r="AR508" t="str">
        <f t="shared" si="67"/>
        <v/>
      </c>
      <c r="AS508" t="str">
        <f t="shared" si="62"/>
        <v/>
      </c>
    </row>
    <row r="509" spans="1:45" x14ac:dyDescent="0.3">
      <c r="A509" s="231"/>
      <c r="B509" s="235"/>
      <c r="C509" s="214"/>
      <c r="D509" s="214"/>
      <c r="E509" s="214"/>
      <c r="F509" s="214"/>
      <c r="G509" s="222"/>
      <c r="H509" s="221"/>
      <c r="I509" s="213"/>
      <c r="J509" s="213"/>
      <c r="K509" s="215"/>
      <c r="L509" s="216"/>
      <c r="M509" s="217"/>
      <c r="N509" s="176"/>
      <c r="O509" s="241" t="str">
        <f>IF(Q509 = "", "", COUNT(Q$4:$Q509))</f>
        <v/>
      </c>
      <c r="P509" s="241" t="str">
        <f t="shared" si="60"/>
        <v/>
      </c>
      <c r="Q509" s="242" t="str">
        <f t="shared" si="61"/>
        <v/>
      </c>
      <c r="R509" s="243" t="str">
        <f t="shared" si="63"/>
        <v/>
      </c>
      <c r="S509" s="244" t="str">
        <f t="shared" si="64"/>
        <v/>
      </c>
      <c r="T509" s="245" t="str">
        <f t="shared" si="65"/>
        <v/>
      </c>
      <c r="U509" s="246" t="str">
        <f t="shared" si="66"/>
        <v/>
      </c>
      <c r="V509" s="8"/>
      <c r="AR509" t="str">
        <f t="shared" si="67"/>
        <v/>
      </c>
      <c r="AS509" t="str">
        <f t="shared" si="62"/>
        <v/>
      </c>
    </row>
    <row r="510" spans="1:45" x14ac:dyDescent="0.3">
      <c r="A510" s="231"/>
      <c r="B510" s="235"/>
      <c r="C510" s="214"/>
      <c r="D510" s="214"/>
      <c r="E510" s="214"/>
      <c r="F510" s="214"/>
      <c r="G510" s="222"/>
      <c r="H510" s="221"/>
      <c r="I510" s="213"/>
      <c r="J510" s="213"/>
      <c r="K510" s="215"/>
      <c r="L510" s="216"/>
      <c r="M510" s="217"/>
      <c r="N510" s="176"/>
      <c r="O510" s="241" t="str">
        <f>IF(Q510 = "", "", COUNT(Q$4:$Q510))</f>
        <v/>
      </c>
      <c r="P510" s="241" t="str">
        <f t="shared" si="60"/>
        <v/>
      </c>
      <c r="Q510" s="242" t="str">
        <f t="shared" si="61"/>
        <v/>
      </c>
      <c r="R510" s="243" t="str">
        <f t="shared" si="63"/>
        <v/>
      </c>
      <c r="S510" s="244" t="str">
        <f t="shared" si="64"/>
        <v/>
      </c>
      <c r="T510" s="245" t="str">
        <f t="shared" si="65"/>
        <v/>
      </c>
      <c r="U510" s="246" t="str">
        <f t="shared" si="66"/>
        <v/>
      </c>
      <c r="V510" s="8"/>
      <c r="AR510" t="str">
        <f t="shared" si="67"/>
        <v/>
      </c>
      <c r="AS510" t="str">
        <f t="shared" si="62"/>
        <v/>
      </c>
    </row>
    <row r="511" spans="1:45" x14ac:dyDescent="0.3">
      <c r="A511" s="231"/>
      <c r="B511" s="235"/>
      <c r="C511" s="214"/>
      <c r="D511" s="214"/>
      <c r="E511" s="214"/>
      <c r="F511" s="214"/>
      <c r="G511" s="222"/>
      <c r="H511" s="221"/>
      <c r="I511" s="213"/>
      <c r="J511" s="213"/>
      <c r="K511" s="215"/>
      <c r="L511" s="216"/>
      <c r="M511" s="217"/>
      <c r="N511" s="176"/>
      <c r="O511" s="241" t="str">
        <f>IF(Q511 = "", "", COUNT(Q$4:$Q511))</f>
        <v/>
      </c>
      <c r="P511" s="241" t="str">
        <f t="shared" si="60"/>
        <v/>
      </c>
      <c r="Q511" s="242" t="str">
        <f t="shared" si="61"/>
        <v/>
      </c>
      <c r="R511" s="243" t="str">
        <f t="shared" si="63"/>
        <v/>
      </c>
      <c r="S511" s="244" t="str">
        <f t="shared" si="64"/>
        <v/>
      </c>
      <c r="T511" s="245" t="str">
        <f t="shared" si="65"/>
        <v/>
      </c>
      <c r="U511" s="246" t="str">
        <f t="shared" si="66"/>
        <v/>
      </c>
      <c r="V511" s="8"/>
      <c r="AR511" t="str">
        <f t="shared" si="67"/>
        <v/>
      </c>
      <c r="AS511" t="str">
        <f t="shared" si="62"/>
        <v/>
      </c>
    </row>
    <row r="512" spans="1:45" x14ac:dyDescent="0.3">
      <c r="A512" s="231"/>
      <c r="B512" s="235"/>
      <c r="C512" s="214"/>
      <c r="D512" s="214"/>
      <c r="E512" s="214"/>
      <c r="F512" s="214"/>
      <c r="G512" s="222"/>
      <c r="H512" s="221"/>
      <c r="I512" s="213"/>
      <c r="J512" s="213"/>
      <c r="K512" s="215"/>
      <c r="L512" s="216"/>
      <c r="M512" s="217"/>
      <c r="N512" s="176"/>
      <c r="O512" s="241" t="str">
        <f>IF(Q512 = "", "", COUNT(Q$4:$Q512))</f>
        <v/>
      </c>
      <c r="P512" s="241" t="str">
        <f t="shared" si="60"/>
        <v/>
      </c>
      <c r="Q512" s="242" t="str">
        <f t="shared" si="61"/>
        <v/>
      </c>
      <c r="R512" s="243" t="str">
        <f t="shared" si="63"/>
        <v/>
      </c>
      <c r="S512" s="244" t="str">
        <f t="shared" si="64"/>
        <v/>
      </c>
      <c r="T512" s="245" t="str">
        <f t="shared" si="65"/>
        <v/>
      </c>
      <c r="U512" s="246" t="str">
        <f t="shared" si="66"/>
        <v/>
      </c>
      <c r="V512" s="8"/>
      <c r="AR512" t="str">
        <f t="shared" si="67"/>
        <v/>
      </c>
      <c r="AS512" t="str">
        <f t="shared" si="62"/>
        <v/>
      </c>
    </row>
    <row r="513" spans="1:45" x14ac:dyDescent="0.3">
      <c r="A513" s="231"/>
      <c r="B513" s="235"/>
      <c r="C513" s="214"/>
      <c r="D513" s="214"/>
      <c r="E513" s="214"/>
      <c r="F513" s="214"/>
      <c r="G513" s="222"/>
      <c r="H513" s="221"/>
      <c r="I513" s="213"/>
      <c r="J513" s="213"/>
      <c r="K513" s="215"/>
      <c r="L513" s="216"/>
      <c r="M513" s="217"/>
      <c r="N513" s="176"/>
      <c r="O513" s="241" t="str">
        <f>IF(Q513 = "", "", COUNT(Q$4:$Q513))</f>
        <v/>
      </c>
      <c r="P513" s="241" t="str">
        <f t="shared" si="60"/>
        <v/>
      </c>
      <c r="Q513" s="242" t="str">
        <f t="shared" si="61"/>
        <v/>
      </c>
      <c r="R513" s="243" t="str">
        <f t="shared" si="63"/>
        <v/>
      </c>
      <c r="S513" s="244" t="str">
        <f t="shared" si="64"/>
        <v/>
      </c>
      <c r="T513" s="245" t="str">
        <f t="shared" si="65"/>
        <v/>
      </c>
      <c r="U513" s="246" t="str">
        <f t="shared" si="66"/>
        <v/>
      </c>
      <c r="V513" s="8"/>
      <c r="AR513" t="str">
        <f t="shared" si="67"/>
        <v/>
      </c>
      <c r="AS513" t="str">
        <f t="shared" si="62"/>
        <v/>
      </c>
    </row>
    <row r="514" spans="1:45" x14ac:dyDescent="0.3">
      <c r="A514" s="231"/>
      <c r="B514" s="235"/>
      <c r="C514" s="214"/>
      <c r="D514" s="214"/>
      <c r="E514" s="214"/>
      <c r="F514" s="214"/>
      <c r="G514" s="222"/>
      <c r="H514" s="221"/>
      <c r="I514" s="213"/>
      <c r="J514" s="213"/>
      <c r="K514" s="215"/>
      <c r="L514" s="216"/>
      <c r="M514" s="217"/>
      <c r="N514" s="176"/>
      <c r="O514" s="241" t="str">
        <f>IF(Q514 = "", "", COUNT(Q$4:$Q514))</f>
        <v/>
      </c>
      <c r="P514" s="241" t="str">
        <f t="shared" si="60"/>
        <v/>
      </c>
      <c r="Q514" s="242" t="str">
        <f t="shared" si="61"/>
        <v/>
      </c>
      <c r="R514" s="243" t="str">
        <f t="shared" si="63"/>
        <v/>
      </c>
      <c r="S514" s="244" t="str">
        <f t="shared" si="64"/>
        <v/>
      </c>
      <c r="T514" s="245" t="str">
        <f t="shared" si="65"/>
        <v/>
      </c>
      <c r="U514" s="246" t="str">
        <f t="shared" si="66"/>
        <v/>
      </c>
      <c r="V514" s="8"/>
      <c r="AR514" t="str">
        <f t="shared" si="67"/>
        <v/>
      </c>
      <c r="AS514" t="str">
        <f t="shared" si="62"/>
        <v/>
      </c>
    </row>
    <row r="515" spans="1:45" x14ac:dyDescent="0.3">
      <c r="A515" s="231"/>
      <c r="B515" s="235"/>
      <c r="C515" s="214"/>
      <c r="D515" s="214"/>
      <c r="E515" s="214"/>
      <c r="F515" s="214"/>
      <c r="G515" s="222"/>
      <c r="H515" s="221"/>
      <c r="I515" s="213"/>
      <c r="J515" s="213"/>
      <c r="K515" s="215"/>
      <c r="L515" s="216"/>
      <c r="M515" s="217"/>
      <c r="N515" s="176"/>
      <c r="O515" s="241" t="str">
        <f>IF(Q515 = "", "", COUNT(Q$4:$Q515))</f>
        <v/>
      </c>
      <c r="P515" s="241" t="str">
        <f t="shared" si="60"/>
        <v/>
      </c>
      <c r="Q515" s="242" t="str">
        <f t="shared" si="61"/>
        <v/>
      </c>
      <c r="R515" s="243" t="str">
        <f t="shared" si="63"/>
        <v/>
      </c>
      <c r="S515" s="244" t="str">
        <f t="shared" si="64"/>
        <v/>
      </c>
      <c r="T515" s="245" t="str">
        <f t="shared" si="65"/>
        <v/>
      </c>
      <c r="U515" s="246" t="str">
        <f t="shared" si="66"/>
        <v/>
      </c>
      <c r="V515" s="8"/>
      <c r="AR515" t="str">
        <f t="shared" si="67"/>
        <v/>
      </c>
      <c r="AS515" t="str">
        <f t="shared" si="62"/>
        <v/>
      </c>
    </row>
    <row r="516" spans="1:45" x14ac:dyDescent="0.3">
      <c r="A516" s="231"/>
      <c r="B516" s="235"/>
      <c r="C516" s="214"/>
      <c r="D516" s="214"/>
      <c r="E516" s="214"/>
      <c r="F516" s="214"/>
      <c r="G516" s="222"/>
      <c r="H516" s="221"/>
      <c r="I516" s="213"/>
      <c r="J516" s="213"/>
      <c r="K516" s="215"/>
      <c r="L516" s="216"/>
      <c r="M516" s="217"/>
      <c r="N516" s="176"/>
      <c r="O516" s="241" t="str">
        <f>IF(Q516 = "", "", COUNT(Q$4:$Q516))</f>
        <v/>
      </c>
      <c r="P516" s="241" t="str">
        <f t="shared" ref="P516:P579" si="68">IF(C516 &gt; 0, YEAR(B516), "")</f>
        <v/>
      </c>
      <c r="Q516" s="242" t="str">
        <f t="shared" ref="Q516:Q579" si="69">IF(A516="", "", IF(G516="",1,IF(G516="O",1,IF(G516="C",8.4,IF(G516="B",8.4,IF(G516="A",76.8,IF(G516="K",76.8,"ERR")))))))</f>
        <v/>
      </c>
      <c r="R516" s="243" t="str">
        <f t="shared" si="63"/>
        <v/>
      </c>
      <c r="S516" s="244" t="str">
        <f t="shared" si="64"/>
        <v/>
      </c>
      <c r="T516" s="245" t="str">
        <f t="shared" si="65"/>
        <v/>
      </c>
      <c r="U516" s="246" t="str">
        <f t="shared" si="66"/>
        <v/>
      </c>
      <c r="V516" s="8"/>
      <c r="AR516" t="str">
        <f t="shared" si="67"/>
        <v/>
      </c>
      <c r="AS516" t="str">
        <f t="shared" ref="AS516:AS579" si="70">IF(OR(L516="Y",M516="Y"),"Y","")</f>
        <v/>
      </c>
    </row>
    <row r="517" spans="1:45" x14ac:dyDescent="0.3">
      <c r="A517" s="231"/>
      <c r="B517" s="235"/>
      <c r="C517" s="214"/>
      <c r="D517" s="214"/>
      <c r="E517" s="214"/>
      <c r="F517" s="214"/>
      <c r="G517" s="222"/>
      <c r="H517" s="221"/>
      <c r="I517" s="213"/>
      <c r="J517" s="213"/>
      <c r="K517" s="215"/>
      <c r="L517" s="216"/>
      <c r="M517" s="217"/>
      <c r="N517" s="176"/>
      <c r="O517" s="241" t="str">
        <f>IF(Q517 = "", "", COUNT(Q$4:$Q517))</f>
        <v/>
      </c>
      <c r="P517" s="241" t="str">
        <f t="shared" si="68"/>
        <v/>
      </c>
      <c r="Q517" s="242" t="str">
        <f t="shared" si="69"/>
        <v/>
      </c>
      <c r="R517" s="243" t="str">
        <f t="shared" ref="R517:R580" si="71">IF(L517&lt;&gt;"",Q517,"")</f>
        <v/>
      </c>
      <c r="S517" s="244" t="str">
        <f t="shared" ref="S517:S580" si="72">IF(IF(L517&lt;&gt;"",G517,"")=0, "O", IF(L517&lt;&gt;"",G517,""))</f>
        <v/>
      </c>
      <c r="T517" s="245" t="str">
        <f t="shared" ref="T517:T580" si="73">IF(M517&lt;&gt;"",Q517,"")</f>
        <v/>
      </c>
      <c r="U517" s="246" t="str">
        <f t="shared" ref="U517:U580" si="74">IF(IF(M517&lt;&gt;"",G517,"")=0, "O", IF(M517&lt;&gt;"",G517,""))</f>
        <v/>
      </c>
      <c r="V517" s="8"/>
      <c r="AR517" t="str">
        <f t="shared" ref="AR517:AR580" si="75">IF(O517&gt;0, O517, "")</f>
        <v/>
      </c>
      <c r="AS517" t="str">
        <f t="shared" si="70"/>
        <v/>
      </c>
    </row>
    <row r="518" spans="1:45" x14ac:dyDescent="0.3">
      <c r="A518" s="231"/>
      <c r="B518" s="235"/>
      <c r="C518" s="214"/>
      <c r="D518" s="214"/>
      <c r="E518" s="214"/>
      <c r="F518" s="214"/>
      <c r="G518" s="222"/>
      <c r="H518" s="221"/>
      <c r="I518" s="213"/>
      <c r="J518" s="213"/>
      <c r="K518" s="215"/>
      <c r="L518" s="216"/>
      <c r="M518" s="217"/>
      <c r="N518" s="176"/>
      <c r="O518" s="241" t="str">
        <f>IF(Q518 = "", "", COUNT(Q$4:$Q518))</f>
        <v/>
      </c>
      <c r="P518" s="241" t="str">
        <f t="shared" si="68"/>
        <v/>
      </c>
      <c r="Q518" s="242" t="str">
        <f t="shared" si="69"/>
        <v/>
      </c>
      <c r="R518" s="243" t="str">
        <f t="shared" si="71"/>
        <v/>
      </c>
      <c r="S518" s="244" t="str">
        <f t="shared" si="72"/>
        <v/>
      </c>
      <c r="T518" s="245" t="str">
        <f t="shared" si="73"/>
        <v/>
      </c>
      <c r="U518" s="246" t="str">
        <f t="shared" si="74"/>
        <v/>
      </c>
      <c r="V518" s="8"/>
      <c r="AR518" t="str">
        <f t="shared" si="75"/>
        <v/>
      </c>
      <c r="AS518" t="str">
        <f t="shared" si="70"/>
        <v/>
      </c>
    </row>
    <row r="519" spans="1:45" x14ac:dyDescent="0.3">
      <c r="A519" s="231"/>
      <c r="B519" s="235"/>
      <c r="C519" s="214"/>
      <c r="D519" s="214"/>
      <c r="E519" s="214"/>
      <c r="F519" s="214"/>
      <c r="G519" s="222"/>
      <c r="H519" s="221"/>
      <c r="I519" s="213"/>
      <c r="J519" s="213"/>
      <c r="K519" s="215"/>
      <c r="L519" s="216"/>
      <c r="M519" s="217"/>
      <c r="N519" s="176"/>
      <c r="O519" s="241" t="str">
        <f>IF(Q519 = "", "", COUNT(Q$4:$Q519))</f>
        <v/>
      </c>
      <c r="P519" s="241" t="str">
        <f t="shared" si="68"/>
        <v/>
      </c>
      <c r="Q519" s="242" t="str">
        <f t="shared" si="69"/>
        <v/>
      </c>
      <c r="R519" s="243" t="str">
        <f t="shared" si="71"/>
        <v/>
      </c>
      <c r="S519" s="244" t="str">
        <f t="shared" si="72"/>
        <v/>
      </c>
      <c r="T519" s="245" t="str">
        <f t="shared" si="73"/>
        <v/>
      </c>
      <c r="U519" s="246" t="str">
        <f t="shared" si="74"/>
        <v/>
      </c>
      <c r="V519" s="8"/>
      <c r="AR519" t="str">
        <f t="shared" si="75"/>
        <v/>
      </c>
      <c r="AS519" t="str">
        <f t="shared" si="70"/>
        <v/>
      </c>
    </row>
    <row r="520" spans="1:45" x14ac:dyDescent="0.3">
      <c r="A520" s="231"/>
      <c r="B520" s="235"/>
      <c r="C520" s="214"/>
      <c r="D520" s="214"/>
      <c r="E520" s="214"/>
      <c r="F520" s="214"/>
      <c r="G520" s="222"/>
      <c r="H520" s="221"/>
      <c r="I520" s="213"/>
      <c r="J520" s="213"/>
      <c r="K520" s="215"/>
      <c r="L520" s="216"/>
      <c r="M520" s="217"/>
      <c r="N520" s="176"/>
      <c r="O520" s="241" t="str">
        <f>IF(Q520 = "", "", COUNT(Q$4:$Q520))</f>
        <v/>
      </c>
      <c r="P520" s="241" t="str">
        <f t="shared" si="68"/>
        <v/>
      </c>
      <c r="Q520" s="242" t="str">
        <f t="shared" si="69"/>
        <v/>
      </c>
      <c r="R520" s="243" t="str">
        <f t="shared" si="71"/>
        <v/>
      </c>
      <c r="S520" s="244" t="str">
        <f t="shared" si="72"/>
        <v/>
      </c>
      <c r="T520" s="245" t="str">
        <f t="shared" si="73"/>
        <v/>
      </c>
      <c r="U520" s="246" t="str">
        <f t="shared" si="74"/>
        <v/>
      </c>
      <c r="V520" s="8"/>
      <c r="AR520" t="str">
        <f t="shared" si="75"/>
        <v/>
      </c>
      <c r="AS520" t="str">
        <f t="shared" si="70"/>
        <v/>
      </c>
    </row>
    <row r="521" spans="1:45" x14ac:dyDescent="0.3">
      <c r="A521" s="231"/>
      <c r="B521" s="235"/>
      <c r="C521" s="214"/>
      <c r="D521" s="214"/>
      <c r="E521" s="214"/>
      <c r="F521" s="214"/>
      <c r="G521" s="222"/>
      <c r="H521" s="221"/>
      <c r="I521" s="213"/>
      <c r="J521" s="213"/>
      <c r="K521" s="215"/>
      <c r="L521" s="216"/>
      <c r="M521" s="217"/>
      <c r="N521" s="176"/>
      <c r="O521" s="241" t="str">
        <f>IF(Q521 = "", "", COUNT(Q$4:$Q521))</f>
        <v/>
      </c>
      <c r="P521" s="241" t="str">
        <f t="shared" si="68"/>
        <v/>
      </c>
      <c r="Q521" s="242" t="str">
        <f t="shared" si="69"/>
        <v/>
      </c>
      <c r="R521" s="243" t="str">
        <f t="shared" si="71"/>
        <v/>
      </c>
      <c r="S521" s="244" t="str">
        <f t="shared" si="72"/>
        <v/>
      </c>
      <c r="T521" s="245" t="str">
        <f t="shared" si="73"/>
        <v/>
      </c>
      <c r="U521" s="246" t="str">
        <f t="shared" si="74"/>
        <v/>
      </c>
      <c r="V521" s="8"/>
      <c r="AR521" t="str">
        <f t="shared" si="75"/>
        <v/>
      </c>
      <c r="AS521" t="str">
        <f t="shared" si="70"/>
        <v/>
      </c>
    </row>
    <row r="522" spans="1:45" x14ac:dyDescent="0.3">
      <c r="A522" s="231"/>
      <c r="B522" s="235"/>
      <c r="C522" s="214"/>
      <c r="D522" s="214"/>
      <c r="E522" s="214"/>
      <c r="F522" s="214"/>
      <c r="G522" s="222"/>
      <c r="H522" s="221"/>
      <c r="I522" s="213"/>
      <c r="J522" s="213"/>
      <c r="K522" s="215"/>
      <c r="L522" s="216"/>
      <c r="M522" s="217"/>
      <c r="N522" s="176"/>
      <c r="O522" s="241" t="str">
        <f>IF(Q522 = "", "", COUNT(Q$4:$Q522))</f>
        <v/>
      </c>
      <c r="P522" s="241" t="str">
        <f t="shared" si="68"/>
        <v/>
      </c>
      <c r="Q522" s="242" t="str">
        <f t="shared" si="69"/>
        <v/>
      </c>
      <c r="R522" s="243" t="str">
        <f t="shared" si="71"/>
        <v/>
      </c>
      <c r="S522" s="244" t="str">
        <f t="shared" si="72"/>
        <v/>
      </c>
      <c r="T522" s="245" t="str">
        <f t="shared" si="73"/>
        <v/>
      </c>
      <c r="U522" s="246" t="str">
        <f t="shared" si="74"/>
        <v/>
      </c>
      <c r="V522" s="8"/>
      <c r="AR522" t="str">
        <f t="shared" si="75"/>
        <v/>
      </c>
      <c r="AS522" t="str">
        <f t="shared" si="70"/>
        <v/>
      </c>
    </row>
    <row r="523" spans="1:45" x14ac:dyDescent="0.3">
      <c r="A523" s="231"/>
      <c r="B523" s="235"/>
      <c r="C523" s="214"/>
      <c r="D523" s="214"/>
      <c r="E523" s="214"/>
      <c r="F523" s="214"/>
      <c r="G523" s="222"/>
      <c r="H523" s="221"/>
      <c r="I523" s="213"/>
      <c r="J523" s="213"/>
      <c r="K523" s="215"/>
      <c r="L523" s="216"/>
      <c r="M523" s="217"/>
      <c r="N523" s="176"/>
      <c r="O523" s="241" t="str">
        <f>IF(Q523 = "", "", COUNT(Q$4:$Q523))</f>
        <v/>
      </c>
      <c r="P523" s="241" t="str">
        <f t="shared" si="68"/>
        <v/>
      </c>
      <c r="Q523" s="242" t="str">
        <f t="shared" si="69"/>
        <v/>
      </c>
      <c r="R523" s="243" t="str">
        <f t="shared" si="71"/>
        <v/>
      </c>
      <c r="S523" s="244" t="str">
        <f t="shared" si="72"/>
        <v/>
      </c>
      <c r="T523" s="245" t="str">
        <f t="shared" si="73"/>
        <v/>
      </c>
      <c r="U523" s="246" t="str">
        <f t="shared" si="74"/>
        <v/>
      </c>
      <c r="V523" s="8"/>
      <c r="AR523" t="str">
        <f t="shared" si="75"/>
        <v/>
      </c>
      <c r="AS523" t="str">
        <f t="shared" si="70"/>
        <v/>
      </c>
    </row>
    <row r="524" spans="1:45" x14ac:dyDescent="0.3">
      <c r="A524" s="231"/>
      <c r="B524" s="235"/>
      <c r="C524" s="214"/>
      <c r="D524" s="214"/>
      <c r="E524" s="214"/>
      <c r="F524" s="214"/>
      <c r="G524" s="222"/>
      <c r="H524" s="221"/>
      <c r="I524" s="213"/>
      <c r="J524" s="213"/>
      <c r="K524" s="215"/>
      <c r="L524" s="216"/>
      <c r="M524" s="217"/>
      <c r="N524" s="176"/>
      <c r="O524" s="241" t="str">
        <f>IF(Q524 = "", "", COUNT(Q$4:$Q524))</f>
        <v/>
      </c>
      <c r="P524" s="241" t="str">
        <f t="shared" si="68"/>
        <v/>
      </c>
      <c r="Q524" s="242" t="str">
        <f t="shared" si="69"/>
        <v/>
      </c>
      <c r="R524" s="243" t="str">
        <f t="shared" si="71"/>
        <v/>
      </c>
      <c r="S524" s="244" t="str">
        <f t="shared" si="72"/>
        <v/>
      </c>
      <c r="T524" s="245" t="str">
        <f t="shared" si="73"/>
        <v/>
      </c>
      <c r="U524" s="246" t="str">
        <f t="shared" si="74"/>
        <v/>
      </c>
      <c r="V524" s="8"/>
      <c r="AR524" t="str">
        <f t="shared" si="75"/>
        <v/>
      </c>
      <c r="AS524" t="str">
        <f t="shared" si="70"/>
        <v/>
      </c>
    </row>
    <row r="525" spans="1:45" x14ac:dyDescent="0.3">
      <c r="A525" s="231"/>
      <c r="B525" s="235"/>
      <c r="C525" s="214"/>
      <c r="D525" s="214"/>
      <c r="E525" s="214"/>
      <c r="F525" s="214"/>
      <c r="G525" s="222"/>
      <c r="H525" s="221"/>
      <c r="I525" s="213"/>
      <c r="J525" s="213"/>
      <c r="K525" s="215"/>
      <c r="L525" s="216"/>
      <c r="M525" s="217"/>
      <c r="N525" s="176"/>
      <c r="O525" s="241" t="str">
        <f>IF(Q525 = "", "", COUNT(Q$4:$Q525))</f>
        <v/>
      </c>
      <c r="P525" s="241" t="str">
        <f t="shared" si="68"/>
        <v/>
      </c>
      <c r="Q525" s="242" t="str">
        <f t="shared" si="69"/>
        <v/>
      </c>
      <c r="R525" s="243" t="str">
        <f t="shared" si="71"/>
        <v/>
      </c>
      <c r="S525" s="244" t="str">
        <f t="shared" si="72"/>
        <v/>
      </c>
      <c r="T525" s="245" t="str">
        <f t="shared" si="73"/>
        <v/>
      </c>
      <c r="U525" s="246" t="str">
        <f t="shared" si="74"/>
        <v/>
      </c>
      <c r="V525" s="8"/>
      <c r="AR525" t="str">
        <f t="shared" si="75"/>
        <v/>
      </c>
      <c r="AS525" t="str">
        <f t="shared" si="70"/>
        <v/>
      </c>
    </row>
    <row r="526" spans="1:45" x14ac:dyDescent="0.3">
      <c r="A526" s="231"/>
      <c r="B526" s="235"/>
      <c r="C526" s="214"/>
      <c r="D526" s="214"/>
      <c r="E526" s="214"/>
      <c r="F526" s="214"/>
      <c r="G526" s="222"/>
      <c r="H526" s="221"/>
      <c r="I526" s="213"/>
      <c r="J526" s="213"/>
      <c r="K526" s="215"/>
      <c r="L526" s="216"/>
      <c r="M526" s="217"/>
      <c r="N526" s="176"/>
      <c r="O526" s="241" t="str">
        <f>IF(Q526 = "", "", COUNT(Q$4:$Q526))</f>
        <v/>
      </c>
      <c r="P526" s="241" t="str">
        <f t="shared" si="68"/>
        <v/>
      </c>
      <c r="Q526" s="242" t="str">
        <f t="shared" si="69"/>
        <v/>
      </c>
      <c r="R526" s="243" t="str">
        <f t="shared" si="71"/>
        <v/>
      </c>
      <c r="S526" s="244" t="str">
        <f t="shared" si="72"/>
        <v/>
      </c>
      <c r="T526" s="245" t="str">
        <f t="shared" si="73"/>
        <v/>
      </c>
      <c r="U526" s="246" t="str">
        <f t="shared" si="74"/>
        <v/>
      </c>
      <c r="V526" s="8"/>
      <c r="AR526" t="str">
        <f t="shared" si="75"/>
        <v/>
      </c>
      <c r="AS526" t="str">
        <f t="shared" si="70"/>
        <v/>
      </c>
    </row>
    <row r="527" spans="1:45" x14ac:dyDescent="0.3">
      <c r="A527" s="231"/>
      <c r="B527" s="235"/>
      <c r="C527" s="214"/>
      <c r="D527" s="214"/>
      <c r="E527" s="214"/>
      <c r="F527" s="214"/>
      <c r="G527" s="222"/>
      <c r="H527" s="221"/>
      <c r="I527" s="213"/>
      <c r="J527" s="213"/>
      <c r="K527" s="215"/>
      <c r="L527" s="216"/>
      <c r="M527" s="217"/>
      <c r="N527" s="176"/>
      <c r="O527" s="241" t="str">
        <f>IF(Q527 = "", "", COUNT(Q$4:$Q527))</f>
        <v/>
      </c>
      <c r="P527" s="241" t="str">
        <f t="shared" si="68"/>
        <v/>
      </c>
      <c r="Q527" s="242" t="str">
        <f t="shared" si="69"/>
        <v/>
      </c>
      <c r="R527" s="243" t="str">
        <f t="shared" si="71"/>
        <v/>
      </c>
      <c r="S527" s="244" t="str">
        <f t="shared" si="72"/>
        <v/>
      </c>
      <c r="T527" s="245" t="str">
        <f t="shared" si="73"/>
        <v/>
      </c>
      <c r="U527" s="246" t="str">
        <f t="shared" si="74"/>
        <v/>
      </c>
      <c r="V527" s="8"/>
      <c r="AR527" t="str">
        <f t="shared" si="75"/>
        <v/>
      </c>
      <c r="AS527" t="str">
        <f t="shared" si="70"/>
        <v/>
      </c>
    </row>
    <row r="528" spans="1:45" x14ac:dyDescent="0.3">
      <c r="A528" s="231"/>
      <c r="B528" s="235"/>
      <c r="C528" s="214"/>
      <c r="D528" s="214"/>
      <c r="E528" s="214"/>
      <c r="F528" s="214"/>
      <c r="G528" s="222"/>
      <c r="H528" s="221"/>
      <c r="I528" s="213"/>
      <c r="J528" s="213"/>
      <c r="K528" s="215"/>
      <c r="L528" s="216"/>
      <c r="M528" s="217"/>
      <c r="N528" s="176"/>
      <c r="O528" s="241" t="str">
        <f>IF(Q528 = "", "", COUNT(Q$4:$Q528))</f>
        <v/>
      </c>
      <c r="P528" s="241" t="str">
        <f t="shared" si="68"/>
        <v/>
      </c>
      <c r="Q528" s="242" t="str">
        <f t="shared" si="69"/>
        <v/>
      </c>
      <c r="R528" s="243" t="str">
        <f t="shared" si="71"/>
        <v/>
      </c>
      <c r="S528" s="244" t="str">
        <f t="shared" si="72"/>
        <v/>
      </c>
      <c r="T528" s="245" t="str">
        <f t="shared" si="73"/>
        <v/>
      </c>
      <c r="U528" s="246" t="str">
        <f t="shared" si="74"/>
        <v/>
      </c>
      <c r="V528" s="8"/>
      <c r="AR528" t="str">
        <f t="shared" si="75"/>
        <v/>
      </c>
      <c r="AS528" t="str">
        <f t="shared" si="70"/>
        <v/>
      </c>
    </row>
    <row r="529" spans="1:45" x14ac:dyDescent="0.3">
      <c r="A529" s="231"/>
      <c r="B529" s="235"/>
      <c r="C529" s="214"/>
      <c r="D529" s="214"/>
      <c r="E529" s="214"/>
      <c r="F529" s="214"/>
      <c r="G529" s="222"/>
      <c r="H529" s="221"/>
      <c r="I529" s="213"/>
      <c r="J529" s="213"/>
      <c r="K529" s="215"/>
      <c r="L529" s="216"/>
      <c r="M529" s="217"/>
      <c r="N529" s="176"/>
      <c r="O529" s="241" t="str">
        <f>IF(Q529 = "", "", COUNT(Q$4:$Q529))</f>
        <v/>
      </c>
      <c r="P529" s="241" t="str">
        <f t="shared" si="68"/>
        <v/>
      </c>
      <c r="Q529" s="242" t="str">
        <f t="shared" si="69"/>
        <v/>
      </c>
      <c r="R529" s="243" t="str">
        <f t="shared" si="71"/>
        <v/>
      </c>
      <c r="S529" s="244" t="str">
        <f t="shared" si="72"/>
        <v/>
      </c>
      <c r="T529" s="245" t="str">
        <f t="shared" si="73"/>
        <v/>
      </c>
      <c r="U529" s="246" t="str">
        <f t="shared" si="74"/>
        <v/>
      </c>
      <c r="V529" s="8"/>
      <c r="AR529" t="str">
        <f t="shared" si="75"/>
        <v/>
      </c>
      <c r="AS529" t="str">
        <f t="shared" si="70"/>
        <v/>
      </c>
    </row>
    <row r="530" spans="1:45" x14ac:dyDescent="0.3">
      <c r="A530" s="231"/>
      <c r="B530" s="235"/>
      <c r="C530" s="214"/>
      <c r="D530" s="214"/>
      <c r="E530" s="214"/>
      <c r="F530" s="214"/>
      <c r="G530" s="222"/>
      <c r="H530" s="221"/>
      <c r="I530" s="213"/>
      <c r="J530" s="213"/>
      <c r="K530" s="215"/>
      <c r="L530" s="216"/>
      <c r="M530" s="217"/>
      <c r="N530" s="176"/>
      <c r="O530" s="241" t="str">
        <f>IF(Q530 = "", "", COUNT(Q$4:$Q530))</f>
        <v/>
      </c>
      <c r="P530" s="241" t="str">
        <f t="shared" si="68"/>
        <v/>
      </c>
      <c r="Q530" s="242" t="str">
        <f t="shared" si="69"/>
        <v/>
      </c>
      <c r="R530" s="243" t="str">
        <f t="shared" si="71"/>
        <v/>
      </c>
      <c r="S530" s="244" t="str">
        <f t="shared" si="72"/>
        <v/>
      </c>
      <c r="T530" s="245" t="str">
        <f t="shared" si="73"/>
        <v/>
      </c>
      <c r="U530" s="246" t="str">
        <f t="shared" si="74"/>
        <v/>
      </c>
      <c r="V530" s="8"/>
      <c r="AR530" t="str">
        <f t="shared" si="75"/>
        <v/>
      </c>
      <c r="AS530" t="str">
        <f t="shared" si="70"/>
        <v/>
      </c>
    </row>
    <row r="531" spans="1:45" x14ac:dyDescent="0.3">
      <c r="A531" s="231"/>
      <c r="B531" s="235"/>
      <c r="C531" s="214"/>
      <c r="D531" s="214"/>
      <c r="E531" s="214"/>
      <c r="F531" s="214"/>
      <c r="G531" s="222"/>
      <c r="H531" s="221"/>
      <c r="I531" s="213"/>
      <c r="J531" s="213"/>
      <c r="K531" s="215"/>
      <c r="L531" s="216"/>
      <c r="M531" s="217"/>
      <c r="N531" s="176"/>
      <c r="O531" s="241" t="str">
        <f>IF(Q531 = "", "", COUNT(Q$4:$Q531))</f>
        <v/>
      </c>
      <c r="P531" s="241" t="str">
        <f t="shared" si="68"/>
        <v/>
      </c>
      <c r="Q531" s="242" t="str">
        <f t="shared" si="69"/>
        <v/>
      </c>
      <c r="R531" s="243" t="str">
        <f t="shared" si="71"/>
        <v/>
      </c>
      <c r="S531" s="244" t="str">
        <f t="shared" si="72"/>
        <v/>
      </c>
      <c r="T531" s="245" t="str">
        <f t="shared" si="73"/>
        <v/>
      </c>
      <c r="U531" s="246" t="str">
        <f t="shared" si="74"/>
        <v/>
      </c>
      <c r="V531" s="8"/>
      <c r="AR531" t="str">
        <f t="shared" si="75"/>
        <v/>
      </c>
      <c r="AS531" t="str">
        <f t="shared" si="70"/>
        <v/>
      </c>
    </row>
    <row r="532" spans="1:45" x14ac:dyDescent="0.3">
      <c r="A532" s="231"/>
      <c r="B532" s="235"/>
      <c r="C532" s="214"/>
      <c r="D532" s="214"/>
      <c r="E532" s="214"/>
      <c r="F532" s="214"/>
      <c r="G532" s="222"/>
      <c r="H532" s="221"/>
      <c r="I532" s="213"/>
      <c r="J532" s="213"/>
      <c r="K532" s="215"/>
      <c r="L532" s="216"/>
      <c r="M532" s="217"/>
      <c r="N532" s="176"/>
      <c r="O532" s="241" t="str">
        <f>IF(Q532 = "", "", COUNT(Q$4:$Q532))</f>
        <v/>
      </c>
      <c r="P532" s="241" t="str">
        <f t="shared" si="68"/>
        <v/>
      </c>
      <c r="Q532" s="242" t="str">
        <f t="shared" si="69"/>
        <v/>
      </c>
      <c r="R532" s="243" t="str">
        <f t="shared" si="71"/>
        <v/>
      </c>
      <c r="S532" s="244" t="str">
        <f t="shared" si="72"/>
        <v/>
      </c>
      <c r="T532" s="245" t="str">
        <f t="shared" si="73"/>
        <v/>
      </c>
      <c r="U532" s="246" t="str">
        <f t="shared" si="74"/>
        <v/>
      </c>
      <c r="V532" s="8"/>
      <c r="AR532" t="str">
        <f t="shared" si="75"/>
        <v/>
      </c>
      <c r="AS532" t="str">
        <f t="shared" si="70"/>
        <v/>
      </c>
    </row>
    <row r="533" spans="1:45" x14ac:dyDescent="0.3">
      <c r="A533" s="231"/>
      <c r="B533" s="235"/>
      <c r="C533" s="214"/>
      <c r="D533" s="214"/>
      <c r="E533" s="214"/>
      <c r="F533" s="214"/>
      <c r="G533" s="222"/>
      <c r="H533" s="221"/>
      <c r="I533" s="213"/>
      <c r="J533" s="213"/>
      <c r="K533" s="215"/>
      <c r="L533" s="216"/>
      <c r="M533" s="217"/>
      <c r="N533" s="176"/>
      <c r="O533" s="241" t="str">
        <f>IF(Q533 = "", "", COUNT(Q$4:$Q533))</f>
        <v/>
      </c>
      <c r="P533" s="241" t="str">
        <f t="shared" si="68"/>
        <v/>
      </c>
      <c r="Q533" s="242" t="str">
        <f t="shared" si="69"/>
        <v/>
      </c>
      <c r="R533" s="243" t="str">
        <f t="shared" si="71"/>
        <v/>
      </c>
      <c r="S533" s="244" t="str">
        <f t="shared" si="72"/>
        <v/>
      </c>
      <c r="T533" s="245" t="str">
        <f t="shared" si="73"/>
        <v/>
      </c>
      <c r="U533" s="246" t="str">
        <f t="shared" si="74"/>
        <v/>
      </c>
      <c r="V533" s="8"/>
      <c r="AR533" t="str">
        <f t="shared" si="75"/>
        <v/>
      </c>
      <c r="AS533" t="str">
        <f t="shared" si="70"/>
        <v/>
      </c>
    </row>
    <row r="534" spans="1:45" x14ac:dyDescent="0.3">
      <c r="A534" s="231"/>
      <c r="B534" s="235"/>
      <c r="C534" s="214"/>
      <c r="D534" s="214"/>
      <c r="E534" s="214"/>
      <c r="F534" s="214"/>
      <c r="G534" s="222"/>
      <c r="H534" s="221"/>
      <c r="I534" s="213"/>
      <c r="J534" s="213"/>
      <c r="K534" s="215"/>
      <c r="L534" s="216"/>
      <c r="M534" s="217"/>
      <c r="N534" s="176"/>
      <c r="O534" s="241" t="str">
        <f>IF(Q534 = "", "", COUNT(Q$4:$Q534))</f>
        <v/>
      </c>
      <c r="P534" s="241" t="str">
        <f t="shared" si="68"/>
        <v/>
      </c>
      <c r="Q534" s="242" t="str">
        <f t="shared" si="69"/>
        <v/>
      </c>
      <c r="R534" s="243" t="str">
        <f t="shared" si="71"/>
        <v/>
      </c>
      <c r="S534" s="244" t="str">
        <f t="shared" si="72"/>
        <v/>
      </c>
      <c r="T534" s="245" t="str">
        <f t="shared" si="73"/>
        <v/>
      </c>
      <c r="U534" s="246" t="str">
        <f t="shared" si="74"/>
        <v/>
      </c>
      <c r="V534" s="8"/>
      <c r="AR534" t="str">
        <f t="shared" si="75"/>
        <v/>
      </c>
      <c r="AS534" t="str">
        <f t="shared" si="70"/>
        <v/>
      </c>
    </row>
    <row r="535" spans="1:45" x14ac:dyDescent="0.3">
      <c r="A535" s="231"/>
      <c r="B535" s="235"/>
      <c r="C535" s="214"/>
      <c r="D535" s="214"/>
      <c r="E535" s="214"/>
      <c r="F535" s="214"/>
      <c r="G535" s="222"/>
      <c r="H535" s="221"/>
      <c r="I535" s="213"/>
      <c r="J535" s="213"/>
      <c r="K535" s="215"/>
      <c r="L535" s="216"/>
      <c r="M535" s="217"/>
      <c r="N535" s="176"/>
      <c r="O535" s="241" t="str">
        <f>IF(Q535 = "", "", COUNT(Q$4:$Q535))</f>
        <v/>
      </c>
      <c r="P535" s="241" t="str">
        <f t="shared" si="68"/>
        <v/>
      </c>
      <c r="Q535" s="242" t="str">
        <f t="shared" si="69"/>
        <v/>
      </c>
      <c r="R535" s="243" t="str">
        <f t="shared" si="71"/>
        <v/>
      </c>
      <c r="S535" s="244" t="str">
        <f t="shared" si="72"/>
        <v/>
      </c>
      <c r="T535" s="245" t="str">
        <f t="shared" si="73"/>
        <v/>
      </c>
      <c r="U535" s="246" t="str">
        <f t="shared" si="74"/>
        <v/>
      </c>
      <c r="V535" s="8"/>
      <c r="AR535" t="str">
        <f t="shared" si="75"/>
        <v/>
      </c>
      <c r="AS535" t="str">
        <f t="shared" si="70"/>
        <v/>
      </c>
    </row>
    <row r="536" spans="1:45" x14ac:dyDescent="0.3">
      <c r="A536" s="231"/>
      <c r="B536" s="235"/>
      <c r="C536" s="214"/>
      <c r="D536" s="214"/>
      <c r="E536" s="214"/>
      <c r="F536" s="214"/>
      <c r="G536" s="222"/>
      <c r="H536" s="221"/>
      <c r="I536" s="213"/>
      <c r="J536" s="213"/>
      <c r="K536" s="215"/>
      <c r="L536" s="216"/>
      <c r="M536" s="217"/>
      <c r="N536" s="176"/>
      <c r="O536" s="241" t="str">
        <f>IF(Q536 = "", "", COUNT(Q$4:$Q536))</f>
        <v/>
      </c>
      <c r="P536" s="241" t="str">
        <f t="shared" si="68"/>
        <v/>
      </c>
      <c r="Q536" s="242" t="str">
        <f t="shared" si="69"/>
        <v/>
      </c>
      <c r="R536" s="243" t="str">
        <f t="shared" si="71"/>
        <v/>
      </c>
      <c r="S536" s="244" t="str">
        <f t="shared" si="72"/>
        <v/>
      </c>
      <c r="T536" s="245" t="str">
        <f t="shared" si="73"/>
        <v/>
      </c>
      <c r="U536" s="246" t="str">
        <f t="shared" si="74"/>
        <v/>
      </c>
      <c r="V536" s="8"/>
      <c r="AR536" t="str">
        <f t="shared" si="75"/>
        <v/>
      </c>
      <c r="AS536" t="str">
        <f t="shared" si="70"/>
        <v/>
      </c>
    </row>
    <row r="537" spans="1:45" x14ac:dyDescent="0.3">
      <c r="A537" s="231"/>
      <c r="B537" s="235"/>
      <c r="C537" s="214"/>
      <c r="D537" s="214"/>
      <c r="E537" s="214"/>
      <c r="F537" s="214"/>
      <c r="G537" s="222"/>
      <c r="H537" s="221"/>
      <c r="I537" s="213"/>
      <c r="J537" s="213"/>
      <c r="K537" s="215"/>
      <c r="L537" s="216"/>
      <c r="M537" s="217"/>
      <c r="N537" s="176"/>
      <c r="O537" s="241" t="str">
        <f>IF(Q537 = "", "", COUNT(Q$4:$Q537))</f>
        <v/>
      </c>
      <c r="P537" s="241" t="str">
        <f t="shared" si="68"/>
        <v/>
      </c>
      <c r="Q537" s="242" t="str">
        <f t="shared" si="69"/>
        <v/>
      </c>
      <c r="R537" s="243" t="str">
        <f t="shared" si="71"/>
        <v/>
      </c>
      <c r="S537" s="244" t="str">
        <f t="shared" si="72"/>
        <v/>
      </c>
      <c r="T537" s="245" t="str">
        <f t="shared" si="73"/>
        <v/>
      </c>
      <c r="U537" s="246" t="str">
        <f t="shared" si="74"/>
        <v/>
      </c>
      <c r="V537" s="8"/>
      <c r="AR537" t="str">
        <f t="shared" si="75"/>
        <v/>
      </c>
      <c r="AS537" t="str">
        <f t="shared" si="70"/>
        <v/>
      </c>
    </row>
    <row r="538" spans="1:45" x14ac:dyDescent="0.3">
      <c r="A538" s="231"/>
      <c r="B538" s="235"/>
      <c r="C538" s="214"/>
      <c r="D538" s="214"/>
      <c r="E538" s="214"/>
      <c r="F538" s="214"/>
      <c r="G538" s="222"/>
      <c r="H538" s="221"/>
      <c r="I538" s="213"/>
      <c r="J538" s="213"/>
      <c r="K538" s="215"/>
      <c r="L538" s="216"/>
      <c r="M538" s="217"/>
      <c r="N538" s="176"/>
      <c r="O538" s="241" t="str">
        <f>IF(Q538 = "", "", COUNT(Q$4:$Q538))</f>
        <v/>
      </c>
      <c r="P538" s="241" t="str">
        <f t="shared" si="68"/>
        <v/>
      </c>
      <c r="Q538" s="242" t="str">
        <f t="shared" si="69"/>
        <v/>
      </c>
      <c r="R538" s="243" t="str">
        <f t="shared" si="71"/>
        <v/>
      </c>
      <c r="S538" s="244" t="str">
        <f t="shared" si="72"/>
        <v/>
      </c>
      <c r="T538" s="245" t="str">
        <f t="shared" si="73"/>
        <v/>
      </c>
      <c r="U538" s="246" t="str">
        <f t="shared" si="74"/>
        <v/>
      </c>
      <c r="V538" s="8"/>
      <c r="AR538" t="str">
        <f t="shared" si="75"/>
        <v/>
      </c>
      <c r="AS538" t="str">
        <f t="shared" si="70"/>
        <v/>
      </c>
    </row>
    <row r="539" spans="1:45" x14ac:dyDescent="0.3">
      <c r="A539" s="231"/>
      <c r="B539" s="235"/>
      <c r="C539" s="214"/>
      <c r="D539" s="214"/>
      <c r="E539" s="214"/>
      <c r="F539" s="214"/>
      <c r="G539" s="222"/>
      <c r="H539" s="221"/>
      <c r="I539" s="213"/>
      <c r="J539" s="213"/>
      <c r="K539" s="215"/>
      <c r="L539" s="216"/>
      <c r="M539" s="217"/>
      <c r="N539" s="176"/>
      <c r="O539" s="241" t="str">
        <f>IF(Q539 = "", "", COUNT(Q$4:$Q539))</f>
        <v/>
      </c>
      <c r="P539" s="241" t="str">
        <f t="shared" si="68"/>
        <v/>
      </c>
      <c r="Q539" s="242" t="str">
        <f t="shared" si="69"/>
        <v/>
      </c>
      <c r="R539" s="243" t="str">
        <f t="shared" si="71"/>
        <v/>
      </c>
      <c r="S539" s="244" t="str">
        <f t="shared" si="72"/>
        <v/>
      </c>
      <c r="T539" s="245" t="str">
        <f t="shared" si="73"/>
        <v/>
      </c>
      <c r="U539" s="246" t="str">
        <f t="shared" si="74"/>
        <v/>
      </c>
      <c r="V539" s="8"/>
      <c r="AR539" t="str">
        <f t="shared" si="75"/>
        <v/>
      </c>
      <c r="AS539" t="str">
        <f t="shared" si="70"/>
        <v/>
      </c>
    </row>
    <row r="540" spans="1:45" x14ac:dyDescent="0.3">
      <c r="A540" s="231"/>
      <c r="B540" s="235"/>
      <c r="C540" s="214"/>
      <c r="D540" s="214"/>
      <c r="E540" s="214"/>
      <c r="F540" s="214"/>
      <c r="G540" s="222"/>
      <c r="H540" s="221"/>
      <c r="I540" s="213"/>
      <c r="J540" s="213"/>
      <c r="K540" s="215"/>
      <c r="L540" s="216"/>
      <c r="M540" s="217"/>
      <c r="N540" s="176"/>
      <c r="O540" s="241" t="str">
        <f>IF(Q540 = "", "", COUNT(Q$4:$Q540))</f>
        <v/>
      </c>
      <c r="P540" s="241" t="str">
        <f t="shared" si="68"/>
        <v/>
      </c>
      <c r="Q540" s="242" t="str">
        <f t="shared" si="69"/>
        <v/>
      </c>
      <c r="R540" s="243" t="str">
        <f t="shared" si="71"/>
        <v/>
      </c>
      <c r="S540" s="244" t="str">
        <f t="shared" si="72"/>
        <v/>
      </c>
      <c r="T540" s="245" t="str">
        <f t="shared" si="73"/>
        <v/>
      </c>
      <c r="U540" s="246" t="str">
        <f t="shared" si="74"/>
        <v/>
      </c>
      <c r="V540" s="8"/>
      <c r="AR540" t="str">
        <f t="shared" si="75"/>
        <v/>
      </c>
      <c r="AS540" t="str">
        <f t="shared" si="70"/>
        <v/>
      </c>
    </row>
    <row r="541" spans="1:45" x14ac:dyDescent="0.3">
      <c r="A541" s="231"/>
      <c r="B541" s="235"/>
      <c r="C541" s="214"/>
      <c r="D541" s="214"/>
      <c r="E541" s="214"/>
      <c r="F541" s="214"/>
      <c r="G541" s="222"/>
      <c r="H541" s="221"/>
      <c r="I541" s="213"/>
      <c r="J541" s="213"/>
      <c r="K541" s="215"/>
      <c r="L541" s="216"/>
      <c r="M541" s="217"/>
      <c r="N541" s="176"/>
      <c r="O541" s="241" t="str">
        <f>IF(Q541 = "", "", COUNT(Q$4:$Q541))</f>
        <v/>
      </c>
      <c r="P541" s="241" t="str">
        <f t="shared" si="68"/>
        <v/>
      </c>
      <c r="Q541" s="242" t="str">
        <f t="shared" si="69"/>
        <v/>
      </c>
      <c r="R541" s="243" t="str">
        <f t="shared" si="71"/>
        <v/>
      </c>
      <c r="S541" s="244" t="str">
        <f t="shared" si="72"/>
        <v/>
      </c>
      <c r="T541" s="245" t="str">
        <f t="shared" si="73"/>
        <v/>
      </c>
      <c r="U541" s="246" t="str">
        <f t="shared" si="74"/>
        <v/>
      </c>
      <c r="V541" s="8"/>
      <c r="AR541" t="str">
        <f t="shared" si="75"/>
        <v/>
      </c>
      <c r="AS541" t="str">
        <f t="shared" si="70"/>
        <v/>
      </c>
    </row>
    <row r="542" spans="1:45" x14ac:dyDescent="0.3">
      <c r="A542" s="231"/>
      <c r="B542" s="235"/>
      <c r="C542" s="214"/>
      <c r="D542" s="214"/>
      <c r="E542" s="214"/>
      <c r="F542" s="214"/>
      <c r="G542" s="222"/>
      <c r="H542" s="221"/>
      <c r="I542" s="213"/>
      <c r="J542" s="213"/>
      <c r="K542" s="215"/>
      <c r="L542" s="216"/>
      <c r="M542" s="217"/>
      <c r="N542" s="176"/>
      <c r="O542" s="241" t="str">
        <f>IF(Q542 = "", "", COUNT(Q$4:$Q542))</f>
        <v/>
      </c>
      <c r="P542" s="241" t="str">
        <f t="shared" si="68"/>
        <v/>
      </c>
      <c r="Q542" s="242" t="str">
        <f t="shared" si="69"/>
        <v/>
      </c>
      <c r="R542" s="243" t="str">
        <f t="shared" si="71"/>
        <v/>
      </c>
      <c r="S542" s="244" t="str">
        <f t="shared" si="72"/>
        <v/>
      </c>
      <c r="T542" s="245" t="str">
        <f t="shared" si="73"/>
        <v/>
      </c>
      <c r="U542" s="246" t="str">
        <f t="shared" si="74"/>
        <v/>
      </c>
      <c r="V542" s="8"/>
      <c r="AR542" t="str">
        <f t="shared" si="75"/>
        <v/>
      </c>
      <c r="AS542" t="str">
        <f t="shared" si="70"/>
        <v/>
      </c>
    </row>
    <row r="543" spans="1:45" x14ac:dyDescent="0.3">
      <c r="A543" s="231"/>
      <c r="B543" s="235"/>
      <c r="C543" s="214"/>
      <c r="D543" s="214"/>
      <c r="E543" s="214"/>
      <c r="F543" s="214"/>
      <c r="G543" s="222"/>
      <c r="H543" s="221"/>
      <c r="I543" s="213"/>
      <c r="J543" s="213"/>
      <c r="K543" s="215"/>
      <c r="L543" s="216"/>
      <c r="M543" s="217"/>
      <c r="N543" s="176"/>
      <c r="O543" s="241" t="str">
        <f>IF(Q543 = "", "", COUNT(Q$4:$Q543))</f>
        <v/>
      </c>
      <c r="P543" s="241" t="str">
        <f t="shared" si="68"/>
        <v/>
      </c>
      <c r="Q543" s="242" t="str">
        <f t="shared" si="69"/>
        <v/>
      </c>
      <c r="R543" s="243" t="str">
        <f t="shared" si="71"/>
        <v/>
      </c>
      <c r="S543" s="244" t="str">
        <f t="shared" si="72"/>
        <v/>
      </c>
      <c r="T543" s="245" t="str">
        <f t="shared" si="73"/>
        <v/>
      </c>
      <c r="U543" s="246" t="str">
        <f t="shared" si="74"/>
        <v/>
      </c>
      <c r="V543" s="8"/>
      <c r="AR543" t="str">
        <f t="shared" si="75"/>
        <v/>
      </c>
      <c r="AS543" t="str">
        <f t="shared" si="70"/>
        <v/>
      </c>
    </row>
    <row r="544" spans="1:45" x14ac:dyDescent="0.3">
      <c r="A544" s="231"/>
      <c r="B544" s="235"/>
      <c r="C544" s="214"/>
      <c r="D544" s="214"/>
      <c r="E544" s="214"/>
      <c r="F544" s="214"/>
      <c r="G544" s="222"/>
      <c r="H544" s="221"/>
      <c r="I544" s="213"/>
      <c r="J544" s="213"/>
      <c r="K544" s="215"/>
      <c r="L544" s="216"/>
      <c r="M544" s="217"/>
      <c r="N544" s="176"/>
      <c r="O544" s="241" t="str">
        <f>IF(Q544 = "", "", COUNT(Q$4:$Q544))</f>
        <v/>
      </c>
      <c r="P544" s="241" t="str">
        <f t="shared" si="68"/>
        <v/>
      </c>
      <c r="Q544" s="242" t="str">
        <f t="shared" si="69"/>
        <v/>
      </c>
      <c r="R544" s="243" t="str">
        <f t="shared" si="71"/>
        <v/>
      </c>
      <c r="S544" s="244" t="str">
        <f t="shared" si="72"/>
        <v/>
      </c>
      <c r="T544" s="245" t="str">
        <f t="shared" si="73"/>
        <v/>
      </c>
      <c r="U544" s="246" t="str">
        <f t="shared" si="74"/>
        <v/>
      </c>
      <c r="V544" s="8"/>
      <c r="AR544" t="str">
        <f t="shared" si="75"/>
        <v/>
      </c>
      <c r="AS544" t="str">
        <f t="shared" si="70"/>
        <v/>
      </c>
    </row>
    <row r="545" spans="1:45" x14ac:dyDescent="0.3">
      <c r="A545" s="231"/>
      <c r="B545" s="235"/>
      <c r="C545" s="214"/>
      <c r="D545" s="214"/>
      <c r="E545" s="214"/>
      <c r="F545" s="214"/>
      <c r="G545" s="222"/>
      <c r="H545" s="221"/>
      <c r="I545" s="213"/>
      <c r="J545" s="213"/>
      <c r="K545" s="215"/>
      <c r="L545" s="216"/>
      <c r="M545" s="217"/>
      <c r="N545" s="176"/>
      <c r="O545" s="241" t="str">
        <f>IF(Q545 = "", "", COUNT(Q$4:$Q545))</f>
        <v/>
      </c>
      <c r="P545" s="241" t="str">
        <f t="shared" si="68"/>
        <v/>
      </c>
      <c r="Q545" s="242" t="str">
        <f t="shared" si="69"/>
        <v/>
      </c>
      <c r="R545" s="243" t="str">
        <f t="shared" si="71"/>
        <v/>
      </c>
      <c r="S545" s="244" t="str">
        <f t="shared" si="72"/>
        <v/>
      </c>
      <c r="T545" s="245" t="str">
        <f t="shared" si="73"/>
        <v/>
      </c>
      <c r="U545" s="246" t="str">
        <f t="shared" si="74"/>
        <v/>
      </c>
      <c r="V545" s="8"/>
      <c r="AR545" t="str">
        <f t="shared" si="75"/>
        <v/>
      </c>
      <c r="AS545" t="str">
        <f t="shared" si="70"/>
        <v/>
      </c>
    </row>
    <row r="546" spans="1:45" x14ac:dyDescent="0.3">
      <c r="A546" s="231"/>
      <c r="B546" s="235"/>
      <c r="C546" s="214"/>
      <c r="D546" s="214"/>
      <c r="E546" s="214"/>
      <c r="F546" s="214"/>
      <c r="G546" s="222"/>
      <c r="H546" s="221"/>
      <c r="I546" s="213"/>
      <c r="J546" s="213"/>
      <c r="K546" s="215"/>
      <c r="L546" s="216"/>
      <c r="M546" s="217"/>
      <c r="N546" s="176"/>
      <c r="O546" s="241" t="str">
        <f>IF(Q546 = "", "", COUNT(Q$4:$Q546))</f>
        <v/>
      </c>
      <c r="P546" s="241" t="str">
        <f t="shared" si="68"/>
        <v/>
      </c>
      <c r="Q546" s="242" t="str">
        <f t="shared" si="69"/>
        <v/>
      </c>
      <c r="R546" s="243" t="str">
        <f t="shared" si="71"/>
        <v/>
      </c>
      <c r="S546" s="244" t="str">
        <f t="shared" si="72"/>
        <v/>
      </c>
      <c r="T546" s="245" t="str">
        <f t="shared" si="73"/>
        <v/>
      </c>
      <c r="U546" s="246" t="str">
        <f t="shared" si="74"/>
        <v/>
      </c>
      <c r="V546" s="8"/>
      <c r="AR546" t="str">
        <f t="shared" si="75"/>
        <v/>
      </c>
      <c r="AS546" t="str">
        <f t="shared" si="70"/>
        <v/>
      </c>
    </row>
    <row r="547" spans="1:45" x14ac:dyDescent="0.3">
      <c r="A547" s="231"/>
      <c r="B547" s="235"/>
      <c r="C547" s="214"/>
      <c r="D547" s="214"/>
      <c r="E547" s="214"/>
      <c r="F547" s="214"/>
      <c r="G547" s="222"/>
      <c r="H547" s="221"/>
      <c r="I547" s="213"/>
      <c r="J547" s="213"/>
      <c r="K547" s="215"/>
      <c r="L547" s="216"/>
      <c r="M547" s="217"/>
      <c r="N547" s="176"/>
      <c r="O547" s="241" t="str">
        <f>IF(Q547 = "", "", COUNT(Q$4:$Q547))</f>
        <v/>
      </c>
      <c r="P547" s="241" t="str">
        <f t="shared" si="68"/>
        <v/>
      </c>
      <c r="Q547" s="242" t="str">
        <f t="shared" si="69"/>
        <v/>
      </c>
      <c r="R547" s="243" t="str">
        <f t="shared" si="71"/>
        <v/>
      </c>
      <c r="S547" s="244" t="str">
        <f t="shared" si="72"/>
        <v/>
      </c>
      <c r="T547" s="245" t="str">
        <f t="shared" si="73"/>
        <v/>
      </c>
      <c r="U547" s="246" t="str">
        <f t="shared" si="74"/>
        <v/>
      </c>
      <c r="V547" s="8"/>
      <c r="AR547" t="str">
        <f t="shared" si="75"/>
        <v/>
      </c>
      <c r="AS547" t="str">
        <f t="shared" si="70"/>
        <v/>
      </c>
    </row>
    <row r="548" spans="1:45" x14ac:dyDescent="0.3">
      <c r="A548" s="231"/>
      <c r="B548" s="235"/>
      <c r="C548" s="214"/>
      <c r="D548" s="214"/>
      <c r="E548" s="214"/>
      <c r="F548" s="214"/>
      <c r="G548" s="222"/>
      <c r="H548" s="221"/>
      <c r="I548" s="213"/>
      <c r="J548" s="213"/>
      <c r="K548" s="215"/>
      <c r="L548" s="216"/>
      <c r="M548" s="217"/>
      <c r="N548" s="176"/>
      <c r="O548" s="241" t="str">
        <f>IF(Q548 = "", "", COUNT(Q$4:$Q548))</f>
        <v/>
      </c>
      <c r="P548" s="241" t="str">
        <f t="shared" si="68"/>
        <v/>
      </c>
      <c r="Q548" s="242" t="str">
        <f t="shared" si="69"/>
        <v/>
      </c>
      <c r="R548" s="243" t="str">
        <f t="shared" si="71"/>
        <v/>
      </c>
      <c r="S548" s="244" t="str">
        <f t="shared" si="72"/>
        <v/>
      </c>
      <c r="T548" s="245" t="str">
        <f t="shared" si="73"/>
        <v/>
      </c>
      <c r="U548" s="246" t="str">
        <f t="shared" si="74"/>
        <v/>
      </c>
      <c r="V548" s="8"/>
      <c r="AR548" t="str">
        <f t="shared" si="75"/>
        <v/>
      </c>
      <c r="AS548" t="str">
        <f t="shared" si="70"/>
        <v/>
      </c>
    </row>
    <row r="549" spans="1:45" x14ac:dyDescent="0.3">
      <c r="A549" s="231"/>
      <c r="B549" s="235"/>
      <c r="C549" s="214"/>
      <c r="D549" s="214"/>
      <c r="E549" s="214"/>
      <c r="F549" s="214"/>
      <c r="G549" s="222"/>
      <c r="H549" s="221"/>
      <c r="I549" s="213"/>
      <c r="J549" s="213"/>
      <c r="K549" s="215"/>
      <c r="L549" s="216"/>
      <c r="M549" s="217"/>
      <c r="N549" s="176"/>
      <c r="O549" s="241" t="str">
        <f>IF(Q549 = "", "", COUNT(Q$4:$Q549))</f>
        <v/>
      </c>
      <c r="P549" s="241" t="str">
        <f t="shared" si="68"/>
        <v/>
      </c>
      <c r="Q549" s="242" t="str">
        <f t="shared" si="69"/>
        <v/>
      </c>
      <c r="R549" s="243" t="str">
        <f t="shared" si="71"/>
        <v/>
      </c>
      <c r="S549" s="244" t="str">
        <f t="shared" si="72"/>
        <v/>
      </c>
      <c r="T549" s="245" t="str">
        <f t="shared" si="73"/>
        <v/>
      </c>
      <c r="U549" s="246" t="str">
        <f t="shared" si="74"/>
        <v/>
      </c>
      <c r="V549" s="8"/>
      <c r="AR549" t="str">
        <f t="shared" si="75"/>
        <v/>
      </c>
      <c r="AS549" t="str">
        <f t="shared" si="70"/>
        <v/>
      </c>
    </row>
    <row r="550" spans="1:45" x14ac:dyDescent="0.3">
      <c r="A550" s="231"/>
      <c r="B550" s="235"/>
      <c r="C550" s="214"/>
      <c r="D550" s="214"/>
      <c r="E550" s="214"/>
      <c r="F550" s="214"/>
      <c r="G550" s="222"/>
      <c r="H550" s="221"/>
      <c r="I550" s="213"/>
      <c r="J550" s="213"/>
      <c r="K550" s="215"/>
      <c r="L550" s="216"/>
      <c r="M550" s="217"/>
      <c r="N550" s="176"/>
      <c r="O550" s="241" t="str">
        <f>IF(Q550 = "", "", COUNT(Q$4:$Q550))</f>
        <v/>
      </c>
      <c r="P550" s="241" t="str">
        <f t="shared" si="68"/>
        <v/>
      </c>
      <c r="Q550" s="242" t="str">
        <f t="shared" si="69"/>
        <v/>
      </c>
      <c r="R550" s="243" t="str">
        <f t="shared" si="71"/>
        <v/>
      </c>
      <c r="S550" s="244" t="str">
        <f t="shared" si="72"/>
        <v/>
      </c>
      <c r="T550" s="245" t="str">
        <f t="shared" si="73"/>
        <v/>
      </c>
      <c r="U550" s="246" t="str">
        <f t="shared" si="74"/>
        <v/>
      </c>
      <c r="V550" s="8"/>
      <c r="AR550" t="str">
        <f t="shared" si="75"/>
        <v/>
      </c>
      <c r="AS550" t="str">
        <f t="shared" si="70"/>
        <v/>
      </c>
    </row>
    <row r="551" spans="1:45" x14ac:dyDescent="0.3">
      <c r="A551" s="231"/>
      <c r="B551" s="235"/>
      <c r="C551" s="214"/>
      <c r="D551" s="214"/>
      <c r="E551" s="214"/>
      <c r="F551" s="214"/>
      <c r="G551" s="222"/>
      <c r="H551" s="221"/>
      <c r="I551" s="213"/>
      <c r="J551" s="213"/>
      <c r="K551" s="215"/>
      <c r="L551" s="216"/>
      <c r="M551" s="217"/>
      <c r="N551" s="176"/>
      <c r="O551" s="241" t="str">
        <f>IF(Q551 = "", "", COUNT(Q$4:$Q551))</f>
        <v/>
      </c>
      <c r="P551" s="241" t="str">
        <f t="shared" si="68"/>
        <v/>
      </c>
      <c r="Q551" s="242" t="str">
        <f t="shared" si="69"/>
        <v/>
      </c>
      <c r="R551" s="243" t="str">
        <f t="shared" si="71"/>
        <v/>
      </c>
      <c r="S551" s="244" t="str">
        <f t="shared" si="72"/>
        <v/>
      </c>
      <c r="T551" s="245" t="str">
        <f t="shared" si="73"/>
        <v/>
      </c>
      <c r="U551" s="246" t="str">
        <f t="shared" si="74"/>
        <v/>
      </c>
      <c r="V551" s="8"/>
      <c r="AR551" t="str">
        <f t="shared" si="75"/>
        <v/>
      </c>
      <c r="AS551" t="str">
        <f t="shared" si="70"/>
        <v/>
      </c>
    </row>
    <row r="552" spans="1:45" x14ac:dyDescent="0.3">
      <c r="A552" s="231"/>
      <c r="B552" s="235"/>
      <c r="C552" s="214"/>
      <c r="D552" s="214"/>
      <c r="E552" s="214"/>
      <c r="F552" s="214"/>
      <c r="G552" s="222"/>
      <c r="H552" s="221"/>
      <c r="I552" s="213"/>
      <c r="J552" s="213"/>
      <c r="K552" s="215"/>
      <c r="L552" s="216"/>
      <c r="M552" s="217"/>
      <c r="N552" s="176"/>
      <c r="O552" s="241" t="str">
        <f>IF(Q552 = "", "", COUNT(Q$4:$Q552))</f>
        <v/>
      </c>
      <c r="P552" s="241" t="str">
        <f t="shared" si="68"/>
        <v/>
      </c>
      <c r="Q552" s="242" t="str">
        <f t="shared" si="69"/>
        <v/>
      </c>
      <c r="R552" s="243" t="str">
        <f t="shared" si="71"/>
        <v/>
      </c>
      <c r="S552" s="244" t="str">
        <f t="shared" si="72"/>
        <v/>
      </c>
      <c r="T552" s="245" t="str">
        <f t="shared" si="73"/>
        <v/>
      </c>
      <c r="U552" s="246" t="str">
        <f t="shared" si="74"/>
        <v/>
      </c>
      <c r="V552" s="8"/>
      <c r="AR552" t="str">
        <f t="shared" si="75"/>
        <v/>
      </c>
      <c r="AS552" t="str">
        <f t="shared" si="70"/>
        <v/>
      </c>
    </row>
    <row r="553" spans="1:45" x14ac:dyDescent="0.3">
      <c r="A553" s="231"/>
      <c r="B553" s="235"/>
      <c r="C553" s="214"/>
      <c r="D553" s="214"/>
      <c r="E553" s="214"/>
      <c r="F553" s="214"/>
      <c r="G553" s="222"/>
      <c r="H553" s="221"/>
      <c r="I553" s="213"/>
      <c r="J553" s="213"/>
      <c r="K553" s="215"/>
      <c r="L553" s="216"/>
      <c r="M553" s="217"/>
      <c r="N553" s="176"/>
      <c r="O553" s="241" t="str">
        <f>IF(Q553 = "", "", COUNT(Q$4:$Q553))</f>
        <v/>
      </c>
      <c r="P553" s="241" t="str">
        <f t="shared" si="68"/>
        <v/>
      </c>
      <c r="Q553" s="242" t="str">
        <f t="shared" si="69"/>
        <v/>
      </c>
      <c r="R553" s="243" t="str">
        <f t="shared" si="71"/>
        <v/>
      </c>
      <c r="S553" s="244" t="str">
        <f t="shared" si="72"/>
        <v/>
      </c>
      <c r="T553" s="245" t="str">
        <f t="shared" si="73"/>
        <v/>
      </c>
      <c r="U553" s="246" t="str">
        <f t="shared" si="74"/>
        <v/>
      </c>
      <c r="V553" s="8"/>
      <c r="AR553" t="str">
        <f t="shared" si="75"/>
        <v/>
      </c>
      <c r="AS553" t="str">
        <f t="shared" si="70"/>
        <v/>
      </c>
    </row>
    <row r="554" spans="1:45" x14ac:dyDescent="0.3">
      <c r="A554" s="231"/>
      <c r="B554" s="235"/>
      <c r="C554" s="214"/>
      <c r="D554" s="214"/>
      <c r="E554" s="214"/>
      <c r="F554" s="214"/>
      <c r="G554" s="222"/>
      <c r="H554" s="221"/>
      <c r="I554" s="213"/>
      <c r="J554" s="213"/>
      <c r="K554" s="215"/>
      <c r="L554" s="216"/>
      <c r="M554" s="217"/>
      <c r="N554" s="176"/>
      <c r="O554" s="241" t="str">
        <f>IF(Q554 = "", "", COUNT(Q$4:$Q554))</f>
        <v/>
      </c>
      <c r="P554" s="241" t="str">
        <f t="shared" si="68"/>
        <v/>
      </c>
      <c r="Q554" s="242" t="str">
        <f t="shared" si="69"/>
        <v/>
      </c>
      <c r="R554" s="243" t="str">
        <f t="shared" si="71"/>
        <v/>
      </c>
      <c r="S554" s="244" t="str">
        <f t="shared" si="72"/>
        <v/>
      </c>
      <c r="T554" s="245" t="str">
        <f t="shared" si="73"/>
        <v/>
      </c>
      <c r="U554" s="246" t="str">
        <f t="shared" si="74"/>
        <v/>
      </c>
      <c r="V554" s="8"/>
      <c r="AR554" t="str">
        <f t="shared" si="75"/>
        <v/>
      </c>
      <c r="AS554" t="str">
        <f t="shared" si="70"/>
        <v/>
      </c>
    </row>
    <row r="555" spans="1:45" x14ac:dyDescent="0.3">
      <c r="A555" s="231"/>
      <c r="B555" s="235"/>
      <c r="C555" s="214"/>
      <c r="D555" s="214"/>
      <c r="E555" s="214"/>
      <c r="F555" s="214"/>
      <c r="G555" s="222"/>
      <c r="H555" s="221"/>
      <c r="I555" s="213"/>
      <c r="J555" s="213"/>
      <c r="K555" s="215"/>
      <c r="L555" s="216"/>
      <c r="M555" s="217"/>
      <c r="N555" s="176"/>
      <c r="O555" s="241" t="str">
        <f>IF(Q555 = "", "", COUNT(Q$4:$Q555))</f>
        <v/>
      </c>
      <c r="P555" s="241" t="str">
        <f t="shared" si="68"/>
        <v/>
      </c>
      <c r="Q555" s="242" t="str">
        <f t="shared" si="69"/>
        <v/>
      </c>
      <c r="R555" s="243" t="str">
        <f t="shared" si="71"/>
        <v/>
      </c>
      <c r="S555" s="244" t="str">
        <f t="shared" si="72"/>
        <v/>
      </c>
      <c r="T555" s="245" t="str">
        <f t="shared" si="73"/>
        <v/>
      </c>
      <c r="U555" s="246" t="str">
        <f t="shared" si="74"/>
        <v/>
      </c>
      <c r="V555" s="8"/>
      <c r="AR555" t="str">
        <f t="shared" si="75"/>
        <v/>
      </c>
      <c r="AS555" t="str">
        <f t="shared" si="70"/>
        <v/>
      </c>
    </row>
    <row r="556" spans="1:45" x14ac:dyDescent="0.3">
      <c r="A556" s="231"/>
      <c r="B556" s="235"/>
      <c r="C556" s="214"/>
      <c r="D556" s="214"/>
      <c r="E556" s="214"/>
      <c r="F556" s="214"/>
      <c r="G556" s="222"/>
      <c r="H556" s="221"/>
      <c r="I556" s="213"/>
      <c r="J556" s="213"/>
      <c r="K556" s="215"/>
      <c r="L556" s="216"/>
      <c r="M556" s="217"/>
      <c r="N556" s="176"/>
      <c r="O556" s="241" t="str">
        <f>IF(Q556 = "", "", COUNT(Q$4:$Q556))</f>
        <v/>
      </c>
      <c r="P556" s="241" t="str">
        <f t="shared" si="68"/>
        <v/>
      </c>
      <c r="Q556" s="242" t="str">
        <f t="shared" si="69"/>
        <v/>
      </c>
      <c r="R556" s="243" t="str">
        <f t="shared" si="71"/>
        <v/>
      </c>
      <c r="S556" s="244" t="str">
        <f t="shared" si="72"/>
        <v/>
      </c>
      <c r="T556" s="245" t="str">
        <f t="shared" si="73"/>
        <v/>
      </c>
      <c r="U556" s="246" t="str">
        <f t="shared" si="74"/>
        <v/>
      </c>
      <c r="V556" s="8"/>
      <c r="AR556" t="str">
        <f t="shared" si="75"/>
        <v/>
      </c>
      <c r="AS556" t="str">
        <f t="shared" si="70"/>
        <v/>
      </c>
    </row>
    <row r="557" spans="1:45" x14ac:dyDescent="0.3">
      <c r="A557" s="231"/>
      <c r="B557" s="235"/>
      <c r="C557" s="214"/>
      <c r="D557" s="214"/>
      <c r="E557" s="214"/>
      <c r="F557" s="214"/>
      <c r="G557" s="222"/>
      <c r="H557" s="221"/>
      <c r="I557" s="213"/>
      <c r="J557" s="213"/>
      <c r="K557" s="215"/>
      <c r="L557" s="216"/>
      <c r="M557" s="217"/>
      <c r="N557" s="176"/>
      <c r="O557" s="241" t="str">
        <f>IF(Q557 = "", "", COUNT(Q$4:$Q557))</f>
        <v/>
      </c>
      <c r="P557" s="241" t="str">
        <f t="shared" si="68"/>
        <v/>
      </c>
      <c r="Q557" s="242" t="str">
        <f t="shared" si="69"/>
        <v/>
      </c>
      <c r="R557" s="243" t="str">
        <f t="shared" si="71"/>
        <v/>
      </c>
      <c r="S557" s="244" t="str">
        <f t="shared" si="72"/>
        <v/>
      </c>
      <c r="T557" s="245" t="str">
        <f t="shared" si="73"/>
        <v/>
      </c>
      <c r="U557" s="246" t="str">
        <f t="shared" si="74"/>
        <v/>
      </c>
      <c r="V557" s="8"/>
      <c r="AR557" t="str">
        <f t="shared" si="75"/>
        <v/>
      </c>
      <c r="AS557" t="str">
        <f t="shared" si="70"/>
        <v/>
      </c>
    </row>
    <row r="558" spans="1:45" x14ac:dyDescent="0.3">
      <c r="A558" s="231"/>
      <c r="B558" s="235"/>
      <c r="C558" s="214"/>
      <c r="D558" s="214"/>
      <c r="E558" s="214"/>
      <c r="F558" s="214"/>
      <c r="G558" s="222"/>
      <c r="H558" s="221"/>
      <c r="I558" s="213"/>
      <c r="J558" s="213"/>
      <c r="K558" s="215"/>
      <c r="L558" s="216"/>
      <c r="M558" s="217"/>
      <c r="N558" s="176"/>
      <c r="O558" s="241" t="str">
        <f>IF(Q558 = "", "", COUNT(Q$4:$Q558))</f>
        <v/>
      </c>
      <c r="P558" s="241" t="str">
        <f t="shared" si="68"/>
        <v/>
      </c>
      <c r="Q558" s="242" t="str">
        <f t="shared" si="69"/>
        <v/>
      </c>
      <c r="R558" s="243" t="str">
        <f t="shared" si="71"/>
        <v/>
      </c>
      <c r="S558" s="244" t="str">
        <f t="shared" si="72"/>
        <v/>
      </c>
      <c r="T558" s="245" t="str">
        <f t="shared" si="73"/>
        <v/>
      </c>
      <c r="U558" s="246" t="str">
        <f t="shared" si="74"/>
        <v/>
      </c>
      <c r="V558" s="8"/>
      <c r="AR558" t="str">
        <f t="shared" si="75"/>
        <v/>
      </c>
      <c r="AS558" t="str">
        <f t="shared" si="70"/>
        <v/>
      </c>
    </row>
    <row r="559" spans="1:45" x14ac:dyDescent="0.3">
      <c r="A559" s="231"/>
      <c r="B559" s="235"/>
      <c r="C559" s="214"/>
      <c r="D559" s="214"/>
      <c r="E559" s="214"/>
      <c r="F559" s="214"/>
      <c r="G559" s="222"/>
      <c r="H559" s="221"/>
      <c r="I559" s="213"/>
      <c r="J559" s="213"/>
      <c r="K559" s="215"/>
      <c r="L559" s="216"/>
      <c r="M559" s="217"/>
      <c r="N559" s="176"/>
      <c r="O559" s="241" t="str">
        <f>IF(Q559 = "", "", COUNT(Q$4:$Q559))</f>
        <v/>
      </c>
      <c r="P559" s="241" t="str">
        <f t="shared" si="68"/>
        <v/>
      </c>
      <c r="Q559" s="242" t="str">
        <f t="shared" si="69"/>
        <v/>
      </c>
      <c r="R559" s="243" t="str">
        <f t="shared" si="71"/>
        <v/>
      </c>
      <c r="S559" s="244" t="str">
        <f t="shared" si="72"/>
        <v/>
      </c>
      <c r="T559" s="245" t="str">
        <f t="shared" si="73"/>
        <v/>
      </c>
      <c r="U559" s="246" t="str">
        <f t="shared" si="74"/>
        <v/>
      </c>
      <c r="V559" s="8"/>
      <c r="AR559" t="str">
        <f t="shared" si="75"/>
        <v/>
      </c>
      <c r="AS559" t="str">
        <f t="shared" si="70"/>
        <v/>
      </c>
    </row>
    <row r="560" spans="1:45" x14ac:dyDescent="0.3">
      <c r="A560" s="231"/>
      <c r="B560" s="235"/>
      <c r="C560" s="214"/>
      <c r="D560" s="214"/>
      <c r="E560" s="214"/>
      <c r="F560" s="214"/>
      <c r="G560" s="222"/>
      <c r="H560" s="221"/>
      <c r="I560" s="213"/>
      <c r="J560" s="213"/>
      <c r="K560" s="215"/>
      <c r="L560" s="216"/>
      <c r="M560" s="217"/>
      <c r="N560" s="176"/>
      <c r="O560" s="241" t="str">
        <f>IF(Q560 = "", "", COUNT(Q$4:$Q560))</f>
        <v/>
      </c>
      <c r="P560" s="241" t="str">
        <f t="shared" si="68"/>
        <v/>
      </c>
      <c r="Q560" s="242" t="str">
        <f t="shared" si="69"/>
        <v/>
      </c>
      <c r="R560" s="243" t="str">
        <f t="shared" si="71"/>
        <v/>
      </c>
      <c r="S560" s="244" t="str">
        <f t="shared" si="72"/>
        <v/>
      </c>
      <c r="T560" s="245" t="str">
        <f t="shared" si="73"/>
        <v/>
      </c>
      <c r="U560" s="246" t="str">
        <f t="shared" si="74"/>
        <v/>
      </c>
      <c r="V560" s="8"/>
      <c r="AR560" t="str">
        <f t="shared" si="75"/>
        <v/>
      </c>
      <c r="AS560" t="str">
        <f t="shared" si="70"/>
        <v/>
      </c>
    </row>
    <row r="561" spans="1:45" x14ac:dyDescent="0.3">
      <c r="A561" s="231"/>
      <c r="B561" s="235"/>
      <c r="C561" s="214"/>
      <c r="D561" s="214"/>
      <c r="E561" s="214"/>
      <c r="F561" s="214"/>
      <c r="G561" s="222"/>
      <c r="H561" s="221"/>
      <c r="I561" s="213"/>
      <c r="J561" s="213"/>
      <c r="K561" s="215"/>
      <c r="L561" s="216"/>
      <c r="M561" s="217"/>
      <c r="N561" s="176"/>
      <c r="O561" s="241" t="str">
        <f>IF(Q561 = "", "", COUNT(Q$4:$Q561))</f>
        <v/>
      </c>
      <c r="P561" s="241" t="str">
        <f t="shared" si="68"/>
        <v/>
      </c>
      <c r="Q561" s="242" t="str">
        <f t="shared" si="69"/>
        <v/>
      </c>
      <c r="R561" s="243" t="str">
        <f t="shared" si="71"/>
        <v/>
      </c>
      <c r="S561" s="244" t="str">
        <f t="shared" si="72"/>
        <v/>
      </c>
      <c r="T561" s="245" t="str">
        <f t="shared" si="73"/>
        <v/>
      </c>
      <c r="U561" s="246" t="str">
        <f t="shared" si="74"/>
        <v/>
      </c>
      <c r="V561" s="8"/>
      <c r="AR561" t="str">
        <f t="shared" si="75"/>
        <v/>
      </c>
      <c r="AS561" t="str">
        <f t="shared" si="70"/>
        <v/>
      </c>
    </row>
    <row r="562" spans="1:45" x14ac:dyDescent="0.3">
      <c r="A562" s="231"/>
      <c r="B562" s="235"/>
      <c r="C562" s="214"/>
      <c r="D562" s="214"/>
      <c r="E562" s="214"/>
      <c r="F562" s="214"/>
      <c r="G562" s="222"/>
      <c r="H562" s="221"/>
      <c r="I562" s="213"/>
      <c r="J562" s="213"/>
      <c r="K562" s="215"/>
      <c r="L562" s="216"/>
      <c r="M562" s="217"/>
      <c r="N562" s="176"/>
      <c r="O562" s="241" t="str">
        <f>IF(Q562 = "", "", COUNT(Q$4:$Q562))</f>
        <v/>
      </c>
      <c r="P562" s="241" t="str">
        <f t="shared" si="68"/>
        <v/>
      </c>
      <c r="Q562" s="242" t="str">
        <f t="shared" si="69"/>
        <v/>
      </c>
      <c r="R562" s="243" t="str">
        <f t="shared" si="71"/>
        <v/>
      </c>
      <c r="S562" s="244" t="str">
        <f t="shared" si="72"/>
        <v/>
      </c>
      <c r="T562" s="245" t="str">
        <f t="shared" si="73"/>
        <v/>
      </c>
      <c r="U562" s="246" t="str">
        <f t="shared" si="74"/>
        <v/>
      </c>
      <c r="V562" s="8"/>
      <c r="AR562" t="str">
        <f t="shared" si="75"/>
        <v/>
      </c>
      <c r="AS562" t="str">
        <f t="shared" si="70"/>
        <v/>
      </c>
    </row>
    <row r="563" spans="1:45" x14ac:dyDescent="0.3">
      <c r="A563" s="231"/>
      <c r="B563" s="235"/>
      <c r="C563" s="214"/>
      <c r="D563" s="214"/>
      <c r="E563" s="214"/>
      <c r="F563" s="214"/>
      <c r="G563" s="222"/>
      <c r="H563" s="221"/>
      <c r="I563" s="213"/>
      <c r="J563" s="213"/>
      <c r="K563" s="215"/>
      <c r="L563" s="216"/>
      <c r="M563" s="217"/>
      <c r="N563" s="176"/>
      <c r="O563" s="241" t="str">
        <f>IF(Q563 = "", "", COUNT(Q$4:$Q563))</f>
        <v/>
      </c>
      <c r="P563" s="241" t="str">
        <f t="shared" si="68"/>
        <v/>
      </c>
      <c r="Q563" s="242" t="str">
        <f t="shared" si="69"/>
        <v/>
      </c>
      <c r="R563" s="243" t="str">
        <f t="shared" si="71"/>
        <v/>
      </c>
      <c r="S563" s="244" t="str">
        <f t="shared" si="72"/>
        <v/>
      </c>
      <c r="T563" s="245" t="str">
        <f t="shared" si="73"/>
        <v/>
      </c>
      <c r="U563" s="246" t="str">
        <f t="shared" si="74"/>
        <v/>
      </c>
      <c r="V563" s="8"/>
      <c r="AR563" t="str">
        <f t="shared" si="75"/>
        <v/>
      </c>
      <c r="AS563" t="str">
        <f t="shared" si="70"/>
        <v/>
      </c>
    </row>
    <row r="564" spans="1:45" x14ac:dyDescent="0.3">
      <c r="A564" s="231"/>
      <c r="B564" s="235"/>
      <c r="C564" s="214"/>
      <c r="D564" s="214"/>
      <c r="E564" s="214"/>
      <c r="F564" s="214"/>
      <c r="G564" s="222"/>
      <c r="H564" s="221"/>
      <c r="I564" s="213"/>
      <c r="J564" s="213"/>
      <c r="K564" s="215"/>
      <c r="L564" s="216"/>
      <c r="M564" s="217"/>
      <c r="N564" s="176"/>
      <c r="O564" s="241" t="str">
        <f>IF(Q564 = "", "", COUNT(Q$4:$Q564))</f>
        <v/>
      </c>
      <c r="P564" s="241" t="str">
        <f t="shared" si="68"/>
        <v/>
      </c>
      <c r="Q564" s="242" t="str">
        <f t="shared" si="69"/>
        <v/>
      </c>
      <c r="R564" s="243" t="str">
        <f t="shared" si="71"/>
        <v/>
      </c>
      <c r="S564" s="244" t="str">
        <f t="shared" si="72"/>
        <v/>
      </c>
      <c r="T564" s="245" t="str">
        <f t="shared" si="73"/>
        <v/>
      </c>
      <c r="U564" s="246" t="str">
        <f t="shared" si="74"/>
        <v/>
      </c>
      <c r="V564" s="8"/>
      <c r="AR564" t="str">
        <f t="shared" si="75"/>
        <v/>
      </c>
      <c r="AS564" t="str">
        <f t="shared" si="70"/>
        <v/>
      </c>
    </row>
    <row r="565" spans="1:45" x14ac:dyDescent="0.3">
      <c r="A565" s="231"/>
      <c r="B565" s="235"/>
      <c r="C565" s="214"/>
      <c r="D565" s="214"/>
      <c r="E565" s="214"/>
      <c r="F565" s="214"/>
      <c r="G565" s="222"/>
      <c r="H565" s="221"/>
      <c r="I565" s="213"/>
      <c r="J565" s="213"/>
      <c r="K565" s="215"/>
      <c r="L565" s="216"/>
      <c r="M565" s="217"/>
      <c r="N565" s="176"/>
      <c r="O565" s="241" t="str">
        <f>IF(Q565 = "", "", COUNT(Q$4:$Q565))</f>
        <v/>
      </c>
      <c r="P565" s="241" t="str">
        <f t="shared" si="68"/>
        <v/>
      </c>
      <c r="Q565" s="242" t="str">
        <f t="shared" si="69"/>
        <v/>
      </c>
      <c r="R565" s="243" t="str">
        <f t="shared" si="71"/>
        <v/>
      </c>
      <c r="S565" s="244" t="str">
        <f t="shared" si="72"/>
        <v/>
      </c>
      <c r="T565" s="245" t="str">
        <f t="shared" si="73"/>
        <v/>
      </c>
      <c r="U565" s="246" t="str">
        <f t="shared" si="74"/>
        <v/>
      </c>
      <c r="V565" s="8"/>
      <c r="AR565" t="str">
        <f t="shared" si="75"/>
        <v/>
      </c>
      <c r="AS565" t="str">
        <f t="shared" si="70"/>
        <v/>
      </c>
    </row>
    <row r="566" spans="1:45" x14ac:dyDescent="0.3">
      <c r="A566" s="231"/>
      <c r="B566" s="235"/>
      <c r="C566" s="214"/>
      <c r="D566" s="214"/>
      <c r="E566" s="214"/>
      <c r="F566" s="214"/>
      <c r="G566" s="222"/>
      <c r="H566" s="221"/>
      <c r="I566" s="213"/>
      <c r="J566" s="213"/>
      <c r="K566" s="215"/>
      <c r="L566" s="216"/>
      <c r="M566" s="217"/>
      <c r="N566" s="176"/>
      <c r="O566" s="241" t="str">
        <f>IF(Q566 = "", "", COUNT(Q$4:$Q566))</f>
        <v/>
      </c>
      <c r="P566" s="241" t="str">
        <f t="shared" si="68"/>
        <v/>
      </c>
      <c r="Q566" s="242" t="str">
        <f t="shared" si="69"/>
        <v/>
      </c>
      <c r="R566" s="243" t="str">
        <f t="shared" si="71"/>
        <v/>
      </c>
      <c r="S566" s="244" t="str">
        <f t="shared" si="72"/>
        <v/>
      </c>
      <c r="T566" s="245" t="str">
        <f t="shared" si="73"/>
        <v/>
      </c>
      <c r="U566" s="246" t="str">
        <f t="shared" si="74"/>
        <v/>
      </c>
      <c r="V566" s="8"/>
      <c r="AR566" t="str">
        <f t="shared" si="75"/>
        <v/>
      </c>
      <c r="AS566" t="str">
        <f t="shared" si="70"/>
        <v/>
      </c>
    </row>
    <row r="567" spans="1:45" x14ac:dyDescent="0.3">
      <c r="A567" s="231"/>
      <c r="B567" s="235"/>
      <c r="C567" s="214"/>
      <c r="D567" s="214"/>
      <c r="E567" s="214"/>
      <c r="F567" s="214"/>
      <c r="G567" s="222"/>
      <c r="H567" s="221"/>
      <c r="I567" s="213"/>
      <c r="J567" s="213"/>
      <c r="K567" s="215"/>
      <c r="L567" s="216"/>
      <c r="M567" s="217"/>
      <c r="N567" s="176"/>
      <c r="O567" s="241" t="str">
        <f>IF(Q567 = "", "", COUNT(Q$4:$Q567))</f>
        <v/>
      </c>
      <c r="P567" s="241" t="str">
        <f t="shared" si="68"/>
        <v/>
      </c>
      <c r="Q567" s="242" t="str">
        <f t="shared" si="69"/>
        <v/>
      </c>
      <c r="R567" s="243" t="str">
        <f t="shared" si="71"/>
        <v/>
      </c>
      <c r="S567" s="244" t="str">
        <f t="shared" si="72"/>
        <v/>
      </c>
      <c r="T567" s="245" t="str">
        <f t="shared" si="73"/>
        <v/>
      </c>
      <c r="U567" s="246" t="str">
        <f t="shared" si="74"/>
        <v/>
      </c>
      <c r="V567" s="8"/>
      <c r="AR567" t="str">
        <f t="shared" si="75"/>
        <v/>
      </c>
      <c r="AS567" t="str">
        <f t="shared" si="70"/>
        <v/>
      </c>
    </row>
    <row r="568" spans="1:45" x14ac:dyDescent="0.3">
      <c r="A568" s="231"/>
      <c r="B568" s="235"/>
      <c r="C568" s="214"/>
      <c r="D568" s="214"/>
      <c r="E568" s="214"/>
      <c r="F568" s="214"/>
      <c r="G568" s="222"/>
      <c r="H568" s="221"/>
      <c r="I568" s="213"/>
      <c r="J568" s="213"/>
      <c r="K568" s="215"/>
      <c r="L568" s="216"/>
      <c r="M568" s="217"/>
      <c r="N568" s="176"/>
      <c r="O568" s="241" t="str">
        <f>IF(Q568 = "", "", COUNT(Q$4:$Q568))</f>
        <v/>
      </c>
      <c r="P568" s="241" t="str">
        <f t="shared" si="68"/>
        <v/>
      </c>
      <c r="Q568" s="242" t="str">
        <f t="shared" si="69"/>
        <v/>
      </c>
      <c r="R568" s="243" t="str">
        <f t="shared" si="71"/>
        <v/>
      </c>
      <c r="S568" s="244" t="str">
        <f t="shared" si="72"/>
        <v/>
      </c>
      <c r="T568" s="245" t="str">
        <f t="shared" si="73"/>
        <v/>
      </c>
      <c r="U568" s="246" t="str">
        <f t="shared" si="74"/>
        <v/>
      </c>
      <c r="V568" s="8"/>
      <c r="AR568" t="str">
        <f t="shared" si="75"/>
        <v/>
      </c>
      <c r="AS568" t="str">
        <f t="shared" si="70"/>
        <v/>
      </c>
    </row>
    <row r="569" spans="1:45" x14ac:dyDescent="0.3">
      <c r="A569" s="231"/>
      <c r="B569" s="235"/>
      <c r="C569" s="214"/>
      <c r="D569" s="214"/>
      <c r="E569" s="214"/>
      <c r="F569" s="214"/>
      <c r="G569" s="222"/>
      <c r="H569" s="221"/>
      <c r="I569" s="213"/>
      <c r="J569" s="213"/>
      <c r="K569" s="215"/>
      <c r="L569" s="216"/>
      <c r="M569" s="217"/>
      <c r="N569" s="176"/>
      <c r="O569" s="241" t="str">
        <f>IF(Q569 = "", "", COUNT(Q$4:$Q569))</f>
        <v/>
      </c>
      <c r="P569" s="241" t="str">
        <f t="shared" si="68"/>
        <v/>
      </c>
      <c r="Q569" s="242" t="str">
        <f t="shared" si="69"/>
        <v/>
      </c>
      <c r="R569" s="243" t="str">
        <f t="shared" si="71"/>
        <v/>
      </c>
      <c r="S569" s="244" t="str">
        <f t="shared" si="72"/>
        <v/>
      </c>
      <c r="T569" s="245" t="str">
        <f t="shared" si="73"/>
        <v/>
      </c>
      <c r="U569" s="246" t="str">
        <f t="shared" si="74"/>
        <v/>
      </c>
      <c r="V569" s="8"/>
      <c r="AR569" t="str">
        <f t="shared" si="75"/>
        <v/>
      </c>
      <c r="AS569" t="str">
        <f t="shared" si="70"/>
        <v/>
      </c>
    </row>
    <row r="570" spans="1:45" x14ac:dyDescent="0.3">
      <c r="A570" s="231"/>
      <c r="B570" s="235"/>
      <c r="C570" s="214"/>
      <c r="D570" s="214"/>
      <c r="E570" s="214"/>
      <c r="F570" s="214"/>
      <c r="G570" s="222"/>
      <c r="H570" s="221"/>
      <c r="I570" s="213"/>
      <c r="J570" s="213"/>
      <c r="K570" s="215"/>
      <c r="L570" s="216"/>
      <c r="M570" s="217"/>
      <c r="N570" s="176"/>
      <c r="O570" s="241" t="str">
        <f>IF(Q570 = "", "", COUNT(Q$4:$Q570))</f>
        <v/>
      </c>
      <c r="P570" s="241" t="str">
        <f t="shared" si="68"/>
        <v/>
      </c>
      <c r="Q570" s="242" t="str">
        <f t="shared" si="69"/>
        <v/>
      </c>
      <c r="R570" s="243" t="str">
        <f t="shared" si="71"/>
        <v/>
      </c>
      <c r="S570" s="244" t="str">
        <f t="shared" si="72"/>
        <v/>
      </c>
      <c r="T570" s="245" t="str">
        <f t="shared" si="73"/>
        <v/>
      </c>
      <c r="U570" s="246" t="str">
        <f t="shared" si="74"/>
        <v/>
      </c>
      <c r="V570" s="8"/>
      <c r="AR570" t="str">
        <f t="shared" si="75"/>
        <v/>
      </c>
      <c r="AS570" t="str">
        <f t="shared" si="70"/>
        <v/>
      </c>
    </row>
    <row r="571" spans="1:45" x14ac:dyDescent="0.3">
      <c r="A571" s="231"/>
      <c r="B571" s="235"/>
      <c r="C571" s="214"/>
      <c r="D571" s="214"/>
      <c r="E571" s="214"/>
      <c r="F571" s="214"/>
      <c r="G571" s="222"/>
      <c r="H571" s="221"/>
      <c r="I571" s="213"/>
      <c r="J571" s="213"/>
      <c r="K571" s="215"/>
      <c r="L571" s="216"/>
      <c r="M571" s="217"/>
      <c r="N571" s="176"/>
      <c r="O571" s="241" t="str">
        <f>IF(Q571 = "", "", COUNT(Q$4:$Q571))</f>
        <v/>
      </c>
      <c r="P571" s="241" t="str">
        <f t="shared" si="68"/>
        <v/>
      </c>
      <c r="Q571" s="242" t="str">
        <f t="shared" si="69"/>
        <v/>
      </c>
      <c r="R571" s="243" t="str">
        <f t="shared" si="71"/>
        <v/>
      </c>
      <c r="S571" s="244" t="str">
        <f t="shared" si="72"/>
        <v/>
      </c>
      <c r="T571" s="245" t="str">
        <f t="shared" si="73"/>
        <v/>
      </c>
      <c r="U571" s="246" t="str">
        <f t="shared" si="74"/>
        <v/>
      </c>
      <c r="V571" s="8"/>
      <c r="AR571" t="str">
        <f t="shared" si="75"/>
        <v/>
      </c>
      <c r="AS571" t="str">
        <f t="shared" si="70"/>
        <v/>
      </c>
    </row>
    <row r="572" spans="1:45" x14ac:dyDescent="0.3">
      <c r="A572" s="231"/>
      <c r="B572" s="235"/>
      <c r="C572" s="214"/>
      <c r="D572" s="214"/>
      <c r="E572" s="214"/>
      <c r="F572" s="214"/>
      <c r="G572" s="222"/>
      <c r="H572" s="221"/>
      <c r="I572" s="213"/>
      <c r="J572" s="213"/>
      <c r="K572" s="215"/>
      <c r="L572" s="216"/>
      <c r="M572" s="217"/>
      <c r="N572" s="176"/>
      <c r="O572" s="241" t="str">
        <f>IF(Q572 = "", "", COUNT(Q$4:$Q572))</f>
        <v/>
      </c>
      <c r="P572" s="241" t="str">
        <f t="shared" si="68"/>
        <v/>
      </c>
      <c r="Q572" s="242" t="str">
        <f t="shared" si="69"/>
        <v/>
      </c>
      <c r="R572" s="243" t="str">
        <f t="shared" si="71"/>
        <v/>
      </c>
      <c r="S572" s="244" t="str">
        <f t="shared" si="72"/>
        <v/>
      </c>
      <c r="T572" s="245" t="str">
        <f t="shared" si="73"/>
        <v/>
      </c>
      <c r="U572" s="246" t="str">
        <f t="shared" si="74"/>
        <v/>
      </c>
      <c r="V572" s="8"/>
      <c r="AR572" t="str">
        <f t="shared" si="75"/>
        <v/>
      </c>
      <c r="AS572" t="str">
        <f t="shared" si="70"/>
        <v/>
      </c>
    </row>
    <row r="573" spans="1:45" x14ac:dyDescent="0.3">
      <c r="A573" s="231"/>
      <c r="B573" s="235"/>
      <c r="C573" s="214"/>
      <c r="D573" s="214"/>
      <c r="E573" s="214"/>
      <c r="F573" s="214"/>
      <c r="G573" s="222"/>
      <c r="H573" s="221"/>
      <c r="I573" s="213"/>
      <c r="J573" s="213"/>
      <c r="K573" s="215"/>
      <c r="L573" s="216"/>
      <c r="M573" s="217"/>
      <c r="N573" s="176"/>
      <c r="O573" s="241" t="str">
        <f>IF(Q573 = "", "", COUNT(Q$4:$Q573))</f>
        <v/>
      </c>
      <c r="P573" s="241" t="str">
        <f t="shared" si="68"/>
        <v/>
      </c>
      <c r="Q573" s="242" t="str">
        <f t="shared" si="69"/>
        <v/>
      </c>
      <c r="R573" s="243" t="str">
        <f t="shared" si="71"/>
        <v/>
      </c>
      <c r="S573" s="244" t="str">
        <f t="shared" si="72"/>
        <v/>
      </c>
      <c r="T573" s="245" t="str">
        <f t="shared" si="73"/>
        <v/>
      </c>
      <c r="U573" s="246" t="str">
        <f t="shared" si="74"/>
        <v/>
      </c>
      <c r="V573" s="8"/>
      <c r="AR573" t="str">
        <f t="shared" si="75"/>
        <v/>
      </c>
      <c r="AS573" t="str">
        <f t="shared" si="70"/>
        <v/>
      </c>
    </row>
    <row r="574" spans="1:45" x14ac:dyDescent="0.3">
      <c r="A574" s="231"/>
      <c r="B574" s="235"/>
      <c r="C574" s="214"/>
      <c r="D574" s="214"/>
      <c r="E574" s="214"/>
      <c r="F574" s="214"/>
      <c r="G574" s="222"/>
      <c r="H574" s="221"/>
      <c r="I574" s="213"/>
      <c r="J574" s="213"/>
      <c r="K574" s="215"/>
      <c r="L574" s="216"/>
      <c r="M574" s="217"/>
      <c r="N574" s="176"/>
      <c r="O574" s="241" t="str">
        <f>IF(Q574 = "", "", COUNT(Q$4:$Q574))</f>
        <v/>
      </c>
      <c r="P574" s="241" t="str">
        <f t="shared" si="68"/>
        <v/>
      </c>
      <c r="Q574" s="242" t="str">
        <f t="shared" si="69"/>
        <v/>
      </c>
      <c r="R574" s="243" t="str">
        <f t="shared" si="71"/>
        <v/>
      </c>
      <c r="S574" s="244" t="str">
        <f t="shared" si="72"/>
        <v/>
      </c>
      <c r="T574" s="245" t="str">
        <f t="shared" si="73"/>
        <v/>
      </c>
      <c r="U574" s="246" t="str">
        <f t="shared" si="74"/>
        <v/>
      </c>
      <c r="V574" s="8"/>
      <c r="AR574" t="str">
        <f t="shared" si="75"/>
        <v/>
      </c>
      <c r="AS574" t="str">
        <f t="shared" si="70"/>
        <v/>
      </c>
    </row>
    <row r="575" spans="1:45" x14ac:dyDescent="0.3">
      <c r="A575" s="231"/>
      <c r="B575" s="235"/>
      <c r="C575" s="214"/>
      <c r="D575" s="214"/>
      <c r="E575" s="214"/>
      <c r="F575" s="214"/>
      <c r="G575" s="222"/>
      <c r="H575" s="221"/>
      <c r="I575" s="213"/>
      <c r="J575" s="213"/>
      <c r="K575" s="215"/>
      <c r="L575" s="216"/>
      <c r="M575" s="217"/>
      <c r="N575" s="176"/>
      <c r="O575" s="241" t="str">
        <f>IF(Q575 = "", "", COUNT(Q$4:$Q575))</f>
        <v/>
      </c>
      <c r="P575" s="241" t="str">
        <f t="shared" si="68"/>
        <v/>
      </c>
      <c r="Q575" s="242" t="str">
        <f t="shared" si="69"/>
        <v/>
      </c>
      <c r="R575" s="243" t="str">
        <f t="shared" si="71"/>
        <v/>
      </c>
      <c r="S575" s="244" t="str">
        <f t="shared" si="72"/>
        <v/>
      </c>
      <c r="T575" s="245" t="str">
        <f t="shared" si="73"/>
        <v/>
      </c>
      <c r="U575" s="246" t="str">
        <f t="shared" si="74"/>
        <v/>
      </c>
      <c r="V575" s="8"/>
      <c r="AR575" t="str">
        <f t="shared" si="75"/>
        <v/>
      </c>
      <c r="AS575" t="str">
        <f t="shared" si="70"/>
        <v/>
      </c>
    </row>
    <row r="576" spans="1:45" x14ac:dyDescent="0.3">
      <c r="A576" s="231"/>
      <c r="B576" s="235"/>
      <c r="C576" s="214"/>
      <c r="D576" s="214"/>
      <c r="E576" s="214"/>
      <c r="F576" s="214"/>
      <c r="G576" s="222"/>
      <c r="H576" s="221"/>
      <c r="I576" s="213"/>
      <c r="J576" s="213"/>
      <c r="K576" s="215"/>
      <c r="L576" s="216"/>
      <c r="M576" s="217"/>
      <c r="N576" s="176"/>
      <c r="O576" s="241" t="str">
        <f>IF(Q576 = "", "", COUNT(Q$4:$Q576))</f>
        <v/>
      </c>
      <c r="P576" s="241" t="str">
        <f t="shared" si="68"/>
        <v/>
      </c>
      <c r="Q576" s="242" t="str">
        <f t="shared" si="69"/>
        <v/>
      </c>
      <c r="R576" s="243" t="str">
        <f t="shared" si="71"/>
        <v/>
      </c>
      <c r="S576" s="244" t="str">
        <f t="shared" si="72"/>
        <v/>
      </c>
      <c r="T576" s="245" t="str">
        <f t="shared" si="73"/>
        <v/>
      </c>
      <c r="U576" s="246" t="str">
        <f t="shared" si="74"/>
        <v/>
      </c>
      <c r="V576" s="8"/>
      <c r="AR576" t="str">
        <f t="shared" si="75"/>
        <v/>
      </c>
      <c r="AS576" t="str">
        <f t="shared" si="70"/>
        <v/>
      </c>
    </row>
    <row r="577" spans="1:45" x14ac:dyDescent="0.3">
      <c r="A577" s="231"/>
      <c r="B577" s="235"/>
      <c r="C577" s="214"/>
      <c r="D577" s="214"/>
      <c r="E577" s="214"/>
      <c r="F577" s="214"/>
      <c r="G577" s="222"/>
      <c r="H577" s="221"/>
      <c r="I577" s="213"/>
      <c r="J577" s="213"/>
      <c r="K577" s="215"/>
      <c r="L577" s="216"/>
      <c r="M577" s="217"/>
      <c r="N577" s="176"/>
      <c r="O577" s="241" t="str">
        <f>IF(Q577 = "", "", COUNT(Q$4:$Q577))</f>
        <v/>
      </c>
      <c r="P577" s="241" t="str">
        <f t="shared" si="68"/>
        <v/>
      </c>
      <c r="Q577" s="242" t="str">
        <f t="shared" si="69"/>
        <v/>
      </c>
      <c r="R577" s="243" t="str">
        <f t="shared" si="71"/>
        <v/>
      </c>
      <c r="S577" s="244" t="str">
        <f t="shared" si="72"/>
        <v/>
      </c>
      <c r="T577" s="245" t="str">
        <f t="shared" si="73"/>
        <v/>
      </c>
      <c r="U577" s="246" t="str">
        <f t="shared" si="74"/>
        <v/>
      </c>
      <c r="V577" s="8"/>
      <c r="AR577" t="str">
        <f t="shared" si="75"/>
        <v/>
      </c>
      <c r="AS577" t="str">
        <f t="shared" si="70"/>
        <v/>
      </c>
    </row>
    <row r="578" spans="1:45" x14ac:dyDescent="0.3">
      <c r="A578" s="231"/>
      <c r="B578" s="235"/>
      <c r="C578" s="214"/>
      <c r="D578" s="214"/>
      <c r="E578" s="214"/>
      <c r="F578" s="214"/>
      <c r="G578" s="222"/>
      <c r="H578" s="221"/>
      <c r="I578" s="213"/>
      <c r="J578" s="213"/>
      <c r="K578" s="215"/>
      <c r="L578" s="216"/>
      <c r="M578" s="217"/>
      <c r="N578" s="176"/>
      <c r="O578" s="241" t="str">
        <f>IF(Q578 = "", "", COUNT(Q$4:$Q578))</f>
        <v/>
      </c>
      <c r="P578" s="241" t="str">
        <f t="shared" si="68"/>
        <v/>
      </c>
      <c r="Q578" s="242" t="str">
        <f t="shared" si="69"/>
        <v/>
      </c>
      <c r="R578" s="243" t="str">
        <f t="shared" si="71"/>
        <v/>
      </c>
      <c r="S578" s="244" t="str">
        <f t="shared" si="72"/>
        <v/>
      </c>
      <c r="T578" s="245" t="str">
        <f t="shared" si="73"/>
        <v/>
      </c>
      <c r="U578" s="246" t="str">
        <f t="shared" si="74"/>
        <v/>
      </c>
      <c r="V578" s="8"/>
      <c r="AR578" t="str">
        <f t="shared" si="75"/>
        <v/>
      </c>
      <c r="AS578" t="str">
        <f t="shared" si="70"/>
        <v/>
      </c>
    </row>
    <row r="579" spans="1:45" x14ac:dyDescent="0.3">
      <c r="A579" s="231"/>
      <c r="B579" s="235"/>
      <c r="C579" s="214"/>
      <c r="D579" s="214"/>
      <c r="E579" s="214"/>
      <c r="F579" s="214"/>
      <c r="G579" s="222"/>
      <c r="H579" s="221"/>
      <c r="I579" s="213"/>
      <c r="J579" s="213"/>
      <c r="K579" s="215"/>
      <c r="L579" s="216"/>
      <c r="M579" s="217"/>
      <c r="N579" s="176"/>
      <c r="O579" s="241" t="str">
        <f>IF(Q579 = "", "", COUNT(Q$4:$Q579))</f>
        <v/>
      </c>
      <c r="P579" s="241" t="str">
        <f t="shared" si="68"/>
        <v/>
      </c>
      <c r="Q579" s="242" t="str">
        <f t="shared" si="69"/>
        <v/>
      </c>
      <c r="R579" s="243" t="str">
        <f t="shared" si="71"/>
        <v/>
      </c>
      <c r="S579" s="244" t="str">
        <f t="shared" si="72"/>
        <v/>
      </c>
      <c r="T579" s="245" t="str">
        <f t="shared" si="73"/>
        <v/>
      </c>
      <c r="U579" s="246" t="str">
        <f t="shared" si="74"/>
        <v/>
      </c>
      <c r="V579" s="8"/>
      <c r="AR579" t="str">
        <f t="shared" si="75"/>
        <v/>
      </c>
      <c r="AS579" t="str">
        <f t="shared" si="70"/>
        <v/>
      </c>
    </row>
    <row r="580" spans="1:45" x14ac:dyDescent="0.3">
      <c r="A580" s="231"/>
      <c r="B580" s="235"/>
      <c r="C580" s="214"/>
      <c r="D580" s="214"/>
      <c r="E580" s="214"/>
      <c r="F580" s="214"/>
      <c r="G580" s="222"/>
      <c r="H580" s="221"/>
      <c r="I580" s="213"/>
      <c r="J580" s="213"/>
      <c r="K580" s="215"/>
      <c r="L580" s="216"/>
      <c r="M580" s="217"/>
      <c r="N580" s="176"/>
      <c r="O580" s="241" t="str">
        <f>IF(Q580 = "", "", COUNT(Q$4:$Q580))</f>
        <v/>
      </c>
      <c r="P580" s="241" t="str">
        <f t="shared" ref="P580:P643" si="76">IF(C580 &gt; 0, YEAR(B580), "")</f>
        <v/>
      </c>
      <c r="Q580" s="242" t="str">
        <f t="shared" ref="Q580:Q643" si="77">IF(A580="", "", IF(G580="",1,IF(G580="O",1,IF(G580="C",8.4,IF(G580="B",8.4,IF(G580="A",76.8,IF(G580="K",76.8,"ERR")))))))</f>
        <v/>
      </c>
      <c r="R580" s="243" t="str">
        <f t="shared" si="71"/>
        <v/>
      </c>
      <c r="S580" s="244" t="str">
        <f t="shared" si="72"/>
        <v/>
      </c>
      <c r="T580" s="245" t="str">
        <f t="shared" si="73"/>
        <v/>
      </c>
      <c r="U580" s="246" t="str">
        <f t="shared" si="74"/>
        <v/>
      </c>
      <c r="V580" s="8"/>
      <c r="AR580" t="str">
        <f t="shared" si="75"/>
        <v/>
      </c>
      <c r="AS580" t="str">
        <f t="shared" ref="AS580:AS643" si="78">IF(OR(L580="Y",M580="Y"),"Y","")</f>
        <v/>
      </c>
    </row>
    <row r="581" spans="1:45" x14ac:dyDescent="0.3">
      <c r="A581" s="231"/>
      <c r="B581" s="235"/>
      <c r="C581" s="214"/>
      <c r="D581" s="214"/>
      <c r="E581" s="214"/>
      <c r="F581" s="214"/>
      <c r="G581" s="222"/>
      <c r="H581" s="221"/>
      <c r="I581" s="213"/>
      <c r="J581" s="213"/>
      <c r="K581" s="215"/>
      <c r="L581" s="216"/>
      <c r="M581" s="217"/>
      <c r="N581" s="176"/>
      <c r="O581" s="241" t="str">
        <f>IF(Q581 = "", "", COUNT(Q$4:$Q581))</f>
        <v/>
      </c>
      <c r="P581" s="241" t="str">
        <f t="shared" si="76"/>
        <v/>
      </c>
      <c r="Q581" s="242" t="str">
        <f t="shared" si="77"/>
        <v/>
      </c>
      <c r="R581" s="243" t="str">
        <f t="shared" ref="R581:R644" si="79">IF(L581&lt;&gt;"",Q581,"")</f>
        <v/>
      </c>
      <c r="S581" s="244" t="str">
        <f t="shared" ref="S581:S644" si="80">IF(IF(L581&lt;&gt;"",G581,"")=0, "O", IF(L581&lt;&gt;"",G581,""))</f>
        <v/>
      </c>
      <c r="T581" s="245" t="str">
        <f t="shared" ref="T581:T644" si="81">IF(M581&lt;&gt;"",Q581,"")</f>
        <v/>
      </c>
      <c r="U581" s="246" t="str">
        <f t="shared" ref="U581:U644" si="82">IF(IF(M581&lt;&gt;"",G581,"")=0, "O", IF(M581&lt;&gt;"",G581,""))</f>
        <v/>
      </c>
      <c r="V581" s="8"/>
      <c r="AR581" t="str">
        <f t="shared" ref="AR581:AR644" si="83">IF(O581&gt;0, O581, "")</f>
        <v/>
      </c>
      <c r="AS581" t="str">
        <f t="shared" si="78"/>
        <v/>
      </c>
    </row>
    <row r="582" spans="1:45" x14ac:dyDescent="0.3">
      <c r="A582" s="231"/>
      <c r="B582" s="235"/>
      <c r="C582" s="214"/>
      <c r="D582" s="214"/>
      <c r="E582" s="214"/>
      <c r="F582" s="214"/>
      <c r="G582" s="222"/>
      <c r="H582" s="221"/>
      <c r="I582" s="213"/>
      <c r="J582" s="213"/>
      <c r="K582" s="215"/>
      <c r="L582" s="216"/>
      <c r="M582" s="217"/>
      <c r="N582" s="176"/>
      <c r="O582" s="241" t="str">
        <f>IF(Q582 = "", "", COUNT(Q$4:$Q582))</f>
        <v/>
      </c>
      <c r="P582" s="241" t="str">
        <f t="shared" si="76"/>
        <v/>
      </c>
      <c r="Q582" s="242" t="str">
        <f t="shared" si="77"/>
        <v/>
      </c>
      <c r="R582" s="243" t="str">
        <f t="shared" si="79"/>
        <v/>
      </c>
      <c r="S582" s="244" t="str">
        <f t="shared" si="80"/>
        <v/>
      </c>
      <c r="T582" s="245" t="str">
        <f t="shared" si="81"/>
        <v/>
      </c>
      <c r="U582" s="246" t="str">
        <f t="shared" si="82"/>
        <v/>
      </c>
      <c r="V582" s="8"/>
      <c r="AR582" t="str">
        <f t="shared" si="83"/>
        <v/>
      </c>
      <c r="AS582" t="str">
        <f t="shared" si="78"/>
        <v/>
      </c>
    </row>
    <row r="583" spans="1:45" x14ac:dyDescent="0.3">
      <c r="A583" s="231"/>
      <c r="B583" s="235"/>
      <c r="C583" s="214"/>
      <c r="D583" s="214"/>
      <c r="E583" s="214"/>
      <c r="F583" s="214"/>
      <c r="G583" s="222"/>
      <c r="H583" s="221"/>
      <c r="I583" s="213"/>
      <c r="J583" s="213"/>
      <c r="K583" s="215"/>
      <c r="L583" s="216"/>
      <c r="M583" s="217"/>
      <c r="N583" s="176"/>
      <c r="O583" s="241" t="str">
        <f>IF(Q583 = "", "", COUNT(Q$4:$Q583))</f>
        <v/>
      </c>
      <c r="P583" s="241" t="str">
        <f t="shared" si="76"/>
        <v/>
      </c>
      <c r="Q583" s="242" t="str">
        <f t="shared" si="77"/>
        <v/>
      </c>
      <c r="R583" s="243" t="str">
        <f t="shared" si="79"/>
        <v/>
      </c>
      <c r="S583" s="244" t="str">
        <f t="shared" si="80"/>
        <v/>
      </c>
      <c r="T583" s="245" t="str">
        <f t="shared" si="81"/>
        <v/>
      </c>
      <c r="U583" s="246" t="str">
        <f t="shared" si="82"/>
        <v/>
      </c>
      <c r="V583" s="8"/>
      <c r="AR583" t="str">
        <f t="shared" si="83"/>
        <v/>
      </c>
      <c r="AS583" t="str">
        <f t="shared" si="78"/>
        <v/>
      </c>
    </row>
    <row r="584" spans="1:45" x14ac:dyDescent="0.3">
      <c r="A584" s="231"/>
      <c r="B584" s="235"/>
      <c r="C584" s="214"/>
      <c r="D584" s="214"/>
      <c r="E584" s="214"/>
      <c r="F584" s="214"/>
      <c r="G584" s="222"/>
      <c r="H584" s="221"/>
      <c r="I584" s="213"/>
      <c r="J584" s="213"/>
      <c r="K584" s="215"/>
      <c r="L584" s="216"/>
      <c r="M584" s="217"/>
      <c r="N584" s="176"/>
      <c r="O584" s="241" t="str">
        <f>IF(Q584 = "", "", COUNT(Q$4:$Q584))</f>
        <v/>
      </c>
      <c r="P584" s="241" t="str">
        <f t="shared" si="76"/>
        <v/>
      </c>
      <c r="Q584" s="242" t="str">
        <f t="shared" si="77"/>
        <v/>
      </c>
      <c r="R584" s="243" t="str">
        <f t="shared" si="79"/>
        <v/>
      </c>
      <c r="S584" s="244" t="str">
        <f t="shared" si="80"/>
        <v/>
      </c>
      <c r="T584" s="245" t="str">
        <f t="shared" si="81"/>
        <v/>
      </c>
      <c r="U584" s="246" t="str">
        <f t="shared" si="82"/>
        <v/>
      </c>
      <c r="V584" s="8"/>
      <c r="AR584" t="str">
        <f t="shared" si="83"/>
        <v/>
      </c>
      <c r="AS584" t="str">
        <f t="shared" si="78"/>
        <v/>
      </c>
    </row>
    <row r="585" spans="1:45" x14ac:dyDescent="0.3">
      <c r="A585" s="231"/>
      <c r="B585" s="235"/>
      <c r="C585" s="214"/>
      <c r="D585" s="214"/>
      <c r="E585" s="214"/>
      <c r="F585" s="214"/>
      <c r="G585" s="222"/>
      <c r="H585" s="221"/>
      <c r="I585" s="213"/>
      <c r="J585" s="213"/>
      <c r="K585" s="215"/>
      <c r="L585" s="216"/>
      <c r="M585" s="217"/>
      <c r="N585" s="176"/>
      <c r="O585" s="241" t="str">
        <f>IF(Q585 = "", "", COUNT(Q$4:$Q585))</f>
        <v/>
      </c>
      <c r="P585" s="241" t="str">
        <f t="shared" si="76"/>
        <v/>
      </c>
      <c r="Q585" s="242" t="str">
        <f t="shared" si="77"/>
        <v/>
      </c>
      <c r="R585" s="243" t="str">
        <f t="shared" si="79"/>
        <v/>
      </c>
      <c r="S585" s="244" t="str">
        <f t="shared" si="80"/>
        <v/>
      </c>
      <c r="T585" s="245" t="str">
        <f t="shared" si="81"/>
        <v/>
      </c>
      <c r="U585" s="246" t="str">
        <f t="shared" si="82"/>
        <v/>
      </c>
      <c r="V585" s="8"/>
      <c r="AR585" t="str">
        <f t="shared" si="83"/>
        <v/>
      </c>
      <c r="AS585" t="str">
        <f t="shared" si="78"/>
        <v/>
      </c>
    </row>
    <row r="586" spans="1:45" x14ac:dyDescent="0.3">
      <c r="A586" s="231"/>
      <c r="B586" s="235"/>
      <c r="C586" s="214"/>
      <c r="D586" s="214"/>
      <c r="E586" s="214"/>
      <c r="F586" s="214"/>
      <c r="G586" s="222"/>
      <c r="H586" s="221"/>
      <c r="I586" s="213"/>
      <c r="J586" s="213"/>
      <c r="K586" s="215"/>
      <c r="L586" s="216"/>
      <c r="M586" s="217"/>
      <c r="N586" s="176"/>
      <c r="O586" s="241" t="str">
        <f>IF(Q586 = "", "", COUNT(Q$4:$Q586))</f>
        <v/>
      </c>
      <c r="P586" s="241" t="str">
        <f t="shared" si="76"/>
        <v/>
      </c>
      <c r="Q586" s="242" t="str">
        <f t="shared" si="77"/>
        <v/>
      </c>
      <c r="R586" s="243" t="str">
        <f t="shared" si="79"/>
        <v/>
      </c>
      <c r="S586" s="244" t="str">
        <f t="shared" si="80"/>
        <v/>
      </c>
      <c r="T586" s="245" t="str">
        <f t="shared" si="81"/>
        <v/>
      </c>
      <c r="U586" s="246" t="str">
        <f t="shared" si="82"/>
        <v/>
      </c>
      <c r="V586" s="8"/>
      <c r="AR586" t="str">
        <f t="shared" si="83"/>
        <v/>
      </c>
      <c r="AS586" t="str">
        <f t="shared" si="78"/>
        <v/>
      </c>
    </row>
    <row r="587" spans="1:45" x14ac:dyDescent="0.3">
      <c r="A587" s="231"/>
      <c r="B587" s="235"/>
      <c r="C587" s="214"/>
      <c r="D587" s="214"/>
      <c r="E587" s="214"/>
      <c r="F587" s="214"/>
      <c r="G587" s="222"/>
      <c r="H587" s="221"/>
      <c r="I587" s="213"/>
      <c r="J587" s="213"/>
      <c r="K587" s="215"/>
      <c r="L587" s="216"/>
      <c r="M587" s="217"/>
      <c r="N587" s="176"/>
      <c r="O587" s="241" t="str">
        <f>IF(Q587 = "", "", COUNT(Q$4:$Q587))</f>
        <v/>
      </c>
      <c r="P587" s="241" t="str">
        <f t="shared" si="76"/>
        <v/>
      </c>
      <c r="Q587" s="242" t="str">
        <f t="shared" si="77"/>
        <v/>
      </c>
      <c r="R587" s="243" t="str">
        <f t="shared" si="79"/>
        <v/>
      </c>
      <c r="S587" s="244" t="str">
        <f t="shared" si="80"/>
        <v/>
      </c>
      <c r="T587" s="245" t="str">
        <f t="shared" si="81"/>
        <v/>
      </c>
      <c r="U587" s="246" t="str">
        <f t="shared" si="82"/>
        <v/>
      </c>
      <c r="V587" s="8"/>
      <c r="AR587" t="str">
        <f t="shared" si="83"/>
        <v/>
      </c>
      <c r="AS587" t="str">
        <f t="shared" si="78"/>
        <v/>
      </c>
    </row>
    <row r="588" spans="1:45" x14ac:dyDescent="0.3">
      <c r="A588" s="231"/>
      <c r="B588" s="235"/>
      <c r="C588" s="214"/>
      <c r="D588" s="214"/>
      <c r="E588" s="214"/>
      <c r="F588" s="214"/>
      <c r="G588" s="222"/>
      <c r="H588" s="221"/>
      <c r="I588" s="213"/>
      <c r="J588" s="213"/>
      <c r="K588" s="215"/>
      <c r="L588" s="216"/>
      <c r="M588" s="217"/>
      <c r="N588" s="176"/>
      <c r="O588" s="241" t="str">
        <f>IF(Q588 = "", "", COUNT(Q$4:$Q588))</f>
        <v/>
      </c>
      <c r="P588" s="241" t="str">
        <f t="shared" si="76"/>
        <v/>
      </c>
      <c r="Q588" s="242" t="str">
        <f t="shared" si="77"/>
        <v/>
      </c>
      <c r="R588" s="243" t="str">
        <f t="shared" si="79"/>
        <v/>
      </c>
      <c r="S588" s="244" t="str">
        <f t="shared" si="80"/>
        <v/>
      </c>
      <c r="T588" s="245" t="str">
        <f t="shared" si="81"/>
        <v/>
      </c>
      <c r="U588" s="246" t="str">
        <f t="shared" si="82"/>
        <v/>
      </c>
      <c r="V588" s="8"/>
      <c r="AR588" t="str">
        <f t="shared" si="83"/>
        <v/>
      </c>
      <c r="AS588" t="str">
        <f t="shared" si="78"/>
        <v/>
      </c>
    </row>
    <row r="589" spans="1:45" x14ac:dyDescent="0.3">
      <c r="A589" s="231"/>
      <c r="B589" s="235"/>
      <c r="C589" s="214"/>
      <c r="D589" s="214"/>
      <c r="E589" s="214"/>
      <c r="F589" s="214"/>
      <c r="G589" s="222"/>
      <c r="H589" s="221"/>
      <c r="I589" s="213"/>
      <c r="J589" s="213"/>
      <c r="K589" s="215"/>
      <c r="L589" s="216"/>
      <c r="M589" s="217"/>
      <c r="N589" s="176"/>
      <c r="O589" s="241" t="str">
        <f>IF(Q589 = "", "", COUNT(Q$4:$Q589))</f>
        <v/>
      </c>
      <c r="P589" s="241" t="str">
        <f t="shared" si="76"/>
        <v/>
      </c>
      <c r="Q589" s="242" t="str">
        <f t="shared" si="77"/>
        <v/>
      </c>
      <c r="R589" s="243" t="str">
        <f t="shared" si="79"/>
        <v/>
      </c>
      <c r="S589" s="244" t="str">
        <f t="shared" si="80"/>
        <v/>
      </c>
      <c r="T589" s="245" t="str">
        <f t="shared" si="81"/>
        <v/>
      </c>
      <c r="U589" s="246" t="str">
        <f t="shared" si="82"/>
        <v/>
      </c>
      <c r="V589" s="8"/>
      <c r="AR589" t="str">
        <f t="shared" si="83"/>
        <v/>
      </c>
      <c r="AS589" t="str">
        <f t="shared" si="78"/>
        <v/>
      </c>
    </row>
    <row r="590" spans="1:45" x14ac:dyDescent="0.3">
      <c r="A590" s="231"/>
      <c r="B590" s="235"/>
      <c r="C590" s="214"/>
      <c r="D590" s="214"/>
      <c r="E590" s="214"/>
      <c r="F590" s="214"/>
      <c r="G590" s="222"/>
      <c r="H590" s="221"/>
      <c r="I590" s="213"/>
      <c r="J590" s="213"/>
      <c r="K590" s="215"/>
      <c r="L590" s="216"/>
      <c r="M590" s="217"/>
      <c r="N590" s="176"/>
      <c r="O590" s="241" t="str">
        <f>IF(Q590 = "", "", COUNT(Q$4:$Q590))</f>
        <v/>
      </c>
      <c r="P590" s="241" t="str">
        <f t="shared" si="76"/>
        <v/>
      </c>
      <c r="Q590" s="242" t="str">
        <f t="shared" si="77"/>
        <v/>
      </c>
      <c r="R590" s="243" t="str">
        <f t="shared" si="79"/>
        <v/>
      </c>
      <c r="S590" s="244" t="str">
        <f t="shared" si="80"/>
        <v/>
      </c>
      <c r="T590" s="245" t="str">
        <f t="shared" si="81"/>
        <v/>
      </c>
      <c r="U590" s="246" t="str">
        <f t="shared" si="82"/>
        <v/>
      </c>
      <c r="V590" s="8"/>
      <c r="AR590" t="str">
        <f t="shared" si="83"/>
        <v/>
      </c>
      <c r="AS590" t="str">
        <f t="shared" si="78"/>
        <v/>
      </c>
    </row>
    <row r="591" spans="1:45" x14ac:dyDescent="0.3">
      <c r="A591" s="231"/>
      <c r="B591" s="235"/>
      <c r="C591" s="214"/>
      <c r="D591" s="214"/>
      <c r="E591" s="214"/>
      <c r="F591" s="214"/>
      <c r="G591" s="222"/>
      <c r="H591" s="221"/>
      <c r="I591" s="213"/>
      <c r="J591" s="213"/>
      <c r="K591" s="215"/>
      <c r="L591" s="216"/>
      <c r="M591" s="217"/>
      <c r="N591" s="176"/>
      <c r="O591" s="241" t="str">
        <f>IF(Q591 = "", "", COUNT(Q$4:$Q591))</f>
        <v/>
      </c>
      <c r="P591" s="241" t="str">
        <f t="shared" si="76"/>
        <v/>
      </c>
      <c r="Q591" s="242" t="str">
        <f t="shared" si="77"/>
        <v/>
      </c>
      <c r="R591" s="243" t="str">
        <f t="shared" si="79"/>
        <v/>
      </c>
      <c r="S591" s="244" t="str">
        <f t="shared" si="80"/>
        <v/>
      </c>
      <c r="T591" s="245" t="str">
        <f t="shared" si="81"/>
        <v/>
      </c>
      <c r="U591" s="246" t="str">
        <f t="shared" si="82"/>
        <v/>
      </c>
      <c r="V591" s="8"/>
      <c r="AR591" t="str">
        <f t="shared" si="83"/>
        <v/>
      </c>
      <c r="AS591" t="str">
        <f t="shared" si="78"/>
        <v/>
      </c>
    </row>
    <row r="592" spans="1:45" x14ac:dyDescent="0.3">
      <c r="A592" s="231"/>
      <c r="B592" s="235"/>
      <c r="C592" s="214"/>
      <c r="D592" s="214"/>
      <c r="E592" s="214"/>
      <c r="F592" s="214"/>
      <c r="G592" s="222"/>
      <c r="H592" s="221"/>
      <c r="I592" s="213"/>
      <c r="J592" s="213"/>
      <c r="K592" s="215"/>
      <c r="L592" s="216"/>
      <c r="M592" s="217"/>
      <c r="N592" s="176"/>
      <c r="O592" s="241" t="str">
        <f>IF(Q592 = "", "", COUNT(Q$4:$Q592))</f>
        <v/>
      </c>
      <c r="P592" s="241" t="str">
        <f t="shared" si="76"/>
        <v/>
      </c>
      <c r="Q592" s="242" t="str">
        <f t="shared" si="77"/>
        <v/>
      </c>
      <c r="R592" s="243" t="str">
        <f t="shared" si="79"/>
        <v/>
      </c>
      <c r="S592" s="244" t="str">
        <f t="shared" si="80"/>
        <v/>
      </c>
      <c r="T592" s="245" t="str">
        <f t="shared" si="81"/>
        <v/>
      </c>
      <c r="U592" s="246" t="str">
        <f t="shared" si="82"/>
        <v/>
      </c>
      <c r="V592" s="8"/>
      <c r="AR592" t="str">
        <f t="shared" si="83"/>
        <v/>
      </c>
      <c r="AS592" t="str">
        <f t="shared" si="78"/>
        <v/>
      </c>
    </row>
    <row r="593" spans="1:45" x14ac:dyDescent="0.3">
      <c r="A593" s="231"/>
      <c r="B593" s="235"/>
      <c r="C593" s="214"/>
      <c r="D593" s="214"/>
      <c r="E593" s="214"/>
      <c r="F593" s="214"/>
      <c r="G593" s="222"/>
      <c r="H593" s="221"/>
      <c r="I593" s="213"/>
      <c r="J593" s="213"/>
      <c r="K593" s="215"/>
      <c r="L593" s="216"/>
      <c r="M593" s="217"/>
      <c r="N593" s="176"/>
      <c r="O593" s="241" t="str">
        <f>IF(Q593 = "", "", COUNT(Q$4:$Q593))</f>
        <v/>
      </c>
      <c r="P593" s="241" t="str">
        <f t="shared" si="76"/>
        <v/>
      </c>
      <c r="Q593" s="242" t="str">
        <f t="shared" si="77"/>
        <v/>
      </c>
      <c r="R593" s="243" t="str">
        <f t="shared" si="79"/>
        <v/>
      </c>
      <c r="S593" s="244" t="str">
        <f t="shared" si="80"/>
        <v/>
      </c>
      <c r="T593" s="245" t="str">
        <f t="shared" si="81"/>
        <v/>
      </c>
      <c r="U593" s="246" t="str">
        <f t="shared" si="82"/>
        <v/>
      </c>
      <c r="V593" s="8"/>
      <c r="AR593" t="str">
        <f t="shared" si="83"/>
        <v/>
      </c>
      <c r="AS593" t="str">
        <f t="shared" si="78"/>
        <v/>
      </c>
    </row>
    <row r="594" spans="1:45" x14ac:dyDescent="0.3">
      <c r="A594" s="231"/>
      <c r="B594" s="235"/>
      <c r="C594" s="214"/>
      <c r="D594" s="214"/>
      <c r="E594" s="214"/>
      <c r="F594" s="214"/>
      <c r="G594" s="222"/>
      <c r="H594" s="221"/>
      <c r="I594" s="213"/>
      <c r="J594" s="213"/>
      <c r="K594" s="215"/>
      <c r="L594" s="216"/>
      <c r="M594" s="217"/>
      <c r="N594" s="176"/>
      <c r="O594" s="241" t="str">
        <f>IF(Q594 = "", "", COUNT(Q$4:$Q594))</f>
        <v/>
      </c>
      <c r="P594" s="241" t="str">
        <f t="shared" si="76"/>
        <v/>
      </c>
      <c r="Q594" s="242" t="str">
        <f t="shared" si="77"/>
        <v/>
      </c>
      <c r="R594" s="243" t="str">
        <f t="shared" si="79"/>
        <v/>
      </c>
      <c r="S594" s="244" t="str">
        <f t="shared" si="80"/>
        <v/>
      </c>
      <c r="T594" s="245" t="str">
        <f t="shared" si="81"/>
        <v/>
      </c>
      <c r="U594" s="246" t="str">
        <f t="shared" si="82"/>
        <v/>
      </c>
      <c r="V594" s="8"/>
      <c r="AR594" t="str">
        <f t="shared" si="83"/>
        <v/>
      </c>
      <c r="AS594" t="str">
        <f t="shared" si="78"/>
        <v/>
      </c>
    </row>
    <row r="595" spans="1:45" x14ac:dyDescent="0.3">
      <c r="A595" s="231"/>
      <c r="B595" s="235"/>
      <c r="C595" s="214"/>
      <c r="D595" s="214"/>
      <c r="E595" s="214"/>
      <c r="F595" s="214"/>
      <c r="G595" s="222"/>
      <c r="H595" s="221"/>
      <c r="I595" s="213"/>
      <c r="J595" s="213"/>
      <c r="K595" s="215"/>
      <c r="L595" s="216"/>
      <c r="M595" s="217"/>
      <c r="N595" s="176"/>
      <c r="O595" s="241" t="str">
        <f>IF(Q595 = "", "", COUNT(Q$4:$Q595))</f>
        <v/>
      </c>
      <c r="P595" s="241" t="str">
        <f t="shared" si="76"/>
        <v/>
      </c>
      <c r="Q595" s="242" t="str">
        <f t="shared" si="77"/>
        <v/>
      </c>
      <c r="R595" s="243" t="str">
        <f t="shared" si="79"/>
        <v/>
      </c>
      <c r="S595" s="244" t="str">
        <f t="shared" si="80"/>
        <v/>
      </c>
      <c r="T595" s="245" t="str">
        <f t="shared" si="81"/>
        <v/>
      </c>
      <c r="U595" s="246" t="str">
        <f t="shared" si="82"/>
        <v/>
      </c>
      <c r="V595" s="8"/>
      <c r="AR595" t="str">
        <f t="shared" si="83"/>
        <v/>
      </c>
      <c r="AS595" t="str">
        <f t="shared" si="78"/>
        <v/>
      </c>
    </row>
    <row r="596" spans="1:45" x14ac:dyDescent="0.3">
      <c r="A596" s="231"/>
      <c r="B596" s="235"/>
      <c r="C596" s="214"/>
      <c r="D596" s="214"/>
      <c r="E596" s="214"/>
      <c r="F596" s="214"/>
      <c r="G596" s="222"/>
      <c r="H596" s="221"/>
      <c r="I596" s="213"/>
      <c r="J596" s="213"/>
      <c r="K596" s="215"/>
      <c r="L596" s="216"/>
      <c r="M596" s="217"/>
      <c r="N596" s="176"/>
      <c r="O596" s="241" t="str">
        <f>IF(Q596 = "", "", COUNT(Q$4:$Q596))</f>
        <v/>
      </c>
      <c r="P596" s="241" t="str">
        <f t="shared" si="76"/>
        <v/>
      </c>
      <c r="Q596" s="242" t="str">
        <f t="shared" si="77"/>
        <v/>
      </c>
      <c r="R596" s="243" t="str">
        <f t="shared" si="79"/>
        <v/>
      </c>
      <c r="S596" s="244" t="str">
        <f t="shared" si="80"/>
        <v/>
      </c>
      <c r="T596" s="245" t="str">
        <f t="shared" si="81"/>
        <v/>
      </c>
      <c r="U596" s="246" t="str">
        <f t="shared" si="82"/>
        <v/>
      </c>
      <c r="V596" s="8"/>
      <c r="AR596" t="str">
        <f t="shared" si="83"/>
        <v/>
      </c>
      <c r="AS596" t="str">
        <f t="shared" si="78"/>
        <v/>
      </c>
    </row>
    <row r="597" spans="1:45" x14ac:dyDescent="0.3">
      <c r="A597" s="231"/>
      <c r="B597" s="235"/>
      <c r="C597" s="214"/>
      <c r="D597" s="214"/>
      <c r="E597" s="214"/>
      <c r="F597" s="214"/>
      <c r="G597" s="222"/>
      <c r="H597" s="221"/>
      <c r="I597" s="213"/>
      <c r="J597" s="213"/>
      <c r="K597" s="215"/>
      <c r="L597" s="216"/>
      <c r="M597" s="217"/>
      <c r="N597" s="176"/>
      <c r="O597" s="241" t="str">
        <f>IF(Q597 = "", "", COUNT(Q$4:$Q597))</f>
        <v/>
      </c>
      <c r="P597" s="241" t="str">
        <f t="shared" si="76"/>
        <v/>
      </c>
      <c r="Q597" s="242" t="str">
        <f t="shared" si="77"/>
        <v/>
      </c>
      <c r="R597" s="243" t="str">
        <f t="shared" si="79"/>
        <v/>
      </c>
      <c r="S597" s="244" t="str">
        <f t="shared" si="80"/>
        <v/>
      </c>
      <c r="T597" s="245" t="str">
        <f t="shared" si="81"/>
        <v/>
      </c>
      <c r="U597" s="246" t="str">
        <f t="shared" si="82"/>
        <v/>
      </c>
      <c r="V597" s="8"/>
      <c r="AR597" t="str">
        <f t="shared" si="83"/>
        <v/>
      </c>
      <c r="AS597" t="str">
        <f t="shared" si="78"/>
        <v/>
      </c>
    </row>
    <row r="598" spans="1:45" x14ac:dyDescent="0.3">
      <c r="A598" s="231"/>
      <c r="B598" s="235"/>
      <c r="C598" s="214"/>
      <c r="D598" s="214"/>
      <c r="E598" s="214"/>
      <c r="F598" s="214"/>
      <c r="G598" s="222"/>
      <c r="H598" s="221"/>
      <c r="I598" s="213"/>
      <c r="J598" s="213"/>
      <c r="K598" s="215"/>
      <c r="L598" s="216"/>
      <c r="M598" s="217"/>
      <c r="N598" s="176"/>
      <c r="O598" s="241" t="str">
        <f>IF(Q598 = "", "", COUNT(Q$4:$Q598))</f>
        <v/>
      </c>
      <c r="P598" s="241" t="str">
        <f t="shared" si="76"/>
        <v/>
      </c>
      <c r="Q598" s="242" t="str">
        <f t="shared" si="77"/>
        <v/>
      </c>
      <c r="R598" s="243" t="str">
        <f t="shared" si="79"/>
        <v/>
      </c>
      <c r="S598" s="244" t="str">
        <f t="shared" si="80"/>
        <v/>
      </c>
      <c r="T598" s="245" t="str">
        <f t="shared" si="81"/>
        <v/>
      </c>
      <c r="U598" s="246" t="str">
        <f t="shared" si="82"/>
        <v/>
      </c>
      <c r="V598" s="8"/>
      <c r="AR598" t="str">
        <f t="shared" si="83"/>
        <v/>
      </c>
      <c r="AS598" t="str">
        <f t="shared" si="78"/>
        <v/>
      </c>
    </row>
    <row r="599" spans="1:45" x14ac:dyDescent="0.3">
      <c r="A599" s="231"/>
      <c r="B599" s="235"/>
      <c r="C599" s="214"/>
      <c r="D599" s="214"/>
      <c r="E599" s="214"/>
      <c r="F599" s="214"/>
      <c r="G599" s="222"/>
      <c r="H599" s="221"/>
      <c r="I599" s="213"/>
      <c r="J599" s="213"/>
      <c r="K599" s="215"/>
      <c r="L599" s="216"/>
      <c r="M599" s="217"/>
      <c r="N599" s="176"/>
      <c r="O599" s="241" t="str">
        <f>IF(Q599 = "", "", COUNT(Q$4:$Q599))</f>
        <v/>
      </c>
      <c r="P599" s="241" t="str">
        <f t="shared" si="76"/>
        <v/>
      </c>
      <c r="Q599" s="242" t="str">
        <f t="shared" si="77"/>
        <v/>
      </c>
      <c r="R599" s="243" t="str">
        <f t="shared" si="79"/>
        <v/>
      </c>
      <c r="S599" s="244" t="str">
        <f t="shared" si="80"/>
        <v/>
      </c>
      <c r="T599" s="245" t="str">
        <f t="shared" si="81"/>
        <v/>
      </c>
      <c r="U599" s="246" t="str">
        <f t="shared" si="82"/>
        <v/>
      </c>
      <c r="V599" s="8"/>
      <c r="AR599" t="str">
        <f t="shared" si="83"/>
        <v/>
      </c>
      <c r="AS599" t="str">
        <f t="shared" si="78"/>
        <v/>
      </c>
    </row>
    <row r="600" spans="1:45" x14ac:dyDescent="0.3">
      <c r="A600" s="231"/>
      <c r="B600" s="235"/>
      <c r="C600" s="214"/>
      <c r="D600" s="214"/>
      <c r="E600" s="214"/>
      <c r="F600" s="214"/>
      <c r="G600" s="222"/>
      <c r="H600" s="221"/>
      <c r="I600" s="213"/>
      <c r="J600" s="213"/>
      <c r="K600" s="215"/>
      <c r="L600" s="216"/>
      <c r="M600" s="217"/>
      <c r="N600" s="176"/>
      <c r="O600" s="241" t="str">
        <f>IF(Q600 = "", "", COUNT(Q$4:$Q600))</f>
        <v/>
      </c>
      <c r="P600" s="241" t="str">
        <f t="shared" si="76"/>
        <v/>
      </c>
      <c r="Q600" s="242" t="str">
        <f t="shared" si="77"/>
        <v/>
      </c>
      <c r="R600" s="243" t="str">
        <f t="shared" si="79"/>
        <v/>
      </c>
      <c r="S600" s="244" t="str">
        <f t="shared" si="80"/>
        <v/>
      </c>
      <c r="T600" s="245" t="str">
        <f t="shared" si="81"/>
        <v/>
      </c>
      <c r="U600" s="246" t="str">
        <f t="shared" si="82"/>
        <v/>
      </c>
      <c r="V600" s="8"/>
      <c r="AR600" t="str">
        <f t="shared" si="83"/>
        <v/>
      </c>
      <c r="AS600" t="str">
        <f t="shared" si="78"/>
        <v/>
      </c>
    </row>
    <row r="601" spans="1:45" x14ac:dyDescent="0.3">
      <c r="A601" s="231"/>
      <c r="B601" s="235"/>
      <c r="C601" s="214"/>
      <c r="D601" s="214"/>
      <c r="E601" s="214"/>
      <c r="F601" s="214"/>
      <c r="G601" s="222"/>
      <c r="H601" s="221"/>
      <c r="I601" s="213"/>
      <c r="J601" s="213"/>
      <c r="K601" s="215"/>
      <c r="L601" s="216"/>
      <c r="M601" s="217"/>
      <c r="N601" s="176"/>
      <c r="O601" s="241" t="str">
        <f>IF(Q601 = "", "", COUNT(Q$4:$Q601))</f>
        <v/>
      </c>
      <c r="P601" s="241" t="str">
        <f t="shared" si="76"/>
        <v/>
      </c>
      <c r="Q601" s="242" t="str">
        <f t="shared" si="77"/>
        <v/>
      </c>
      <c r="R601" s="243" t="str">
        <f t="shared" si="79"/>
        <v/>
      </c>
      <c r="S601" s="244" t="str">
        <f t="shared" si="80"/>
        <v/>
      </c>
      <c r="T601" s="245" t="str">
        <f t="shared" si="81"/>
        <v/>
      </c>
      <c r="U601" s="246" t="str">
        <f t="shared" si="82"/>
        <v/>
      </c>
      <c r="V601" s="8"/>
      <c r="AR601" t="str">
        <f t="shared" si="83"/>
        <v/>
      </c>
      <c r="AS601" t="str">
        <f t="shared" si="78"/>
        <v/>
      </c>
    </row>
    <row r="602" spans="1:45" x14ac:dyDescent="0.3">
      <c r="A602" s="231"/>
      <c r="B602" s="235"/>
      <c r="C602" s="214"/>
      <c r="D602" s="214"/>
      <c r="E602" s="214"/>
      <c r="F602" s="214"/>
      <c r="G602" s="222"/>
      <c r="H602" s="221"/>
      <c r="I602" s="213"/>
      <c r="J602" s="213"/>
      <c r="K602" s="215"/>
      <c r="L602" s="216"/>
      <c r="M602" s="217"/>
      <c r="N602" s="176"/>
      <c r="O602" s="241" t="str">
        <f>IF(Q602 = "", "", COUNT(Q$4:$Q602))</f>
        <v/>
      </c>
      <c r="P602" s="241" t="str">
        <f t="shared" si="76"/>
        <v/>
      </c>
      <c r="Q602" s="242" t="str">
        <f t="shared" si="77"/>
        <v/>
      </c>
      <c r="R602" s="243" t="str">
        <f t="shared" si="79"/>
        <v/>
      </c>
      <c r="S602" s="244" t="str">
        <f t="shared" si="80"/>
        <v/>
      </c>
      <c r="T602" s="245" t="str">
        <f t="shared" si="81"/>
        <v/>
      </c>
      <c r="U602" s="246" t="str">
        <f t="shared" si="82"/>
        <v/>
      </c>
      <c r="V602" s="8"/>
      <c r="AR602" t="str">
        <f t="shared" si="83"/>
        <v/>
      </c>
      <c r="AS602" t="str">
        <f t="shared" si="78"/>
        <v/>
      </c>
    </row>
    <row r="603" spans="1:45" x14ac:dyDescent="0.3">
      <c r="A603" s="231"/>
      <c r="B603" s="235"/>
      <c r="C603" s="214"/>
      <c r="D603" s="214"/>
      <c r="E603" s="214"/>
      <c r="F603" s="214"/>
      <c r="G603" s="222"/>
      <c r="H603" s="221"/>
      <c r="I603" s="213"/>
      <c r="J603" s="213"/>
      <c r="K603" s="215"/>
      <c r="L603" s="216"/>
      <c r="M603" s="217"/>
      <c r="N603" s="176"/>
      <c r="O603" s="241" t="str">
        <f>IF(Q603 = "", "", COUNT(Q$4:$Q603))</f>
        <v/>
      </c>
      <c r="P603" s="241" t="str">
        <f t="shared" si="76"/>
        <v/>
      </c>
      <c r="Q603" s="242" t="str">
        <f t="shared" si="77"/>
        <v/>
      </c>
      <c r="R603" s="243" t="str">
        <f t="shared" si="79"/>
        <v/>
      </c>
      <c r="S603" s="244" t="str">
        <f t="shared" si="80"/>
        <v/>
      </c>
      <c r="T603" s="245" t="str">
        <f t="shared" si="81"/>
        <v/>
      </c>
      <c r="U603" s="246" t="str">
        <f t="shared" si="82"/>
        <v/>
      </c>
      <c r="V603" s="8"/>
      <c r="AR603" t="str">
        <f t="shared" si="83"/>
        <v/>
      </c>
      <c r="AS603" t="str">
        <f t="shared" si="78"/>
        <v/>
      </c>
    </row>
    <row r="604" spans="1:45" x14ac:dyDescent="0.3">
      <c r="A604" s="231"/>
      <c r="B604" s="235"/>
      <c r="C604" s="214"/>
      <c r="D604" s="214"/>
      <c r="E604" s="214"/>
      <c r="F604" s="214"/>
      <c r="G604" s="222"/>
      <c r="H604" s="221"/>
      <c r="I604" s="213"/>
      <c r="J604" s="213"/>
      <c r="K604" s="215"/>
      <c r="L604" s="216"/>
      <c r="M604" s="217"/>
      <c r="N604" s="176"/>
      <c r="O604" s="241" t="str">
        <f>IF(Q604 = "", "", COUNT(Q$4:$Q604))</f>
        <v/>
      </c>
      <c r="P604" s="241" t="str">
        <f t="shared" si="76"/>
        <v/>
      </c>
      <c r="Q604" s="242" t="str">
        <f t="shared" si="77"/>
        <v/>
      </c>
      <c r="R604" s="243" t="str">
        <f t="shared" si="79"/>
        <v/>
      </c>
      <c r="S604" s="244" t="str">
        <f t="shared" si="80"/>
        <v/>
      </c>
      <c r="T604" s="245" t="str">
        <f t="shared" si="81"/>
        <v/>
      </c>
      <c r="U604" s="246" t="str">
        <f t="shared" si="82"/>
        <v/>
      </c>
      <c r="V604" s="8"/>
      <c r="AR604" t="str">
        <f t="shared" si="83"/>
        <v/>
      </c>
      <c r="AS604" t="str">
        <f t="shared" si="78"/>
        <v/>
      </c>
    </row>
    <row r="605" spans="1:45" x14ac:dyDescent="0.3">
      <c r="A605" s="231"/>
      <c r="B605" s="235"/>
      <c r="C605" s="214"/>
      <c r="D605" s="214"/>
      <c r="E605" s="214"/>
      <c r="F605" s="214"/>
      <c r="G605" s="222"/>
      <c r="H605" s="221"/>
      <c r="I605" s="213"/>
      <c r="J605" s="213"/>
      <c r="K605" s="215"/>
      <c r="L605" s="216"/>
      <c r="M605" s="217"/>
      <c r="N605" s="176"/>
      <c r="O605" s="241" t="str">
        <f>IF(Q605 = "", "", COUNT(Q$4:$Q605))</f>
        <v/>
      </c>
      <c r="P605" s="241" t="str">
        <f t="shared" si="76"/>
        <v/>
      </c>
      <c r="Q605" s="242" t="str">
        <f t="shared" si="77"/>
        <v/>
      </c>
      <c r="R605" s="243" t="str">
        <f t="shared" si="79"/>
        <v/>
      </c>
      <c r="S605" s="244" t="str">
        <f t="shared" si="80"/>
        <v/>
      </c>
      <c r="T605" s="245" t="str">
        <f t="shared" si="81"/>
        <v/>
      </c>
      <c r="U605" s="246" t="str">
        <f t="shared" si="82"/>
        <v/>
      </c>
      <c r="V605" s="8"/>
      <c r="AR605" t="str">
        <f t="shared" si="83"/>
        <v/>
      </c>
      <c r="AS605" t="str">
        <f t="shared" si="78"/>
        <v/>
      </c>
    </row>
    <row r="606" spans="1:45" x14ac:dyDescent="0.3">
      <c r="A606" s="231"/>
      <c r="B606" s="235"/>
      <c r="C606" s="214"/>
      <c r="D606" s="214"/>
      <c r="E606" s="214"/>
      <c r="F606" s="214"/>
      <c r="G606" s="222"/>
      <c r="H606" s="221"/>
      <c r="I606" s="213"/>
      <c r="J606" s="213"/>
      <c r="K606" s="215"/>
      <c r="L606" s="216"/>
      <c r="M606" s="217"/>
      <c r="N606" s="176"/>
      <c r="O606" s="241" t="str">
        <f>IF(Q606 = "", "", COUNT(Q$4:$Q606))</f>
        <v/>
      </c>
      <c r="P606" s="241" t="str">
        <f t="shared" si="76"/>
        <v/>
      </c>
      <c r="Q606" s="242" t="str">
        <f t="shared" si="77"/>
        <v/>
      </c>
      <c r="R606" s="243" t="str">
        <f t="shared" si="79"/>
        <v/>
      </c>
      <c r="S606" s="244" t="str">
        <f t="shared" si="80"/>
        <v/>
      </c>
      <c r="T606" s="245" t="str">
        <f t="shared" si="81"/>
        <v/>
      </c>
      <c r="U606" s="246" t="str">
        <f t="shared" si="82"/>
        <v/>
      </c>
      <c r="V606" s="8"/>
      <c r="AR606" t="str">
        <f t="shared" si="83"/>
        <v/>
      </c>
      <c r="AS606" t="str">
        <f t="shared" si="78"/>
        <v/>
      </c>
    </row>
    <row r="607" spans="1:45" x14ac:dyDescent="0.3">
      <c r="A607" s="231"/>
      <c r="B607" s="235"/>
      <c r="C607" s="214"/>
      <c r="D607" s="214"/>
      <c r="E607" s="214"/>
      <c r="F607" s="214"/>
      <c r="G607" s="222"/>
      <c r="H607" s="221"/>
      <c r="I607" s="213"/>
      <c r="J607" s="213"/>
      <c r="K607" s="215"/>
      <c r="L607" s="216"/>
      <c r="M607" s="217"/>
      <c r="N607" s="176"/>
      <c r="O607" s="241" t="str">
        <f>IF(Q607 = "", "", COUNT(Q$4:$Q607))</f>
        <v/>
      </c>
      <c r="P607" s="241" t="str">
        <f t="shared" si="76"/>
        <v/>
      </c>
      <c r="Q607" s="242" t="str">
        <f t="shared" si="77"/>
        <v/>
      </c>
      <c r="R607" s="243" t="str">
        <f t="shared" si="79"/>
        <v/>
      </c>
      <c r="S607" s="244" t="str">
        <f t="shared" si="80"/>
        <v/>
      </c>
      <c r="T607" s="245" t="str">
        <f t="shared" si="81"/>
        <v/>
      </c>
      <c r="U607" s="246" t="str">
        <f t="shared" si="82"/>
        <v/>
      </c>
      <c r="V607" s="8"/>
      <c r="AR607" t="str">
        <f t="shared" si="83"/>
        <v/>
      </c>
      <c r="AS607" t="str">
        <f t="shared" si="78"/>
        <v/>
      </c>
    </row>
    <row r="608" spans="1:45" x14ac:dyDescent="0.3">
      <c r="A608" s="231"/>
      <c r="B608" s="235"/>
      <c r="C608" s="214"/>
      <c r="D608" s="214"/>
      <c r="E608" s="214"/>
      <c r="F608" s="214"/>
      <c r="G608" s="222"/>
      <c r="H608" s="221"/>
      <c r="I608" s="213"/>
      <c r="J608" s="213"/>
      <c r="K608" s="215"/>
      <c r="L608" s="216"/>
      <c r="M608" s="217"/>
      <c r="N608" s="176"/>
      <c r="O608" s="241" t="str">
        <f>IF(Q608 = "", "", COUNT(Q$4:$Q608))</f>
        <v/>
      </c>
      <c r="P608" s="241" t="str">
        <f t="shared" si="76"/>
        <v/>
      </c>
      <c r="Q608" s="242" t="str">
        <f t="shared" si="77"/>
        <v/>
      </c>
      <c r="R608" s="243" t="str">
        <f t="shared" si="79"/>
        <v/>
      </c>
      <c r="S608" s="244" t="str">
        <f t="shared" si="80"/>
        <v/>
      </c>
      <c r="T608" s="245" t="str">
        <f t="shared" si="81"/>
        <v/>
      </c>
      <c r="U608" s="246" t="str">
        <f t="shared" si="82"/>
        <v/>
      </c>
      <c r="V608" s="8"/>
      <c r="AR608" t="str">
        <f t="shared" si="83"/>
        <v/>
      </c>
      <c r="AS608" t="str">
        <f t="shared" si="78"/>
        <v/>
      </c>
    </row>
    <row r="609" spans="1:45" x14ac:dyDescent="0.3">
      <c r="A609" s="231"/>
      <c r="B609" s="235"/>
      <c r="C609" s="214"/>
      <c r="D609" s="214"/>
      <c r="E609" s="214"/>
      <c r="F609" s="214"/>
      <c r="G609" s="222"/>
      <c r="H609" s="221"/>
      <c r="I609" s="213"/>
      <c r="J609" s="213"/>
      <c r="K609" s="215"/>
      <c r="L609" s="216"/>
      <c r="M609" s="217"/>
      <c r="N609" s="176"/>
      <c r="O609" s="241" t="str">
        <f>IF(Q609 = "", "", COUNT(Q$4:$Q609))</f>
        <v/>
      </c>
      <c r="P609" s="241" t="str">
        <f t="shared" si="76"/>
        <v/>
      </c>
      <c r="Q609" s="242" t="str">
        <f t="shared" si="77"/>
        <v/>
      </c>
      <c r="R609" s="243" t="str">
        <f t="shared" si="79"/>
        <v/>
      </c>
      <c r="S609" s="244" t="str">
        <f t="shared" si="80"/>
        <v/>
      </c>
      <c r="T609" s="245" t="str">
        <f t="shared" si="81"/>
        <v/>
      </c>
      <c r="U609" s="246" t="str">
        <f t="shared" si="82"/>
        <v/>
      </c>
      <c r="V609" s="8"/>
      <c r="AR609" t="str">
        <f t="shared" si="83"/>
        <v/>
      </c>
      <c r="AS609" t="str">
        <f t="shared" si="78"/>
        <v/>
      </c>
    </row>
    <row r="610" spans="1:45" x14ac:dyDescent="0.3">
      <c r="A610" s="231"/>
      <c r="B610" s="235"/>
      <c r="C610" s="214"/>
      <c r="D610" s="214"/>
      <c r="E610" s="214"/>
      <c r="F610" s="214"/>
      <c r="G610" s="222"/>
      <c r="H610" s="221"/>
      <c r="I610" s="213"/>
      <c r="J610" s="213"/>
      <c r="K610" s="215"/>
      <c r="L610" s="216"/>
      <c r="M610" s="217"/>
      <c r="N610" s="176"/>
      <c r="O610" s="241" t="str">
        <f>IF(Q610 = "", "", COUNT(Q$4:$Q610))</f>
        <v/>
      </c>
      <c r="P610" s="241" t="str">
        <f t="shared" si="76"/>
        <v/>
      </c>
      <c r="Q610" s="242" t="str">
        <f t="shared" si="77"/>
        <v/>
      </c>
      <c r="R610" s="243" t="str">
        <f t="shared" si="79"/>
        <v/>
      </c>
      <c r="S610" s="244" t="str">
        <f t="shared" si="80"/>
        <v/>
      </c>
      <c r="T610" s="245" t="str">
        <f t="shared" si="81"/>
        <v/>
      </c>
      <c r="U610" s="246" t="str">
        <f t="shared" si="82"/>
        <v/>
      </c>
      <c r="V610" s="8"/>
      <c r="AR610" t="str">
        <f t="shared" si="83"/>
        <v/>
      </c>
      <c r="AS610" t="str">
        <f t="shared" si="78"/>
        <v/>
      </c>
    </row>
    <row r="611" spans="1:45" x14ac:dyDescent="0.3">
      <c r="A611" s="231"/>
      <c r="B611" s="235"/>
      <c r="C611" s="214"/>
      <c r="D611" s="214"/>
      <c r="E611" s="214"/>
      <c r="F611" s="214"/>
      <c r="G611" s="222"/>
      <c r="H611" s="221"/>
      <c r="I611" s="213"/>
      <c r="J611" s="213"/>
      <c r="K611" s="215"/>
      <c r="L611" s="216"/>
      <c r="M611" s="217"/>
      <c r="N611" s="176"/>
      <c r="O611" s="241" t="str">
        <f>IF(Q611 = "", "", COUNT(Q$4:$Q611))</f>
        <v/>
      </c>
      <c r="P611" s="241" t="str">
        <f t="shared" si="76"/>
        <v/>
      </c>
      <c r="Q611" s="242" t="str">
        <f t="shared" si="77"/>
        <v/>
      </c>
      <c r="R611" s="243" t="str">
        <f t="shared" si="79"/>
        <v/>
      </c>
      <c r="S611" s="244" t="str">
        <f t="shared" si="80"/>
        <v/>
      </c>
      <c r="T611" s="245" t="str">
        <f t="shared" si="81"/>
        <v/>
      </c>
      <c r="U611" s="246" t="str">
        <f t="shared" si="82"/>
        <v/>
      </c>
      <c r="V611" s="8"/>
      <c r="AR611" t="str">
        <f t="shared" si="83"/>
        <v/>
      </c>
      <c r="AS611" t="str">
        <f t="shared" si="78"/>
        <v/>
      </c>
    </row>
    <row r="612" spans="1:45" x14ac:dyDescent="0.3">
      <c r="A612" s="231"/>
      <c r="B612" s="235"/>
      <c r="C612" s="214"/>
      <c r="D612" s="214"/>
      <c r="E612" s="214"/>
      <c r="F612" s="214"/>
      <c r="G612" s="222"/>
      <c r="H612" s="221"/>
      <c r="I612" s="213"/>
      <c r="J612" s="213"/>
      <c r="K612" s="215"/>
      <c r="L612" s="216"/>
      <c r="M612" s="217"/>
      <c r="N612" s="176"/>
      <c r="O612" s="241" t="str">
        <f>IF(Q612 = "", "", COUNT(Q$4:$Q612))</f>
        <v/>
      </c>
      <c r="P612" s="241" t="str">
        <f t="shared" si="76"/>
        <v/>
      </c>
      <c r="Q612" s="242" t="str">
        <f t="shared" si="77"/>
        <v/>
      </c>
      <c r="R612" s="243" t="str">
        <f t="shared" si="79"/>
        <v/>
      </c>
      <c r="S612" s="244" t="str">
        <f t="shared" si="80"/>
        <v/>
      </c>
      <c r="T612" s="245" t="str">
        <f t="shared" si="81"/>
        <v/>
      </c>
      <c r="U612" s="246" t="str">
        <f t="shared" si="82"/>
        <v/>
      </c>
      <c r="V612" s="8"/>
      <c r="AR612" t="str">
        <f t="shared" si="83"/>
        <v/>
      </c>
      <c r="AS612" t="str">
        <f t="shared" si="78"/>
        <v/>
      </c>
    </row>
    <row r="613" spans="1:45" x14ac:dyDescent="0.3">
      <c r="A613" s="231"/>
      <c r="B613" s="235"/>
      <c r="C613" s="214"/>
      <c r="D613" s="214"/>
      <c r="E613" s="214"/>
      <c r="F613" s="214"/>
      <c r="G613" s="222"/>
      <c r="H613" s="221"/>
      <c r="I613" s="213"/>
      <c r="J613" s="213"/>
      <c r="K613" s="215"/>
      <c r="L613" s="216"/>
      <c r="M613" s="217"/>
      <c r="N613" s="176"/>
      <c r="O613" s="241" t="str">
        <f>IF(Q613 = "", "", COUNT(Q$4:$Q613))</f>
        <v/>
      </c>
      <c r="P613" s="241" t="str">
        <f t="shared" si="76"/>
        <v/>
      </c>
      <c r="Q613" s="242" t="str">
        <f t="shared" si="77"/>
        <v/>
      </c>
      <c r="R613" s="243" t="str">
        <f t="shared" si="79"/>
        <v/>
      </c>
      <c r="S613" s="244" t="str">
        <f t="shared" si="80"/>
        <v/>
      </c>
      <c r="T613" s="245" t="str">
        <f t="shared" si="81"/>
        <v/>
      </c>
      <c r="U613" s="246" t="str">
        <f t="shared" si="82"/>
        <v/>
      </c>
      <c r="V613" s="8"/>
      <c r="AR613" t="str">
        <f t="shared" si="83"/>
        <v/>
      </c>
      <c r="AS613" t="str">
        <f t="shared" si="78"/>
        <v/>
      </c>
    </row>
    <row r="614" spans="1:45" x14ac:dyDescent="0.3">
      <c r="A614" s="231"/>
      <c r="B614" s="235"/>
      <c r="C614" s="214"/>
      <c r="D614" s="214"/>
      <c r="E614" s="214"/>
      <c r="F614" s="214"/>
      <c r="G614" s="222"/>
      <c r="H614" s="221"/>
      <c r="I614" s="213"/>
      <c r="J614" s="213"/>
      <c r="K614" s="215"/>
      <c r="L614" s="216"/>
      <c r="M614" s="217"/>
      <c r="N614" s="176"/>
      <c r="O614" s="241" t="str">
        <f>IF(Q614 = "", "", COUNT(Q$4:$Q614))</f>
        <v/>
      </c>
      <c r="P614" s="241" t="str">
        <f t="shared" si="76"/>
        <v/>
      </c>
      <c r="Q614" s="242" t="str">
        <f t="shared" si="77"/>
        <v/>
      </c>
      <c r="R614" s="243" t="str">
        <f t="shared" si="79"/>
        <v/>
      </c>
      <c r="S614" s="244" t="str">
        <f t="shared" si="80"/>
        <v/>
      </c>
      <c r="T614" s="245" t="str">
        <f t="shared" si="81"/>
        <v/>
      </c>
      <c r="U614" s="246" t="str">
        <f t="shared" si="82"/>
        <v/>
      </c>
      <c r="V614" s="8"/>
      <c r="AR614" t="str">
        <f t="shared" si="83"/>
        <v/>
      </c>
      <c r="AS614" t="str">
        <f t="shared" si="78"/>
        <v/>
      </c>
    </row>
    <row r="615" spans="1:45" x14ac:dyDescent="0.3">
      <c r="A615" s="231"/>
      <c r="B615" s="235"/>
      <c r="C615" s="214"/>
      <c r="D615" s="214"/>
      <c r="E615" s="214"/>
      <c r="F615" s="214"/>
      <c r="G615" s="222"/>
      <c r="H615" s="221"/>
      <c r="I615" s="213"/>
      <c r="J615" s="213"/>
      <c r="K615" s="215"/>
      <c r="L615" s="216"/>
      <c r="M615" s="217"/>
      <c r="N615" s="176"/>
      <c r="O615" s="241" t="str">
        <f>IF(Q615 = "", "", COUNT(Q$4:$Q615))</f>
        <v/>
      </c>
      <c r="P615" s="241" t="str">
        <f t="shared" si="76"/>
        <v/>
      </c>
      <c r="Q615" s="242" t="str">
        <f t="shared" si="77"/>
        <v/>
      </c>
      <c r="R615" s="243" t="str">
        <f t="shared" si="79"/>
        <v/>
      </c>
      <c r="S615" s="244" t="str">
        <f t="shared" si="80"/>
        <v/>
      </c>
      <c r="T615" s="245" t="str">
        <f t="shared" si="81"/>
        <v/>
      </c>
      <c r="U615" s="246" t="str">
        <f t="shared" si="82"/>
        <v/>
      </c>
      <c r="V615" s="8"/>
      <c r="AR615" t="str">
        <f t="shared" si="83"/>
        <v/>
      </c>
      <c r="AS615" t="str">
        <f t="shared" si="78"/>
        <v/>
      </c>
    </row>
    <row r="616" spans="1:45" x14ac:dyDescent="0.3">
      <c r="A616" s="231"/>
      <c r="B616" s="235"/>
      <c r="C616" s="214"/>
      <c r="D616" s="214"/>
      <c r="E616" s="214"/>
      <c r="F616" s="214"/>
      <c r="G616" s="222"/>
      <c r="H616" s="221"/>
      <c r="I616" s="213"/>
      <c r="J616" s="213"/>
      <c r="K616" s="215"/>
      <c r="L616" s="216"/>
      <c r="M616" s="217"/>
      <c r="N616" s="176"/>
      <c r="O616" s="241" t="str">
        <f>IF(Q616 = "", "", COUNT(Q$4:$Q616))</f>
        <v/>
      </c>
      <c r="P616" s="241" t="str">
        <f t="shared" si="76"/>
        <v/>
      </c>
      <c r="Q616" s="242" t="str">
        <f t="shared" si="77"/>
        <v/>
      </c>
      <c r="R616" s="243" t="str">
        <f t="shared" si="79"/>
        <v/>
      </c>
      <c r="S616" s="244" t="str">
        <f t="shared" si="80"/>
        <v/>
      </c>
      <c r="T616" s="245" t="str">
        <f t="shared" si="81"/>
        <v/>
      </c>
      <c r="U616" s="246" t="str">
        <f t="shared" si="82"/>
        <v/>
      </c>
      <c r="V616" s="8"/>
      <c r="AR616" t="str">
        <f t="shared" si="83"/>
        <v/>
      </c>
      <c r="AS616" t="str">
        <f t="shared" si="78"/>
        <v/>
      </c>
    </row>
    <row r="617" spans="1:45" x14ac:dyDescent="0.3">
      <c r="A617" s="231"/>
      <c r="B617" s="235"/>
      <c r="C617" s="214"/>
      <c r="D617" s="214"/>
      <c r="E617" s="214"/>
      <c r="F617" s="214"/>
      <c r="G617" s="222"/>
      <c r="H617" s="221"/>
      <c r="I617" s="213"/>
      <c r="J617" s="213"/>
      <c r="K617" s="215"/>
      <c r="L617" s="216"/>
      <c r="M617" s="217"/>
      <c r="N617" s="176"/>
      <c r="O617" s="241" t="str">
        <f>IF(Q617 = "", "", COUNT(Q$4:$Q617))</f>
        <v/>
      </c>
      <c r="P617" s="241" t="str">
        <f t="shared" si="76"/>
        <v/>
      </c>
      <c r="Q617" s="242" t="str">
        <f t="shared" si="77"/>
        <v/>
      </c>
      <c r="R617" s="243" t="str">
        <f t="shared" si="79"/>
        <v/>
      </c>
      <c r="S617" s="244" t="str">
        <f t="shared" si="80"/>
        <v/>
      </c>
      <c r="T617" s="245" t="str">
        <f t="shared" si="81"/>
        <v/>
      </c>
      <c r="U617" s="246" t="str">
        <f t="shared" si="82"/>
        <v/>
      </c>
      <c r="V617" s="8"/>
      <c r="AR617" t="str">
        <f t="shared" si="83"/>
        <v/>
      </c>
      <c r="AS617" t="str">
        <f t="shared" si="78"/>
        <v/>
      </c>
    </row>
    <row r="618" spans="1:45" x14ac:dyDescent="0.3">
      <c r="A618" s="231"/>
      <c r="B618" s="235"/>
      <c r="C618" s="214"/>
      <c r="D618" s="214"/>
      <c r="E618" s="214"/>
      <c r="F618" s="214"/>
      <c r="G618" s="222"/>
      <c r="H618" s="221"/>
      <c r="I618" s="213"/>
      <c r="J618" s="213"/>
      <c r="K618" s="215"/>
      <c r="L618" s="216"/>
      <c r="M618" s="217"/>
      <c r="N618" s="176"/>
      <c r="O618" s="241" t="str">
        <f>IF(Q618 = "", "", COUNT(Q$4:$Q618))</f>
        <v/>
      </c>
      <c r="P618" s="241" t="str">
        <f t="shared" si="76"/>
        <v/>
      </c>
      <c r="Q618" s="242" t="str">
        <f t="shared" si="77"/>
        <v/>
      </c>
      <c r="R618" s="243" t="str">
        <f t="shared" si="79"/>
        <v/>
      </c>
      <c r="S618" s="244" t="str">
        <f t="shared" si="80"/>
        <v/>
      </c>
      <c r="T618" s="245" t="str">
        <f t="shared" si="81"/>
        <v/>
      </c>
      <c r="U618" s="246" t="str">
        <f t="shared" si="82"/>
        <v/>
      </c>
      <c r="V618" s="8"/>
      <c r="AR618" t="str">
        <f t="shared" si="83"/>
        <v/>
      </c>
      <c r="AS618" t="str">
        <f t="shared" si="78"/>
        <v/>
      </c>
    </row>
    <row r="619" spans="1:45" x14ac:dyDescent="0.3">
      <c r="A619" s="231"/>
      <c r="B619" s="235"/>
      <c r="C619" s="214"/>
      <c r="D619" s="214"/>
      <c r="E619" s="214"/>
      <c r="F619" s="214"/>
      <c r="G619" s="222"/>
      <c r="H619" s="221"/>
      <c r="I619" s="213"/>
      <c r="J619" s="213"/>
      <c r="K619" s="215"/>
      <c r="L619" s="216"/>
      <c r="M619" s="217"/>
      <c r="N619" s="176"/>
      <c r="O619" s="241" t="str">
        <f>IF(Q619 = "", "", COUNT(Q$4:$Q619))</f>
        <v/>
      </c>
      <c r="P619" s="241" t="str">
        <f t="shared" si="76"/>
        <v/>
      </c>
      <c r="Q619" s="242" t="str">
        <f t="shared" si="77"/>
        <v/>
      </c>
      <c r="R619" s="243" t="str">
        <f t="shared" si="79"/>
        <v/>
      </c>
      <c r="S619" s="244" t="str">
        <f t="shared" si="80"/>
        <v/>
      </c>
      <c r="T619" s="245" t="str">
        <f t="shared" si="81"/>
        <v/>
      </c>
      <c r="U619" s="246" t="str">
        <f t="shared" si="82"/>
        <v/>
      </c>
      <c r="V619" s="8"/>
      <c r="AR619" t="str">
        <f t="shared" si="83"/>
        <v/>
      </c>
      <c r="AS619" t="str">
        <f t="shared" si="78"/>
        <v/>
      </c>
    </row>
    <row r="620" spans="1:45" x14ac:dyDescent="0.3">
      <c r="A620" s="231"/>
      <c r="B620" s="235"/>
      <c r="C620" s="214"/>
      <c r="D620" s="214"/>
      <c r="E620" s="214"/>
      <c r="F620" s="214"/>
      <c r="G620" s="222"/>
      <c r="H620" s="221"/>
      <c r="I620" s="213"/>
      <c r="J620" s="213"/>
      <c r="K620" s="215"/>
      <c r="L620" s="216"/>
      <c r="M620" s="217"/>
      <c r="N620" s="176"/>
      <c r="O620" s="241" t="str">
        <f>IF(Q620 = "", "", COUNT(Q$4:$Q620))</f>
        <v/>
      </c>
      <c r="P620" s="241" t="str">
        <f t="shared" si="76"/>
        <v/>
      </c>
      <c r="Q620" s="242" t="str">
        <f t="shared" si="77"/>
        <v/>
      </c>
      <c r="R620" s="243" t="str">
        <f t="shared" si="79"/>
        <v/>
      </c>
      <c r="S620" s="244" t="str">
        <f t="shared" si="80"/>
        <v/>
      </c>
      <c r="T620" s="245" t="str">
        <f t="shared" si="81"/>
        <v/>
      </c>
      <c r="U620" s="246" t="str">
        <f t="shared" si="82"/>
        <v/>
      </c>
      <c r="V620" s="8"/>
      <c r="AR620" t="str">
        <f t="shared" si="83"/>
        <v/>
      </c>
      <c r="AS620" t="str">
        <f t="shared" si="78"/>
        <v/>
      </c>
    </row>
    <row r="621" spans="1:45" x14ac:dyDescent="0.3">
      <c r="A621" s="231"/>
      <c r="B621" s="235"/>
      <c r="C621" s="214"/>
      <c r="D621" s="214"/>
      <c r="E621" s="214"/>
      <c r="F621" s="214"/>
      <c r="G621" s="222"/>
      <c r="H621" s="221"/>
      <c r="I621" s="213"/>
      <c r="J621" s="213"/>
      <c r="K621" s="215"/>
      <c r="L621" s="216"/>
      <c r="M621" s="217"/>
      <c r="N621" s="176"/>
      <c r="O621" s="241" t="str">
        <f>IF(Q621 = "", "", COUNT(Q$4:$Q621))</f>
        <v/>
      </c>
      <c r="P621" s="241" t="str">
        <f t="shared" si="76"/>
        <v/>
      </c>
      <c r="Q621" s="242" t="str">
        <f t="shared" si="77"/>
        <v/>
      </c>
      <c r="R621" s="243" t="str">
        <f t="shared" si="79"/>
        <v/>
      </c>
      <c r="S621" s="244" t="str">
        <f t="shared" si="80"/>
        <v/>
      </c>
      <c r="T621" s="245" t="str">
        <f t="shared" si="81"/>
        <v/>
      </c>
      <c r="U621" s="246" t="str">
        <f t="shared" si="82"/>
        <v/>
      </c>
      <c r="V621" s="8"/>
      <c r="AR621" t="str">
        <f t="shared" si="83"/>
        <v/>
      </c>
      <c r="AS621" t="str">
        <f t="shared" si="78"/>
        <v/>
      </c>
    </row>
    <row r="622" spans="1:45" x14ac:dyDescent="0.3">
      <c r="A622" s="231"/>
      <c r="B622" s="235"/>
      <c r="C622" s="214"/>
      <c r="D622" s="214"/>
      <c r="E622" s="214"/>
      <c r="F622" s="214"/>
      <c r="G622" s="222"/>
      <c r="H622" s="221"/>
      <c r="I622" s="213"/>
      <c r="J622" s="213"/>
      <c r="K622" s="215"/>
      <c r="L622" s="216"/>
      <c r="M622" s="217"/>
      <c r="N622" s="176"/>
      <c r="O622" s="241" t="str">
        <f>IF(Q622 = "", "", COUNT(Q$4:$Q622))</f>
        <v/>
      </c>
      <c r="P622" s="241" t="str">
        <f t="shared" si="76"/>
        <v/>
      </c>
      <c r="Q622" s="242" t="str">
        <f t="shared" si="77"/>
        <v/>
      </c>
      <c r="R622" s="243" t="str">
        <f t="shared" si="79"/>
        <v/>
      </c>
      <c r="S622" s="244" t="str">
        <f t="shared" si="80"/>
        <v/>
      </c>
      <c r="T622" s="245" t="str">
        <f t="shared" si="81"/>
        <v/>
      </c>
      <c r="U622" s="246" t="str">
        <f t="shared" si="82"/>
        <v/>
      </c>
      <c r="V622" s="8"/>
      <c r="AR622" t="str">
        <f t="shared" si="83"/>
        <v/>
      </c>
      <c r="AS622" t="str">
        <f t="shared" si="78"/>
        <v/>
      </c>
    </row>
    <row r="623" spans="1:45" x14ac:dyDescent="0.3">
      <c r="A623" s="231"/>
      <c r="B623" s="235"/>
      <c r="C623" s="214"/>
      <c r="D623" s="214"/>
      <c r="E623" s="214"/>
      <c r="F623" s="214"/>
      <c r="G623" s="222"/>
      <c r="H623" s="221"/>
      <c r="I623" s="213"/>
      <c r="J623" s="213"/>
      <c r="K623" s="215"/>
      <c r="L623" s="216"/>
      <c r="M623" s="217"/>
      <c r="N623" s="176"/>
      <c r="O623" s="241" t="str">
        <f>IF(Q623 = "", "", COUNT(Q$4:$Q623))</f>
        <v/>
      </c>
      <c r="P623" s="241" t="str">
        <f t="shared" si="76"/>
        <v/>
      </c>
      <c r="Q623" s="242" t="str">
        <f t="shared" si="77"/>
        <v/>
      </c>
      <c r="R623" s="243" t="str">
        <f t="shared" si="79"/>
        <v/>
      </c>
      <c r="S623" s="244" t="str">
        <f t="shared" si="80"/>
        <v/>
      </c>
      <c r="T623" s="245" t="str">
        <f t="shared" si="81"/>
        <v/>
      </c>
      <c r="U623" s="246" t="str">
        <f t="shared" si="82"/>
        <v/>
      </c>
      <c r="V623" s="8"/>
      <c r="AR623" t="str">
        <f t="shared" si="83"/>
        <v/>
      </c>
      <c r="AS623" t="str">
        <f t="shared" si="78"/>
        <v/>
      </c>
    </row>
    <row r="624" spans="1:45" x14ac:dyDescent="0.3">
      <c r="A624" s="231"/>
      <c r="B624" s="235"/>
      <c r="C624" s="214"/>
      <c r="D624" s="214"/>
      <c r="E624" s="214"/>
      <c r="F624" s="214"/>
      <c r="G624" s="222"/>
      <c r="H624" s="221"/>
      <c r="I624" s="213"/>
      <c r="J624" s="213"/>
      <c r="K624" s="215"/>
      <c r="L624" s="216"/>
      <c r="M624" s="217"/>
      <c r="N624" s="176"/>
      <c r="O624" s="241" t="str">
        <f>IF(Q624 = "", "", COUNT(Q$4:$Q624))</f>
        <v/>
      </c>
      <c r="P624" s="241" t="str">
        <f t="shared" si="76"/>
        <v/>
      </c>
      <c r="Q624" s="242" t="str">
        <f t="shared" si="77"/>
        <v/>
      </c>
      <c r="R624" s="243" t="str">
        <f t="shared" si="79"/>
        <v/>
      </c>
      <c r="S624" s="244" t="str">
        <f t="shared" si="80"/>
        <v/>
      </c>
      <c r="T624" s="245" t="str">
        <f t="shared" si="81"/>
        <v/>
      </c>
      <c r="U624" s="246" t="str">
        <f t="shared" si="82"/>
        <v/>
      </c>
      <c r="V624" s="8"/>
      <c r="AR624" t="str">
        <f t="shared" si="83"/>
        <v/>
      </c>
      <c r="AS624" t="str">
        <f t="shared" si="78"/>
        <v/>
      </c>
    </row>
    <row r="625" spans="1:45" x14ac:dyDescent="0.3">
      <c r="A625" s="231"/>
      <c r="B625" s="235"/>
      <c r="C625" s="214"/>
      <c r="D625" s="214"/>
      <c r="E625" s="214"/>
      <c r="F625" s="214"/>
      <c r="G625" s="222"/>
      <c r="H625" s="221"/>
      <c r="I625" s="213"/>
      <c r="J625" s="213"/>
      <c r="K625" s="215"/>
      <c r="L625" s="216"/>
      <c r="M625" s="217"/>
      <c r="N625" s="176"/>
      <c r="O625" s="241" t="str">
        <f>IF(Q625 = "", "", COUNT(Q$4:$Q625))</f>
        <v/>
      </c>
      <c r="P625" s="241" t="str">
        <f t="shared" si="76"/>
        <v/>
      </c>
      <c r="Q625" s="242" t="str">
        <f t="shared" si="77"/>
        <v/>
      </c>
      <c r="R625" s="243" t="str">
        <f t="shared" si="79"/>
        <v/>
      </c>
      <c r="S625" s="244" t="str">
        <f t="shared" si="80"/>
        <v/>
      </c>
      <c r="T625" s="245" t="str">
        <f t="shared" si="81"/>
        <v/>
      </c>
      <c r="U625" s="246" t="str">
        <f t="shared" si="82"/>
        <v/>
      </c>
      <c r="V625" s="8"/>
      <c r="AR625" t="str">
        <f t="shared" si="83"/>
        <v/>
      </c>
      <c r="AS625" t="str">
        <f t="shared" si="78"/>
        <v/>
      </c>
    </row>
    <row r="626" spans="1:45" x14ac:dyDescent="0.3">
      <c r="A626" s="231"/>
      <c r="B626" s="235"/>
      <c r="C626" s="214"/>
      <c r="D626" s="214"/>
      <c r="E626" s="214"/>
      <c r="F626" s="214"/>
      <c r="G626" s="222"/>
      <c r="H626" s="221"/>
      <c r="I626" s="213"/>
      <c r="J626" s="213"/>
      <c r="K626" s="215"/>
      <c r="L626" s="216"/>
      <c r="M626" s="217"/>
      <c r="N626" s="176"/>
      <c r="O626" s="241" t="str">
        <f>IF(Q626 = "", "", COUNT(Q$4:$Q626))</f>
        <v/>
      </c>
      <c r="P626" s="241" t="str">
        <f t="shared" si="76"/>
        <v/>
      </c>
      <c r="Q626" s="242" t="str">
        <f t="shared" si="77"/>
        <v/>
      </c>
      <c r="R626" s="243" t="str">
        <f t="shared" si="79"/>
        <v/>
      </c>
      <c r="S626" s="244" t="str">
        <f t="shared" si="80"/>
        <v/>
      </c>
      <c r="T626" s="245" t="str">
        <f t="shared" si="81"/>
        <v/>
      </c>
      <c r="U626" s="246" t="str">
        <f t="shared" si="82"/>
        <v/>
      </c>
      <c r="V626" s="8"/>
      <c r="AR626" t="str">
        <f t="shared" si="83"/>
        <v/>
      </c>
      <c r="AS626" t="str">
        <f t="shared" si="78"/>
        <v/>
      </c>
    </row>
    <row r="627" spans="1:45" x14ac:dyDescent="0.3">
      <c r="A627" s="231"/>
      <c r="B627" s="235"/>
      <c r="C627" s="214"/>
      <c r="D627" s="214"/>
      <c r="E627" s="214"/>
      <c r="F627" s="214"/>
      <c r="G627" s="222"/>
      <c r="H627" s="221"/>
      <c r="I627" s="213"/>
      <c r="J627" s="213"/>
      <c r="K627" s="215"/>
      <c r="L627" s="216"/>
      <c r="M627" s="217"/>
      <c r="N627" s="176"/>
      <c r="O627" s="241" t="str">
        <f>IF(Q627 = "", "", COUNT(Q$4:$Q627))</f>
        <v/>
      </c>
      <c r="P627" s="241" t="str">
        <f t="shared" si="76"/>
        <v/>
      </c>
      <c r="Q627" s="242" t="str">
        <f t="shared" si="77"/>
        <v/>
      </c>
      <c r="R627" s="243" t="str">
        <f t="shared" si="79"/>
        <v/>
      </c>
      <c r="S627" s="244" t="str">
        <f t="shared" si="80"/>
        <v/>
      </c>
      <c r="T627" s="245" t="str">
        <f t="shared" si="81"/>
        <v/>
      </c>
      <c r="U627" s="246" t="str">
        <f t="shared" si="82"/>
        <v/>
      </c>
      <c r="V627" s="8"/>
      <c r="AR627" t="str">
        <f t="shared" si="83"/>
        <v/>
      </c>
      <c r="AS627" t="str">
        <f t="shared" si="78"/>
        <v/>
      </c>
    </row>
    <row r="628" spans="1:45" x14ac:dyDescent="0.3">
      <c r="A628" s="231"/>
      <c r="B628" s="235"/>
      <c r="C628" s="214"/>
      <c r="D628" s="214"/>
      <c r="E628" s="214"/>
      <c r="F628" s="214"/>
      <c r="G628" s="222"/>
      <c r="H628" s="221"/>
      <c r="I628" s="213"/>
      <c r="J628" s="213"/>
      <c r="K628" s="215"/>
      <c r="L628" s="216"/>
      <c r="M628" s="217"/>
      <c r="N628" s="176"/>
      <c r="O628" s="241" t="str">
        <f>IF(Q628 = "", "", COUNT(Q$4:$Q628))</f>
        <v/>
      </c>
      <c r="P628" s="241" t="str">
        <f t="shared" si="76"/>
        <v/>
      </c>
      <c r="Q628" s="242" t="str">
        <f t="shared" si="77"/>
        <v/>
      </c>
      <c r="R628" s="243" t="str">
        <f t="shared" si="79"/>
        <v/>
      </c>
      <c r="S628" s="244" t="str">
        <f t="shared" si="80"/>
        <v/>
      </c>
      <c r="T628" s="245" t="str">
        <f t="shared" si="81"/>
        <v/>
      </c>
      <c r="U628" s="246" t="str">
        <f t="shared" si="82"/>
        <v/>
      </c>
      <c r="V628" s="8"/>
      <c r="AR628" t="str">
        <f t="shared" si="83"/>
        <v/>
      </c>
      <c r="AS628" t="str">
        <f t="shared" si="78"/>
        <v/>
      </c>
    </row>
    <row r="629" spans="1:45" x14ac:dyDescent="0.3">
      <c r="A629" s="231"/>
      <c r="B629" s="235"/>
      <c r="C629" s="214"/>
      <c r="D629" s="214"/>
      <c r="E629" s="214"/>
      <c r="F629" s="214"/>
      <c r="G629" s="222"/>
      <c r="H629" s="221"/>
      <c r="I629" s="213"/>
      <c r="J629" s="213"/>
      <c r="K629" s="215"/>
      <c r="L629" s="216"/>
      <c r="M629" s="217"/>
      <c r="N629" s="176"/>
      <c r="O629" s="241" t="str">
        <f>IF(Q629 = "", "", COUNT(Q$4:$Q629))</f>
        <v/>
      </c>
      <c r="P629" s="241" t="str">
        <f t="shared" si="76"/>
        <v/>
      </c>
      <c r="Q629" s="242" t="str">
        <f t="shared" si="77"/>
        <v/>
      </c>
      <c r="R629" s="243" t="str">
        <f t="shared" si="79"/>
        <v/>
      </c>
      <c r="S629" s="244" t="str">
        <f t="shared" si="80"/>
        <v/>
      </c>
      <c r="T629" s="245" t="str">
        <f t="shared" si="81"/>
        <v/>
      </c>
      <c r="U629" s="246" t="str">
        <f t="shared" si="82"/>
        <v/>
      </c>
      <c r="V629" s="8"/>
      <c r="AR629" t="str">
        <f t="shared" si="83"/>
        <v/>
      </c>
      <c r="AS629" t="str">
        <f t="shared" si="78"/>
        <v/>
      </c>
    </row>
    <row r="630" spans="1:45" x14ac:dyDescent="0.3">
      <c r="A630" s="231"/>
      <c r="B630" s="235"/>
      <c r="C630" s="214"/>
      <c r="D630" s="214"/>
      <c r="E630" s="214"/>
      <c r="F630" s="214"/>
      <c r="G630" s="222"/>
      <c r="H630" s="221"/>
      <c r="I630" s="213"/>
      <c r="J630" s="213"/>
      <c r="K630" s="215"/>
      <c r="L630" s="216"/>
      <c r="M630" s="217"/>
      <c r="N630" s="176"/>
      <c r="O630" s="241" t="str">
        <f>IF(Q630 = "", "", COUNT(Q$4:$Q630))</f>
        <v/>
      </c>
      <c r="P630" s="241" t="str">
        <f t="shared" si="76"/>
        <v/>
      </c>
      <c r="Q630" s="242" t="str">
        <f t="shared" si="77"/>
        <v/>
      </c>
      <c r="R630" s="243" t="str">
        <f t="shared" si="79"/>
        <v/>
      </c>
      <c r="S630" s="244" t="str">
        <f t="shared" si="80"/>
        <v/>
      </c>
      <c r="T630" s="245" t="str">
        <f t="shared" si="81"/>
        <v/>
      </c>
      <c r="U630" s="246" t="str">
        <f t="shared" si="82"/>
        <v/>
      </c>
      <c r="V630" s="8"/>
      <c r="AR630" t="str">
        <f t="shared" si="83"/>
        <v/>
      </c>
      <c r="AS630" t="str">
        <f t="shared" si="78"/>
        <v/>
      </c>
    </row>
    <row r="631" spans="1:45" x14ac:dyDescent="0.3">
      <c r="A631" s="231"/>
      <c r="B631" s="235"/>
      <c r="C631" s="214"/>
      <c r="D631" s="214"/>
      <c r="E631" s="214"/>
      <c r="F631" s="214"/>
      <c r="G631" s="222"/>
      <c r="H631" s="221"/>
      <c r="I631" s="213"/>
      <c r="J631" s="213"/>
      <c r="K631" s="215"/>
      <c r="L631" s="216"/>
      <c r="M631" s="217"/>
      <c r="N631" s="176"/>
      <c r="O631" s="241" t="str">
        <f>IF(Q631 = "", "", COUNT(Q$4:$Q631))</f>
        <v/>
      </c>
      <c r="P631" s="241" t="str">
        <f t="shared" si="76"/>
        <v/>
      </c>
      <c r="Q631" s="242" t="str">
        <f t="shared" si="77"/>
        <v/>
      </c>
      <c r="R631" s="243" t="str">
        <f t="shared" si="79"/>
        <v/>
      </c>
      <c r="S631" s="244" t="str">
        <f t="shared" si="80"/>
        <v/>
      </c>
      <c r="T631" s="245" t="str">
        <f t="shared" si="81"/>
        <v/>
      </c>
      <c r="U631" s="246" t="str">
        <f t="shared" si="82"/>
        <v/>
      </c>
      <c r="V631" s="8"/>
      <c r="AR631" t="str">
        <f t="shared" si="83"/>
        <v/>
      </c>
      <c r="AS631" t="str">
        <f t="shared" si="78"/>
        <v/>
      </c>
    </row>
    <row r="632" spans="1:45" x14ac:dyDescent="0.3">
      <c r="A632" s="231"/>
      <c r="B632" s="235"/>
      <c r="C632" s="214"/>
      <c r="D632" s="214"/>
      <c r="E632" s="214"/>
      <c r="F632" s="214"/>
      <c r="G632" s="222"/>
      <c r="H632" s="221"/>
      <c r="I632" s="213"/>
      <c r="J632" s="213"/>
      <c r="K632" s="215"/>
      <c r="L632" s="216"/>
      <c r="M632" s="217"/>
      <c r="N632" s="176"/>
      <c r="O632" s="241" t="str">
        <f>IF(Q632 = "", "", COUNT(Q$4:$Q632))</f>
        <v/>
      </c>
      <c r="P632" s="241" t="str">
        <f t="shared" si="76"/>
        <v/>
      </c>
      <c r="Q632" s="242" t="str">
        <f t="shared" si="77"/>
        <v/>
      </c>
      <c r="R632" s="243" t="str">
        <f t="shared" si="79"/>
        <v/>
      </c>
      <c r="S632" s="244" t="str">
        <f t="shared" si="80"/>
        <v/>
      </c>
      <c r="T632" s="245" t="str">
        <f t="shared" si="81"/>
        <v/>
      </c>
      <c r="U632" s="246" t="str">
        <f t="shared" si="82"/>
        <v/>
      </c>
      <c r="V632" s="8"/>
      <c r="AR632" t="str">
        <f t="shared" si="83"/>
        <v/>
      </c>
      <c r="AS632" t="str">
        <f t="shared" si="78"/>
        <v/>
      </c>
    </row>
    <row r="633" spans="1:45" x14ac:dyDescent="0.3">
      <c r="A633" s="231"/>
      <c r="B633" s="235"/>
      <c r="C633" s="214"/>
      <c r="D633" s="214"/>
      <c r="E633" s="214"/>
      <c r="F633" s="214"/>
      <c r="G633" s="222"/>
      <c r="H633" s="221"/>
      <c r="I633" s="213"/>
      <c r="J633" s="213"/>
      <c r="K633" s="215"/>
      <c r="L633" s="216"/>
      <c r="M633" s="217"/>
      <c r="N633" s="176"/>
      <c r="O633" s="241" t="str">
        <f>IF(Q633 = "", "", COUNT(Q$4:$Q633))</f>
        <v/>
      </c>
      <c r="P633" s="241" t="str">
        <f t="shared" si="76"/>
        <v/>
      </c>
      <c r="Q633" s="242" t="str">
        <f t="shared" si="77"/>
        <v/>
      </c>
      <c r="R633" s="243" t="str">
        <f t="shared" si="79"/>
        <v/>
      </c>
      <c r="S633" s="244" t="str">
        <f t="shared" si="80"/>
        <v/>
      </c>
      <c r="T633" s="245" t="str">
        <f t="shared" si="81"/>
        <v/>
      </c>
      <c r="U633" s="246" t="str">
        <f t="shared" si="82"/>
        <v/>
      </c>
      <c r="V633" s="8"/>
      <c r="AR633" t="str">
        <f t="shared" si="83"/>
        <v/>
      </c>
      <c r="AS633" t="str">
        <f t="shared" si="78"/>
        <v/>
      </c>
    </row>
    <row r="634" spans="1:45" x14ac:dyDescent="0.3">
      <c r="A634" s="231"/>
      <c r="B634" s="235"/>
      <c r="C634" s="214"/>
      <c r="D634" s="214"/>
      <c r="E634" s="214"/>
      <c r="F634" s="214"/>
      <c r="G634" s="222"/>
      <c r="H634" s="221"/>
      <c r="I634" s="213"/>
      <c r="J634" s="213"/>
      <c r="K634" s="215"/>
      <c r="L634" s="216"/>
      <c r="M634" s="217"/>
      <c r="N634" s="176"/>
      <c r="O634" s="241" t="str">
        <f>IF(Q634 = "", "", COUNT(Q$4:$Q634))</f>
        <v/>
      </c>
      <c r="P634" s="241" t="str">
        <f t="shared" si="76"/>
        <v/>
      </c>
      <c r="Q634" s="242" t="str">
        <f t="shared" si="77"/>
        <v/>
      </c>
      <c r="R634" s="243" t="str">
        <f t="shared" si="79"/>
        <v/>
      </c>
      <c r="S634" s="244" t="str">
        <f t="shared" si="80"/>
        <v/>
      </c>
      <c r="T634" s="245" t="str">
        <f t="shared" si="81"/>
        <v/>
      </c>
      <c r="U634" s="246" t="str">
        <f t="shared" si="82"/>
        <v/>
      </c>
      <c r="V634" s="8"/>
      <c r="AR634" t="str">
        <f t="shared" si="83"/>
        <v/>
      </c>
      <c r="AS634" t="str">
        <f t="shared" si="78"/>
        <v/>
      </c>
    </row>
    <row r="635" spans="1:45" x14ac:dyDescent="0.3">
      <c r="A635" s="231"/>
      <c r="B635" s="235"/>
      <c r="C635" s="214"/>
      <c r="D635" s="214"/>
      <c r="E635" s="214"/>
      <c r="F635" s="214"/>
      <c r="G635" s="222"/>
      <c r="H635" s="221"/>
      <c r="I635" s="213"/>
      <c r="J635" s="213"/>
      <c r="K635" s="215"/>
      <c r="L635" s="216"/>
      <c r="M635" s="217"/>
      <c r="N635" s="176"/>
      <c r="O635" s="241" t="str">
        <f>IF(Q635 = "", "", COUNT(Q$4:$Q635))</f>
        <v/>
      </c>
      <c r="P635" s="241" t="str">
        <f t="shared" si="76"/>
        <v/>
      </c>
      <c r="Q635" s="242" t="str">
        <f t="shared" si="77"/>
        <v/>
      </c>
      <c r="R635" s="243" t="str">
        <f t="shared" si="79"/>
        <v/>
      </c>
      <c r="S635" s="244" t="str">
        <f t="shared" si="80"/>
        <v/>
      </c>
      <c r="T635" s="245" t="str">
        <f t="shared" si="81"/>
        <v/>
      </c>
      <c r="U635" s="246" t="str">
        <f t="shared" si="82"/>
        <v/>
      </c>
      <c r="V635" s="8"/>
      <c r="AR635" t="str">
        <f t="shared" si="83"/>
        <v/>
      </c>
      <c r="AS635" t="str">
        <f t="shared" si="78"/>
        <v/>
      </c>
    </row>
    <row r="636" spans="1:45" x14ac:dyDescent="0.3">
      <c r="A636" s="231"/>
      <c r="B636" s="235"/>
      <c r="C636" s="214"/>
      <c r="D636" s="214"/>
      <c r="E636" s="214"/>
      <c r="F636" s="214"/>
      <c r="G636" s="222"/>
      <c r="H636" s="221"/>
      <c r="I636" s="213"/>
      <c r="J636" s="213"/>
      <c r="K636" s="215"/>
      <c r="L636" s="216"/>
      <c r="M636" s="217"/>
      <c r="N636" s="176"/>
      <c r="O636" s="241" t="str">
        <f>IF(Q636 = "", "", COUNT(Q$4:$Q636))</f>
        <v/>
      </c>
      <c r="P636" s="241" t="str">
        <f t="shared" si="76"/>
        <v/>
      </c>
      <c r="Q636" s="242" t="str">
        <f t="shared" si="77"/>
        <v/>
      </c>
      <c r="R636" s="243" t="str">
        <f t="shared" si="79"/>
        <v/>
      </c>
      <c r="S636" s="244" t="str">
        <f t="shared" si="80"/>
        <v/>
      </c>
      <c r="T636" s="245" t="str">
        <f t="shared" si="81"/>
        <v/>
      </c>
      <c r="U636" s="246" t="str">
        <f t="shared" si="82"/>
        <v/>
      </c>
      <c r="V636" s="8"/>
      <c r="AR636" t="str">
        <f t="shared" si="83"/>
        <v/>
      </c>
      <c r="AS636" t="str">
        <f t="shared" si="78"/>
        <v/>
      </c>
    </row>
    <row r="637" spans="1:45" x14ac:dyDescent="0.3">
      <c r="A637" s="231"/>
      <c r="B637" s="235"/>
      <c r="C637" s="214"/>
      <c r="D637" s="214"/>
      <c r="E637" s="214"/>
      <c r="F637" s="214"/>
      <c r="G637" s="222"/>
      <c r="H637" s="221"/>
      <c r="I637" s="213"/>
      <c r="J637" s="213"/>
      <c r="K637" s="215"/>
      <c r="L637" s="216"/>
      <c r="M637" s="217"/>
      <c r="N637" s="176"/>
      <c r="O637" s="241" t="str">
        <f>IF(Q637 = "", "", COUNT(Q$4:$Q637))</f>
        <v/>
      </c>
      <c r="P637" s="241" t="str">
        <f t="shared" si="76"/>
        <v/>
      </c>
      <c r="Q637" s="242" t="str">
        <f t="shared" si="77"/>
        <v/>
      </c>
      <c r="R637" s="243" t="str">
        <f t="shared" si="79"/>
        <v/>
      </c>
      <c r="S637" s="244" t="str">
        <f t="shared" si="80"/>
        <v/>
      </c>
      <c r="T637" s="245" t="str">
        <f t="shared" si="81"/>
        <v/>
      </c>
      <c r="U637" s="246" t="str">
        <f t="shared" si="82"/>
        <v/>
      </c>
      <c r="V637" s="8"/>
      <c r="AR637" t="str">
        <f t="shared" si="83"/>
        <v/>
      </c>
      <c r="AS637" t="str">
        <f t="shared" si="78"/>
        <v/>
      </c>
    </row>
    <row r="638" spans="1:45" x14ac:dyDescent="0.3">
      <c r="A638" s="231"/>
      <c r="B638" s="235"/>
      <c r="C638" s="214"/>
      <c r="D638" s="214"/>
      <c r="E638" s="214"/>
      <c r="F638" s="214"/>
      <c r="G638" s="222"/>
      <c r="H638" s="221"/>
      <c r="I638" s="213"/>
      <c r="J638" s="213"/>
      <c r="K638" s="215"/>
      <c r="L638" s="216"/>
      <c r="M638" s="217"/>
      <c r="N638" s="176"/>
      <c r="O638" s="241" t="str">
        <f>IF(Q638 = "", "", COUNT(Q$4:$Q638))</f>
        <v/>
      </c>
      <c r="P638" s="241" t="str">
        <f t="shared" si="76"/>
        <v/>
      </c>
      <c r="Q638" s="242" t="str">
        <f t="shared" si="77"/>
        <v/>
      </c>
      <c r="R638" s="243" t="str">
        <f t="shared" si="79"/>
        <v/>
      </c>
      <c r="S638" s="244" t="str">
        <f t="shared" si="80"/>
        <v/>
      </c>
      <c r="T638" s="245" t="str">
        <f t="shared" si="81"/>
        <v/>
      </c>
      <c r="U638" s="246" t="str">
        <f t="shared" si="82"/>
        <v/>
      </c>
      <c r="V638" s="8"/>
      <c r="AR638" t="str">
        <f t="shared" si="83"/>
        <v/>
      </c>
      <c r="AS638" t="str">
        <f t="shared" si="78"/>
        <v/>
      </c>
    </row>
    <row r="639" spans="1:45" x14ac:dyDescent="0.3">
      <c r="A639" s="231"/>
      <c r="B639" s="235"/>
      <c r="C639" s="214"/>
      <c r="D639" s="214"/>
      <c r="E639" s="214"/>
      <c r="F639" s="214"/>
      <c r="G639" s="222"/>
      <c r="H639" s="221"/>
      <c r="I639" s="213"/>
      <c r="J639" s="213"/>
      <c r="K639" s="215"/>
      <c r="L639" s="216"/>
      <c r="M639" s="217"/>
      <c r="N639" s="176"/>
      <c r="O639" s="241" t="str">
        <f>IF(Q639 = "", "", COUNT(Q$4:$Q639))</f>
        <v/>
      </c>
      <c r="P639" s="241" t="str">
        <f t="shared" si="76"/>
        <v/>
      </c>
      <c r="Q639" s="242" t="str">
        <f t="shared" si="77"/>
        <v/>
      </c>
      <c r="R639" s="243" t="str">
        <f t="shared" si="79"/>
        <v/>
      </c>
      <c r="S639" s="244" t="str">
        <f t="shared" si="80"/>
        <v/>
      </c>
      <c r="T639" s="245" t="str">
        <f t="shared" si="81"/>
        <v/>
      </c>
      <c r="U639" s="246" t="str">
        <f t="shared" si="82"/>
        <v/>
      </c>
      <c r="V639" s="8"/>
      <c r="AR639" t="str">
        <f t="shared" si="83"/>
        <v/>
      </c>
      <c r="AS639" t="str">
        <f t="shared" si="78"/>
        <v/>
      </c>
    </row>
    <row r="640" spans="1:45" x14ac:dyDescent="0.3">
      <c r="A640" s="231"/>
      <c r="B640" s="235"/>
      <c r="C640" s="214"/>
      <c r="D640" s="214"/>
      <c r="E640" s="214"/>
      <c r="F640" s="214"/>
      <c r="G640" s="222"/>
      <c r="H640" s="221"/>
      <c r="I640" s="213"/>
      <c r="J640" s="213"/>
      <c r="K640" s="215"/>
      <c r="L640" s="216"/>
      <c r="M640" s="217"/>
      <c r="N640" s="176"/>
      <c r="O640" s="241" t="str">
        <f>IF(Q640 = "", "", COUNT(Q$4:$Q640))</f>
        <v/>
      </c>
      <c r="P640" s="241" t="str">
        <f t="shared" si="76"/>
        <v/>
      </c>
      <c r="Q640" s="242" t="str">
        <f t="shared" si="77"/>
        <v/>
      </c>
      <c r="R640" s="243" t="str">
        <f t="shared" si="79"/>
        <v/>
      </c>
      <c r="S640" s="244" t="str">
        <f t="shared" si="80"/>
        <v/>
      </c>
      <c r="T640" s="245" t="str">
        <f t="shared" si="81"/>
        <v/>
      </c>
      <c r="U640" s="246" t="str">
        <f t="shared" si="82"/>
        <v/>
      </c>
      <c r="V640" s="8"/>
      <c r="AR640" t="str">
        <f t="shared" si="83"/>
        <v/>
      </c>
      <c r="AS640" t="str">
        <f t="shared" si="78"/>
        <v/>
      </c>
    </row>
    <row r="641" spans="1:45" x14ac:dyDescent="0.3">
      <c r="A641" s="231"/>
      <c r="B641" s="235"/>
      <c r="C641" s="214"/>
      <c r="D641" s="214"/>
      <c r="E641" s="214"/>
      <c r="F641" s="214"/>
      <c r="G641" s="222"/>
      <c r="H641" s="221"/>
      <c r="I641" s="213"/>
      <c r="J641" s="213"/>
      <c r="K641" s="215"/>
      <c r="L641" s="216"/>
      <c r="M641" s="217"/>
      <c r="N641" s="176"/>
      <c r="O641" s="241" t="str">
        <f>IF(Q641 = "", "", COUNT(Q$4:$Q641))</f>
        <v/>
      </c>
      <c r="P641" s="241" t="str">
        <f t="shared" si="76"/>
        <v/>
      </c>
      <c r="Q641" s="242" t="str">
        <f t="shared" si="77"/>
        <v/>
      </c>
      <c r="R641" s="243" t="str">
        <f t="shared" si="79"/>
        <v/>
      </c>
      <c r="S641" s="244" t="str">
        <f t="shared" si="80"/>
        <v/>
      </c>
      <c r="T641" s="245" t="str">
        <f t="shared" si="81"/>
        <v/>
      </c>
      <c r="U641" s="246" t="str">
        <f t="shared" si="82"/>
        <v/>
      </c>
      <c r="V641" s="8"/>
      <c r="AR641" t="str">
        <f t="shared" si="83"/>
        <v/>
      </c>
      <c r="AS641" t="str">
        <f t="shared" si="78"/>
        <v/>
      </c>
    </row>
    <row r="642" spans="1:45" x14ac:dyDescent="0.3">
      <c r="A642" s="231"/>
      <c r="B642" s="235"/>
      <c r="C642" s="214"/>
      <c r="D642" s="214"/>
      <c r="E642" s="214"/>
      <c r="F642" s="214"/>
      <c r="G642" s="222"/>
      <c r="H642" s="221"/>
      <c r="I642" s="213"/>
      <c r="J642" s="213"/>
      <c r="K642" s="215"/>
      <c r="L642" s="216"/>
      <c r="M642" s="217"/>
      <c r="N642" s="176"/>
      <c r="O642" s="241" t="str">
        <f>IF(Q642 = "", "", COUNT(Q$4:$Q642))</f>
        <v/>
      </c>
      <c r="P642" s="241" t="str">
        <f t="shared" si="76"/>
        <v/>
      </c>
      <c r="Q642" s="242" t="str">
        <f t="shared" si="77"/>
        <v/>
      </c>
      <c r="R642" s="243" t="str">
        <f t="shared" si="79"/>
        <v/>
      </c>
      <c r="S642" s="244" t="str">
        <f t="shared" si="80"/>
        <v/>
      </c>
      <c r="T642" s="245" t="str">
        <f t="shared" si="81"/>
        <v/>
      </c>
      <c r="U642" s="246" t="str">
        <f t="shared" si="82"/>
        <v/>
      </c>
      <c r="V642" s="8"/>
      <c r="AR642" t="str">
        <f t="shared" si="83"/>
        <v/>
      </c>
      <c r="AS642" t="str">
        <f t="shared" si="78"/>
        <v/>
      </c>
    </row>
    <row r="643" spans="1:45" x14ac:dyDescent="0.3">
      <c r="A643" s="231"/>
      <c r="B643" s="235"/>
      <c r="C643" s="214"/>
      <c r="D643" s="214"/>
      <c r="E643" s="214"/>
      <c r="F643" s="214"/>
      <c r="G643" s="222"/>
      <c r="H643" s="221"/>
      <c r="I643" s="213"/>
      <c r="J643" s="213"/>
      <c r="K643" s="215"/>
      <c r="L643" s="216"/>
      <c r="M643" s="217"/>
      <c r="N643" s="176"/>
      <c r="O643" s="241" t="str">
        <f>IF(Q643 = "", "", COUNT(Q$4:$Q643))</f>
        <v/>
      </c>
      <c r="P643" s="241" t="str">
        <f t="shared" si="76"/>
        <v/>
      </c>
      <c r="Q643" s="242" t="str">
        <f t="shared" si="77"/>
        <v/>
      </c>
      <c r="R643" s="243" t="str">
        <f t="shared" si="79"/>
        <v/>
      </c>
      <c r="S643" s="244" t="str">
        <f t="shared" si="80"/>
        <v/>
      </c>
      <c r="T643" s="245" t="str">
        <f t="shared" si="81"/>
        <v/>
      </c>
      <c r="U643" s="246" t="str">
        <f t="shared" si="82"/>
        <v/>
      </c>
      <c r="V643" s="8"/>
      <c r="AR643" t="str">
        <f t="shared" si="83"/>
        <v/>
      </c>
      <c r="AS643" t="str">
        <f t="shared" si="78"/>
        <v/>
      </c>
    </row>
    <row r="644" spans="1:45" x14ac:dyDescent="0.3">
      <c r="A644" s="231"/>
      <c r="B644" s="235"/>
      <c r="C644" s="214"/>
      <c r="D644" s="214"/>
      <c r="E644" s="214"/>
      <c r="F644" s="214"/>
      <c r="G644" s="222"/>
      <c r="H644" s="221"/>
      <c r="I644" s="213"/>
      <c r="J644" s="213"/>
      <c r="K644" s="215"/>
      <c r="L644" s="216"/>
      <c r="M644" s="217"/>
      <c r="N644" s="176"/>
      <c r="O644" s="241" t="str">
        <f>IF(Q644 = "", "", COUNT(Q$4:$Q644))</f>
        <v/>
      </c>
      <c r="P644" s="241" t="str">
        <f t="shared" ref="P644:P707" si="84">IF(C644 &gt; 0, YEAR(B644), "")</f>
        <v/>
      </c>
      <c r="Q644" s="242" t="str">
        <f t="shared" ref="Q644:Q707" si="85">IF(A644="", "", IF(G644="",1,IF(G644="O",1,IF(G644="C",8.4,IF(G644="B",8.4,IF(G644="A",76.8,IF(G644="K",76.8,"ERR")))))))</f>
        <v/>
      </c>
      <c r="R644" s="243" t="str">
        <f t="shared" si="79"/>
        <v/>
      </c>
      <c r="S644" s="244" t="str">
        <f t="shared" si="80"/>
        <v/>
      </c>
      <c r="T644" s="245" t="str">
        <f t="shared" si="81"/>
        <v/>
      </c>
      <c r="U644" s="246" t="str">
        <f t="shared" si="82"/>
        <v/>
      </c>
      <c r="V644" s="8"/>
      <c r="AR644" t="str">
        <f t="shared" si="83"/>
        <v/>
      </c>
      <c r="AS644" t="str">
        <f t="shared" ref="AS644:AS707" si="86">IF(OR(L644="Y",M644="Y"),"Y","")</f>
        <v/>
      </c>
    </row>
    <row r="645" spans="1:45" x14ac:dyDescent="0.3">
      <c r="A645" s="231"/>
      <c r="B645" s="235"/>
      <c r="C645" s="214"/>
      <c r="D645" s="214"/>
      <c r="E645" s="214"/>
      <c r="F645" s="214"/>
      <c r="G645" s="222"/>
      <c r="H645" s="221"/>
      <c r="I645" s="213"/>
      <c r="J645" s="213"/>
      <c r="K645" s="215"/>
      <c r="L645" s="216"/>
      <c r="M645" s="217"/>
      <c r="N645" s="176"/>
      <c r="O645" s="241" t="str">
        <f>IF(Q645 = "", "", COUNT(Q$4:$Q645))</f>
        <v/>
      </c>
      <c r="P645" s="241" t="str">
        <f t="shared" si="84"/>
        <v/>
      </c>
      <c r="Q645" s="242" t="str">
        <f t="shared" si="85"/>
        <v/>
      </c>
      <c r="R645" s="243" t="str">
        <f t="shared" ref="R645:R708" si="87">IF(L645&lt;&gt;"",Q645,"")</f>
        <v/>
      </c>
      <c r="S645" s="244" t="str">
        <f t="shared" ref="S645:S708" si="88">IF(IF(L645&lt;&gt;"",G645,"")=0, "O", IF(L645&lt;&gt;"",G645,""))</f>
        <v/>
      </c>
      <c r="T645" s="245" t="str">
        <f t="shared" ref="T645:T708" si="89">IF(M645&lt;&gt;"",Q645,"")</f>
        <v/>
      </c>
      <c r="U645" s="246" t="str">
        <f t="shared" ref="U645:U708" si="90">IF(IF(M645&lt;&gt;"",G645,"")=0, "O", IF(M645&lt;&gt;"",G645,""))</f>
        <v/>
      </c>
      <c r="V645" s="8"/>
      <c r="AR645" t="str">
        <f t="shared" ref="AR645:AR708" si="91">IF(O645&gt;0, O645, "")</f>
        <v/>
      </c>
      <c r="AS645" t="str">
        <f t="shared" si="86"/>
        <v/>
      </c>
    </row>
    <row r="646" spans="1:45" x14ac:dyDescent="0.3">
      <c r="A646" s="231"/>
      <c r="B646" s="235"/>
      <c r="C646" s="214"/>
      <c r="D646" s="214"/>
      <c r="E646" s="214"/>
      <c r="F646" s="214"/>
      <c r="G646" s="222"/>
      <c r="H646" s="221"/>
      <c r="I646" s="213"/>
      <c r="J646" s="213"/>
      <c r="K646" s="215"/>
      <c r="L646" s="216"/>
      <c r="M646" s="217"/>
      <c r="N646" s="176"/>
      <c r="O646" s="241" t="str">
        <f>IF(Q646 = "", "", COUNT(Q$4:$Q646))</f>
        <v/>
      </c>
      <c r="P646" s="241" t="str">
        <f t="shared" si="84"/>
        <v/>
      </c>
      <c r="Q646" s="242" t="str">
        <f t="shared" si="85"/>
        <v/>
      </c>
      <c r="R646" s="243" t="str">
        <f t="shared" si="87"/>
        <v/>
      </c>
      <c r="S646" s="244" t="str">
        <f t="shared" si="88"/>
        <v/>
      </c>
      <c r="T646" s="245" t="str">
        <f t="shared" si="89"/>
        <v/>
      </c>
      <c r="U646" s="246" t="str">
        <f t="shared" si="90"/>
        <v/>
      </c>
      <c r="V646" s="8"/>
      <c r="AR646" t="str">
        <f t="shared" si="91"/>
        <v/>
      </c>
      <c r="AS646" t="str">
        <f t="shared" si="86"/>
        <v/>
      </c>
    </row>
    <row r="647" spans="1:45" x14ac:dyDescent="0.3">
      <c r="A647" s="231"/>
      <c r="B647" s="235"/>
      <c r="C647" s="214"/>
      <c r="D647" s="214"/>
      <c r="E647" s="214"/>
      <c r="F647" s="214"/>
      <c r="G647" s="222"/>
      <c r="H647" s="221"/>
      <c r="I647" s="213"/>
      <c r="J647" s="213"/>
      <c r="K647" s="215"/>
      <c r="L647" s="216"/>
      <c r="M647" s="217"/>
      <c r="N647" s="176"/>
      <c r="O647" s="241" t="str">
        <f>IF(Q647 = "", "", COUNT(Q$4:$Q647))</f>
        <v/>
      </c>
      <c r="P647" s="241" t="str">
        <f t="shared" si="84"/>
        <v/>
      </c>
      <c r="Q647" s="242" t="str">
        <f t="shared" si="85"/>
        <v/>
      </c>
      <c r="R647" s="243" t="str">
        <f t="shared" si="87"/>
        <v/>
      </c>
      <c r="S647" s="244" t="str">
        <f t="shared" si="88"/>
        <v/>
      </c>
      <c r="T647" s="245" t="str">
        <f t="shared" si="89"/>
        <v/>
      </c>
      <c r="U647" s="246" t="str">
        <f t="shared" si="90"/>
        <v/>
      </c>
      <c r="V647" s="8"/>
      <c r="AR647" t="str">
        <f t="shared" si="91"/>
        <v/>
      </c>
      <c r="AS647" t="str">
        <f t="shared" si="86"/>
        <v/>
      </c>
    </row>
    <row r="648" spans="1:45" x14ac:dyDescent="0.3">
      <c r="A648" s="231"/>
      <c r="B648" s="235"/>
      <c r="C648" s="214"/>
      <c r="D648" s="214"/>
      <c r="E648" s="214"/>
      <c r="F648" s="214"/>
      <c r="G648" s="222"/>
      <c r="H648" s="221"/>
      <c r="I648" s="213"/>
      <c r="J648" s="213"/>
      <c r="K648" s="215"/>
      <c r="L648" s="216"/>
      <c r="M648" s="217"/>
      <c r="N648" s="176"/>
      <c r="O648" s="241" t="str">
        <f>IF(Q648 = "", "", COUNT(Q$4:$Q648))</f>
        <v/>
      </c>
      <c r="P648" s="241" t="str">
        <f t="shared" si="84"/>
        <v/>
      </c>
      <c r="Q648" s="242" t="str">
        <f t="shared" si="85"/>
        <v/>
      </c>
      <c r="R648" s="243" t="str">
        <f t="shared" si="87"/>
        <v/>
      </c>
      <c r="S648" s="244" t="str">
        <f t="shared" si="88"/>
        <v/>
      </c>
      <c r="T648" s="245" t="str">
        <f t="shared" si="89"/>
        <v/>
      </c>
      <c r="U648" s="246" t="str">
        <f t="shared" si="90"/>
        <v/>
      </c>
      <c r="V648" s="8"/>
      <c r="AR648" t="str">
        <f t="shared" si="91"/>
        <v/>
      </c>
      <c r="AS648" t="str">
        <f t="shared" si="86"/>
        <v/>
      </c>
    </row>
    <row r="649" spans="1:45" x14ac:dyDescent="0.3">
      <c r="A649" s="231"/>
      <c r="B649" s="235"/>
      <c r="C649" s="214"/>
      <c r="D649" s="214"/>
      <c r="E649" s="214"/>
      <c r="F649" s="214"/>
      <c r="G649" s="222"/>
      <c r="H649" s="221"/>
      <c r="I649" s="213"/>
      <c r="J649" s="213"/>
      <c r="K649" s="215"/>
      <c r="L649" s="216"/>
      <c r="M649" s="217"/>
      <c r="N649" s="176"/>
      <c r="O649" s="241" t="str">
        <f>IF(Q649 = "", "", COUNT(Q$4:$Q649))</f>
        <v/>
      </c>
      <c r="P649" s="241" t="str">
        <f t="shared" si="84"/>
        <v/>
      </c>
      <c r="Q649" s="242" t="str">
        <f t="shared" si="85"/>
        <v/>
      </c>
      <c r="R649" s="243" t="str">
        <f t="shared" si="87"/>
        <v/>
      </c>
      <c r="S649" s="244" t="str">
        <f t="shared" si="88"/>
        <v/>
      </c>
      <c r="T649" s="245" t="str">
        <f t="shared" si="89"/>
        <v/>
      </c>
      <c r="U649" s="246" t="str">
        <f t="shared" si="90"/>
        <v/>
      </c>
      <c r="V649" s="8"/>
      <c r="AR649" t="str">
        <f t="shared" si="91"/>
        <v/>
      </c>
      <c r="AS649" t="str">
        <f t="shared" si="86"/>
        <v/>
      </c>
    </row>
    <row r="650" spans="1:45" x14ac:dyDescent="0.3">
      <c r="A650" s="231"/>
      <c r="B650" s="235"/>
      <c r="C650" s="214"/>
      <c r="D650" s="214"/>
      <c r="E650" s="214"/>
      <c r="F650" s="214"/>
      <c r="G650" s="222"/>
      <c r="H650" s="221"/>
      <c r="I650" s="213"/>
      <c r="J650" s="213"/>
      <c r="K650" s="215"/>
      <c r="L650" s="216"/>
      <c r="M650" s="217"/>
      <c r="N650" s="176"/>
      <c r="O650" s="241" t="str">
        <f>IF(Q650 = "", "", COUNT(Q$4:$Q650))</f>
        <v/>
      </c>
      <c r="P650" s="241" t="str">
        <f t="shared" si="84"/>
        <v/>
      </c>
      <c r="Q650" s="242" t="str">
        <f t="shared" si="85"/>
        <v/>
      </c>
      <c r="R650" s="243" t="str">
        <f t="shared" si="87"/>
        <v/>
      </c>
      <c r="S650" s="244" t="str">
        <f t="shared" si="88"/>
        <v/>
      </c>
      <c r="T650" s="245" t="str">
        <f t="shared" si="89"/>
        <v/>
      </c>
      <c r="U650" s="246" t="str">
        <f t="shared" si="90"/>
        <v/>
      </c>
      <c r="V650" s="8"/>
      <c r="AR650" t="str">
        <f t="shared" si="91"/>
        <v/>
      </c>
      <c r="AS650" t="str">
        <f t="shared" si="86"/>
        <v/>
      </c>
    </row>
    <row r="651" spans="1:45" x14ac:dyDescent="0.3">
      <c r="A651" s="231"/>
      <c r="B651" s="235"/>
      <c r="C651" s="214"/>
      <c r="D651" s="214"/>
      <c r="E651" s="214"/>
      <c r="F651" s="214"/>
      <c r="G651" s="222"/>
      <c r="H651" s="221"/>
      <c r="I651" s="213"/>
      <c r="J651" s="213"/>
      <c r="K651" s="215"/>
      <c r="L651" s="216"/>
      <c r="M651" s="217"/>
      <c r="N651" s="176"/>
      <c r="O651" s="241" t="str">
        <f>IF(Q651 = "", "", COUNT(Q$4:$Q651))</f>
        <v/>
      </c>
      <c r="P651" s="241" t="str">
        <f t="shared" si="84"/>
        <v/>
      </c>
      <c r="Q651" s="242" t="str">
        <f t="shared" si="85"/>
        <v/>
      </c>
      <c r="R651" s="243" t="str">
        <f t="shared" si="87"/>
        <v/>
      </c>
      <c r="S651" s="244" t="str">
        <f t="shared" si="88"/>
        <v/>
      </c>
      <c r="T651" s="245" t="str">
        <f t="shared" si="89"/>
        <v/>
      </c>
      <c r="U651" s="246" t="str">
        <f t="shared" si="90"/>
        <v/>
      </c>
      <c r="V651" s="8"/>
      <c r="AR651" t="str">
        <f t="shared" si="91"/>
        <v/>
      </c>
      <c r="AS651" t="str">
        <f t="shared" si="86"/>
        <v/>
      </c>
    </row>
    <row r="652" spans="1:45" x14ac:dyDescent="0.3">
      <c r="A652" s="231"/>
      <c r="B652" s="235"/>
      <c r="C652" s="214"/>
      <c r="D652" s="214"/>
      <c r="E652" s="214"/>
      <c r="F652" s="214"/>
      <c r="G652" s="222"/>
      <c r="H652" s="221"/>
      <c r="I652" s="213"/>
      <c r="J652" s="213"/>
      <c r="K652" s="215"/>
      <c r="L652" s="216"/>
      <c r="M652" s="217"/>
      <c r="N652" s="176"/>
      <c r="O652" s="241" t="str">
        <f>IF(Q652 = "", "", COUNT(Q$4:$Q652))</f>
        <v/>
      </c>
      <c r="P652" s="241" t="str">
        <f t="shared" si="84"/>
        <v/>
      </c>
      <c r="Q652" s="242" t="str">
        <f t="shared" si="85"/>
        <v/>
      </c>
      <c r="R652" s="243" t="str">
        <f t="shared" si="87"/>
        <v/>
      </c>
      <c r="S652" s="244" t="str">
        <f t="shared" si="88"/>
        <v/>
      </c>
      <c r="T652" s="245" t="str">
        <f t="shared" si="89"/>
        <v/>
      </c>
      <c r="U652" s="246" t="str">
        <f t="shared" si="90"/>
        <v/>
      </c>
      <c r="V652" s="8"/>
      <c r="AR652" t="str">
        <f t="shared" si="91"/>
        <v/>
      </c>
      <c r="AS652" t="str">
        <f t="shared" si="86"/>
        <v/>
      </c>
    </row>
    <row r="653" spans="1:45" x14ac:dyDescent="0.3">
      <c r="A653" s="231"/>
      <c r="B653" s="235"/>
      <c r="C653" s="214"/>
      <c r="D653" s="214"/>
      <c r="E653" s="214"/>
      <c r="F653" s="214"/>
      <c r="G653" s="222"/>
      <c r="H653" s="221"/>
      <c r="I653" s="213"/>
      <c r="J653" s="213"/>
      <c r="K653" s="215"/>
      <c r="L653" s="216"/>
      <c r="M653" s="217"/>
      <c r="N653" s="176"/>
      <c r="O653" s="241" t="str">
        <f>IF(Q653 = "", "", COUNT(Q$4:$Q653))</f>
        <v/>
      </c>
      <c r="P653" s="241" t="str">
        <f t="shared" si="84"/>
        <v/>
      </c>
      <c r="Q653" s="242" t="str">
        <f t="shared" si="85"/>
        <v/>
      </c>
      <c r="R653" s="243" t="str">
        <f t="shared" si="87"/>
        <v/>
      </c>
      <c r="S653" s="244" t="str">
        <f t="shared" si="88"/>
        <v/>
      </c>
      <c r="T653" s="245" t="str">
        <f t="shared" si="89"/>
        <v/>
      </c>
      <c r="U653" s="246" t="str">
        <f t="shared" si="90"/>
        <v/>
      </c>
      <c r="V653" s="8"/>
      <c r="AR653" t="str">
        <f t="shared" si="91"/>
        <v/>
      </c>
      <c r="AS653" t="str">
        <f t="shared" si="86"/>
        <v/>
      </c>
    </row>
    <row r="654" spans="1:45" x14ac:dyDescent="0.3">
      <c r="A654" s="231"/>
      <c r="B654" s="235"/>
      <c r="C654" s="214"/>
      <c r="D654" s="214"/>
      <c r="E654" s="214"/>
      <c r="F654" s="214"/>
      <c r="G654" s="222"/>
      <c r="H654" s="221"/>
      <c r="I654" s="213"/>
      <c r="J654" s="213"/>
      <c r="K654" s="215"/>
      <c r="L654" s="216"/>
      <c r="M654" s="217"/>
      <c r="N654" s="176"/>
      <c r="O654" s="241" t="str">
        <f>IF(Q654 = "", "", COUNT(Q$4:$Q654))</f>
        <v/>
      </c>
      <c r="P654" s="241" t="str">
        <f t="shared" si="84"/>
        <v/>
      </c>
      <c r="Q654" s="242" t="str">
        <f t="shared" si="85"/>
        <v/>
      </c>
      <c r="R654" s="243" t="str">
        <f t="shared" si="87"/>
        <v/>
      </c>
      <c r="S654" s="244" t="str">
        <f t="shared" si="88"/>
        <v/>
      </c>
      <c r="T654" s="245" t="str">
        <f t="shared" si="89"/>
        <v/>
      </c>
      <c r="U654" s="246" t="str">
        <f t="shared" si="90"/>
        <v/>
      </c>
      <c r="V654" s="8"/>
      <c r="AR654" t="str">
        <f t="shared" si="91"/>
        <v/>
      </c>
      <c r="AS654" t="str">
        <f t="shared" si="86"/>
        <v/>
      </c>
    </row>
    <row r="655" spans="1:45" x14ac:dyDescent="0.3">
      <c r="A655" s="231"/>
      <c r="B655" s="235"/>
      <c r="C655" s="214"/>
      <c r="D655" s="214"/>
      <c r="E655" s="214"/>
      <c r="F655" s="214"/>
      <c r="G655" s="222"/>
      <c r="H655" s="221"/>
      <c r="I655" s="213"/>
      <c r="J655" s="213"/>
      <c r="K655" s="215"/>
      <c r="L655" s="216"/>
      <c r="M655" s="217"/>
      <c r="N655" s="176"/>
      <c r="O655" s="241" t="str">
        <f>IF(Q655 = "", "", COUNT(Q$4:$Q655))</f>
        <v/>
      </c>
      <c r="P655" s="241" t="str">
        <f t="shared" si="84"/>
        <v/>
      </c>
      <c r="Q655" s="242" t="str">
        <f t="shared" si="85"/>
        <v/>
      </c>
      <c r="R655" s="243" t="str">
        <f t="shared" si="87"/>
        <v/>
      </c>
      <c r="S655" s="244" t="str">
        <f t="shared" si="88"/>
        <v/>
      </c>
      <c r="T655" s="245" t="str">
        <f t="shared" si="89"/>
        <v/>
      </c>
      <c r="U655" s="246" t="str">
        <f t="shared" si="90"/>
        <v/>
      </c>
      <c r="V655" s="8"/>
      <c r="AR655" t="str">
        <f t="shared" si="91"/>
        <v/>
      </c>
      <c r="AS655" t="str">
        <f t="shared" si="86"/>
        <v/>
      </c>
    </row>
    <row r="656" spans="1:45" x14ac:dyDescent="0.3">
      <c r="A656" s="231"/>
      <c r="B656" s="235"/>
      <c r="C656" s="214"/>
      <c r="D656" s="214"/>
      <c r="E656" s="214"/>
      <c r="F656" s="214"/>
      <c r="G656" s="222"/>
      <c r="H656" s="221"/>
      <c r="I656" s="213"/>
      <c r="J656" s="213"/>
      <c r="K656" s="215"/>
      <c r="L656" s="216"/>
      <c r="M656" s="217"/>
      <c r="N656" s="176"/>
      <c r="O656" s="241" t="str">
        <f>IF(Q656 = "", "", COUNT(Q$4:$Q656))</f>
        <v/>
      </c>
      <c r="P656" s="241" t="str">
        <f t="shared" si="84"/>
        <v/>
      </c>
      <c r="Q656" s="242" t="str">
        <f t="shared" si="85"/>
        <v/>
      </c>
      <c r="R656" s="243" t="str">
        <f t="shared" si="87"/>
        <v/>
      </c>
      <c r="S656" s="244" t="str">
        <f t="shared" si="88"/>
        <v/>
      </c>
      <c r="T656" s="245" t="str">
        <f t="shared" si="89"/>
        <v/>
      </c>
      <c r="U656" s="246" t="str">
        <f t="shared" si="90"/>
        <v/>
      </c>
      <c r="V656" s="8"/>
      <c r="AR656" t="str">
        <f t="shared" si="91"/>
        <v/>
      </c>
      <c r="AS656" t="str">
        <f t="shared" si="86"/>
        <v/>
      </c>
    </row>
    <row r="657" spans="1:45" x14ac:dyDescent="0.3">
      <c r="A657" s="231"/>
      <c r="B657" s="235"/>
      <c r="C657" s="214"/>
      <c r="D657" s="214"/>
      <c r="E657" s="214"/>
      <c r="F657" s="214"/>
      <c r="G657" s="222"/>
      <c r="H657" s="221"/>
      <c r="I657" s="213"/>
      <c r="J657" s="213"/>
      <c r="K657" s="215"/>
      <c r="L657" s="216"/>
      <c r="M657" s="217"/>
      <c r="N657" s="176"/>
      <c r="O657" s="241" t="str">
        <f>IF(Q657 = "", "", COUNT(Q$4:$Q657))</f>
        <v/>
      </c>
      <c r="P657" s="241" t="str">
        <f t="shared" si="84"/>
        <v/>
      </c>
      <c r="Q657" s="242" t="str">
        <f t="shared" si="85"/>
        <v/>
      </c>
      <c r="R657" s="243" t="str">
        <f t="shared" si="87"/>
        <v/>
      </c>
      <c r="S657" s="244" t="str">
        <f t="shared" si="88"/>
        <v/>
      </c>
      <c r="T657" s="245" t="str">
        <f t="shared" si="89"/>
        <v/>
      </c>
      <c r="U657" s="246" t="str">
        <f t="shared" si="90"/>
        <v/>
      </c>
      <c r="V657" s="8"/>
      <c r="AR657" t="str">
        <f t="shared" si="91"/>
        <v/>
      </c>
      <c r="AS657" t="str">
        <f t="shared" si="86"/>
        <v/>
      </c>
    </row>
    <row r="658" spans="1:45" x14ac:dyDescent="0.3">
      <c r="A658" s="231"/>
      <c r="B658" s="235"/>
      <c r="C658" s="214"/>
      <c r="D658" s="214"/>
      <c r="E658" s="214"/>
      <c r="F658" s="214"/>
      <c r="G658" s="222"/>
      <c r="H658" s="221"/>
      <c r="I658" s="213"/>
      <c r="J658" s="213"/>
      <c r="K658" s="215"/>
      <c r="L658" s="216"/>
      <c r="M658" s="217"/>
      <c r="N658" s="176"/>
      <c r="O658" s="241" t="str">
        <f>IF(Q658 = "", "", COUNT(Q$4:$Q658))</f>
        <v/>
      </c>
      <c r="P658" s="241" t="str">
        <f t="shared" si="84"/>
        <v/>
      </c>
      <c r="Q658" s="242" t="str">
        <f t="shared" si="85"/>
        <v/>
      </c>
      <c r="R658" s="243" t="str">
        <f t="shared" si="87"/>
        <v/>
      </c>
      <c r="S658" s="244" t="str">
        <f t="shared" si="88"/>
        <v/>
      </c>
      <c r="T658" s="245" t="str">
        <f t="shared" si="89"/>
        <v/>
      </c>
      <c r="U658" s="246" t="str">
        <f t="shared" si="90"/>
        <v/>
      </c>
      <c r="V658" s="8"/>
      <c r="AR658" t="str">
        <f t="shared" si="91"/>
        <v/>
      </c>
      <c r="AS658" t="str">
        <f t="shared" si="86"/>
        <v/>
      </c>
    </row>
    <row r="659" spans="1:45" x14ac:dyDescent="0.3">
      <c r="A659" s="231"/>
      <c r="B659" s="235"/>
      <c r="C659" s="214"/>
      <c r="D659" s="214"/>
      <c r="E659" s="214"/>
      <c r="F659" s="214"/>
      <c r="G659" s="222"/>
      <c r="H659" s="221"/>
      <c r="I659" s="213"/>
      <c r="J659" s="213"/>
      <c r="K659" s="215"/>
      <c r="L659" s="216"/>
      <c r="M659" s="217"/>
      <c r="N659" s="176"/>
      <c r="O659" s="241" t="str">
        <f>IF(Q659 = "", "", COUNT(Q$4:$Q659))</f>
        <v/>
      </c>
      <c r="P659" s="241" t="str">
        <f t="shared" si="84"/>
        <v/>
      </c>
      <c r="Q659" s="242" t="str">
        <f t="shared" si="85"/>
        <v/>
      </c>
      <c r="R659" s="243" t="str">
        <f t="shared" si="87"/>
        <v/>
      </c>
      <c r="S659" s="244" t="str">
        <f t="shared" si="88"/>
        <v/>
      </c>
      <c r="T659" s="245" t="str">
        <f t="shared" si="89"/>
        <v/>
      </c>
      <c r="U659" s="246" t="str">
        <f t="shared" si="90"/>
        <v/>
      </c>
      <c r="V659" s="8"/>
      <c r="AR659" t="str">
        <f t="shared" si="91"/>
        <v/>
      </c>
      <c r="AS659" t="str">
        <f t="shared" si="86"/>
        <v/>
      </c>
    </row>
    <row r="660" spans="1:45" x14ac:dyDescent="0.3">
      <c r="A660" s="231"/>
      <c r="B660" s="235"/>
      <c r="C660" s="214"/>
      <c r="D660" s="214"/>
      <c r="E660" s="214"/>
      <c r="F660" s="214"/>
      <c r="G660" s="222"/>
      <c r="H660" s="221"/>
      <c r="I660" s="213"/>
      <c r="J660" s="213"/>
      <c r="K660" s="215"/>
      <c r="L660" s="216"/>
      <c r="M660" s="217"/>
      <c r="N660" s="176"/>
      <c r="O660" s="241" t="str">
        <f>IF(Q660 = "", "", COUNT(Q$4:$Q660))</f>
        <v/>
      </c>
      <c r="P660" s="241" t="str">
        <f t="shared" si="84"/>
        <v/>
      </c>
      <c r="Q660" s="242" t="str">
        <f t="shared" si="85"/>
        <v/>
      </c>
      <c r="R660" s="243" t="str">
        <f t="shared" si="87"/>
        <v/>
      </c>
      <c r="S660" s="244" t="str">
        <f t="shared" si="88"/>
        <v/>
      </c>
      <c r="T660" s="245" t="str">
        <f t="shared" si="89"/>
        <v/>
      </c>
      <c r="U660" s="246" t="str">
        <f t="shared" si="90"/>
        <v/>
      </c>
      <c r="V660" s="8"/>
      <c r="AR660" t="str">
        <f t="shared" si="91"/>
        <v/>
      </c>
      <c r="AS660" t="str">
        <f t="shared" si="86"/>
        <v/>
      </c>
    </row>
    <row r="661" spans="1:45" x14ac:dyDescent="0.3">
      <c r="A661" s="231"/>
      <c r="B661" s="235"/>
      <c r="C661" s="214"/>
      <c r="D661" s="214"/>
      <c r="E661" s="214"/>
      <c r="F661" s="214"/>
      <c r="G661" s="222"/>
      <c r="H661" s="221"/>
      <c r="I661" s="213"/>
      <c r="J661" s="213"/>
      <c r="K661" s="215"/>
      <c r="L661" s="216"/>
      <c r="M661" s="217"/>
      <c r="N661" s="176"/>
      <c r="O661" s="241" t="str">
        <f>IF(Q661 = "", "", COUNT(Q$4:$Q661))</f>
        <v/>
      </c>
      <c r="P661" s="241" t="str">
        <f t="shared" si="84"/>
        <v/>
      </c>
      <c r="Q661" s="242" t="str">
        <f t="shared" si="85"/>
        <v/>
      </c>
      <c r="R661" s="243" t="str">
        <f t="shared" si="87"/>
        <v/>
      </c>
      <c r="S661" s="244" t="str">
        <f t="shared" si="88"/>
        <v/>
      </c>
      <c r="T661" s="245" t="str">
        <f t="shared" si="89"/>
        <v/>
      </c>
      <c r="U661" s="246" t="str">
        <f t="shared" si="90"/>
        <v/>
      </c>
      <c r="V661" s="8"/>
      <c r="AR661" t="str">
        <f t="shared" si="91"/>
        <v/>
      </c>
      <c r="AS661" t="str">
        <f t="shared" si="86"/>
        <v/>
      </c>
    </row>
    <row r="662" spans="1:45" x14ac:dyDescent="0.3">
      <c r="A662" s="231"/>
      <c r="B662" s="235"/>
      <c r="C662" s="214"/>
      <c r="D662" s="214"/>
      <c r="E662" s="214"/>
      <c r="F662" s="214"/>
      <c r="G662" s="222"/>
      <c r="H662" s="221"/>
      <c r="I662" s="213"/>
      <c r="J662" s="213"/>
      <c r="K662" s="215"/>
      <c r="L662" s="216"/>
      <c r="M662" s="217"/>
      <c r="N662" s="176"/>
      <c r="O662" s="241" t="str">
        <f>IF(Q662 = "", "", COUNT(Q$4:$Q662))</f>
        <v/>
      </c>
      <c r="P662" s="241" t="str">
        <f t="shared" si="84"/>
        <v/>
      </c>
      <c r="Q662" s="242" t="str">
        <f t="shared" si="85"/>
        <v/>
      </c>
      <c r="R662" s="243" t="str">
        <f t="shared" si="87"/>
        <v/>
      </c>
      <c r="S662" s="244" t="str">
        <f t="shared" si="88"/>
        <v/>
      </c>
      <c r="T662" s="245" t="str">
        <f t="shared" si="89"/>
        <v/>
      </c>
      <c r="U662" s="246" t="str">
        <f t="shared" si="90"/>
        <v/>
      </c>
      <c r="V662" s="8"/>
      <c r="AR662" t="str">
        <f t="shared" si="91"/>
        <v/>
      </c>
      <c r="AS662" t="str">
        <f t="shared" si="86"/>
        <v/>
      </c>
    </row>
    <row r="663" spans="1:45" x14ac:dyDescent="0.3">
      <c r="A663" s="231"/>
      <c r="B663" s="235"/>
      <c r="C663" s="214"/>
      <c r="D663" s="214"/>
      <c r="E663" s="214"/>
      <c r="F663" s="214"/>
      <c r="G663" s="222"/>
      <c r="H663" s="221"/>
      <c r="I663" s="213"/>
      <c r="J663" s="213"/>
      <c r="K663" s="215"/>
      <c r="L663" s="216"/>
      <c r="M663" s="217"/>
      <c r="N663" s="176"/>
      <c r="O663" s="241" t="str">
        <f>IF(Q663 = "", "", COUNT(Q$4:$Q663))</f>
        <v/>
      </c>
      <c r="P663" s="241" t="str">
        <f t="shared" si="84"/>
        <v/>
      </c>
      <c r="Q663" s="242" t="str">
        <f t="shared" si="85"/>
        <v/>
      </c>
      <c r="R663" s="243" t="str">
        <f t="shared" si="87"/>
        <v/>
      </c>
      <c r="S663" s="244" t="str">
        <f t="shared" si="88"/>
        <v/>
      </c>
      <c r="T663" s="245" t="str">
        <f t="shared" si="89"/>
        <v/>
      </c>
      <c r="U663" s="246" t="str">
        <f t="shared" si="90"/>
        <v/>
      </c>
      <c r="V663" s="8"/>
      <c r="AR663" t="str">
        <f t="shared" si="91"/>
        <v/>
      </c>
      <c r="AS663" t="str">
        <f t="shared" si="86"/>
        <v/>
      </c>
    </row>
    <row r="664" spans="1:45" x14ac:dyDescent="0.3">
      <c r="A664" s="231"/>
      <c r="B664" s="235"/>
      <c r="C664" s="214"/>
      <c r="D664" s="214"/>
      <c r="E664" s="214"/>
      <c r="F664" s="214"/>
      <c r="G664" s="222"/>
      <c r="H664" s="221"/>
      <c r="I664" s="213"/>
      <c r="J664" s="213"/>
      <c r="K664" s="215"/>
      <c r="L664" s="216"/>
      <c r="M664" s="217"/>
      <c r="N664" s="176"/>
      <c r="O664" s="241" t="str">
        <f>IF(Q664 = "", "", COUNT(Q$4:$Q664))</f>
        <v/>
      </c>
      <c r="P664" s="241" t="str">
        <f t="shared" si="84"/>
        <v/>
      </c>
      <c r="Q664" s="242" t="str">
        <f t="shared" si="85"/>
        <v/>
      </c>
      <c r="R664" s="243" t="str">
        <f t="shared" si="87"/>
        <v/>
      </c>
      <c r="S664" s="244" t="str">
        <f t="shared" si="88"/>
        <v/>
      </c>
      <c r="T664" s="245" t="str">
        <f t="shared" si="89"/>
        <v/>
      </c>
      <c r="U664" s="246" t="str">
        <f t="shared" si="90"/>
        <v/>
      </c>
      <c r="V664" s="8"/>
      <c r="AR664" t="str">
        <f t="shared" si="91"/>
        <v/>
      </c>
      <c r="AS664" t="str">
        <f t="shared" si="86"/>
        <v/>
      </c>
    </row>
    <row r="665" spans="1:45" x14ac:dyDescent="0.3">
      <c r="A665" s="231"/>
      <c r="B665" s="235"/>
      <c r="C665" s="214"/>
      <c r="D665" s="214"/>
      <c r="E665" s="214"/>
      <c r="F665" s="214"/>
      <c r="G665" s="222"/>
      <c r="H665" s="221"/>
      <c r="I665" s="213"/>
      <c r="J665" s="213"/>
      <c r="K665" s="215"/>
      <c r="L665" s="216"/>
      <c r="M665" s="217"/>
      <c r="N665" s="176"/>
      <c r="O665" s="241" t="str">
        <f>IF(Q665 = "", "", COUNT(Q$4:$Q665))</f>
        <v/>
      </c>
      <c r="P665" s="241" t="str">
        <f t="shared" si="84"/>
        <v/>
      </c>
      <c r="Q665" s="242" t="str">
        <f t="shared" si="85"/>
        <v/>
      </c>
      <c r="R665" s="243" t="str">
        <f t="shared" si="87"/>
        <v/>
      </c>
      <c r="S665" s="244" t="str">
        <f t="shared" si="88"/>
        <v/>
      </c>
      <c r="T665" s="245" t="str">
        <f t="shared" si="89"/>
        <v/>
      </c>
      <c r="U665" s="246" t="str">
        <f t="shared" si="90"/>
        <v/>
      </c>
      <c r="V665" s="8"/>
      <c r="AR665" t="str">
        <f t="shared" si="91"/>
        <v/>
      </c>
      <c r="AS665" t="str">
        <f t="shared" si="86"/>
        <v/>
      </c>
    </row>
    <row r="666" spans="1:45" x14ac:dyDescent="0.3">
      <c r="A666" s="231"/>
      <c r="B666" s="235"/>
      <c r="C666" s="214"/>
      <c r="D666" s="214"/>
      <c r="E666" s="214"/>
      <c r="F666" s="214"/>
      <c r="G666" s="222"/>
      <c r="H666" s="221"/>
      <c r="I666" s="213"/>
      <c r="J666" s="213"/>
      <c r="K666" s="215"/>
      <c r="L666" s="216"/>
      <c r="M666" s="217"/>
      <c r="N666" s="176"/>
      <c r="O666" s="241" t="str">
        <f>IF(Q666 = "", "", COUNT(Q$4:$Q666))</f>
        <v/>
      </c>
      <c r="P666" s="241" t="str">
        <f t="shared" si="84"/>
        <v/>
      </c>
      <c r="Q666" s="242" t="str">
        <f t="shared" si="85"/>
        <v/>
      </c>
      <c r="R666" s="243" t="str">
        <f t="shared" si="87"/>
        <v/>
      </c>
      <c r="S666" s="244" t="str">
        <f t="shared" si="88"/>
        <v/>
      </c>
      <c r="T666" s="245" t="str">
        <f t="shared" si="89"/>
        <v/>
      </c>
      <c r="U666" s="246" t="str">
        <f t="shared" si="90"/>
        <v/>
      </c>
      <c r="V666" s="8"/>
      <c r="AR666" t="str">
        <f t="shared" si="91"/>
        <v/>
      </c>
      <c r="AS666" t="str">
        <f t="shared" si="86"/>
        <v/>
      </c>
    </row>
    <row r="667" spans="1:45" x14ac:dyDescent="0.3">
      <c r="A667" s="231"/>
      <c r="B667" s="235"/>
      <c r="C667" s="214"/>
      <c r="D667" s="214"/>
      <c r="E667" s="214"/>
      <c r="F667" s="214"/>
      <c r="G667" s="222"/>
      <c r="H667" s="221"/>
      <c r="I667" s="213"/>
      <c r="J667" s="213"/>
      <c r="K667" s="215"/>
      <c r="L667" s="216"/>
      <c r="M667" s="217"/>
      <c r="N667" s="176"/>
      <c r="O667" s="241" t="str">
        <f>IF(Q667 = "", "", COUNT(Q$4:$Q667))</f>
        <v/>
      </c>
      <c r="P667" s="241" t="str">
        <f t="shared" si="84"/>
        <v/>
      </c>
      <c r="Q667" s="242" t="str">
        <f t="shared" si="85"/>
        <v/>
      </c>
      <c r="R667" s="243" t="str">
        <f t="shared" si="87"/>
        <v/>
      </c>
      <c r="S667" s="244" t="str">
        <f t="shared" si="88"/>
        <v/>
      </c>
      <c r="T667" s="245" t="str">
        <f t="shared" si="89"/>
        <v/>
      </c>
      <c r="U667" s="246" t="str">
        <f t="shared" si="90"/>
        <v/>
      </c>
      <c r="V667" s="8"/>
      <c r="AR667" t="str">
        <f t="shared" si="91"/>
        <v/>
      </c>
      <c r="AS667" t="str">
        <f t="shared" si="86"/>
        <v/>
      </c>
    </row>
    <row r="668" spans="1:45" x14ac:dyDescent="0.3">
      <c r="A668" s="231"/>
      <c r="B668" s="235"/>
      <c r="C668" s="214"/>
      <c r="D668" s="214"/>
      <c r="E668" s="214"/>
      <c r="F668" s="214"/>
      <c r="G668" s="222"/>
      <c r="H668" s="221"/>
      <c r="I668" s="213"/>
      <c r="J668" s="213"/>
      <c r="K668" s="215"/>
      <c r="L668" s="216"/>
      <c r="M668" s="217"/>
      <c r="N668" s="176"/>
      <c r="O668" s="241" t="str">
        <f>IF(Q668 = "", "", COUNT(Q$4:$Q668))</f>
        <v/>
      </c>
      <c r="P668" s="241" t="str">
        <f t="shared" si="84"/>
        <v/>
      </c>
      <c r="Q668" s="242" t="str">
        <f t="shared" si="85"/>
        <v/>
      </c>
      <c r="R668" s="243" t="str">
        <f t="shared" si="87"/>
        <v/>
      </c>
      <c r="S668" s="244" t="str">
        <f t="shared" si="88"/>
        <v/>
      </c>
      <c r="T668" s="245" t="str">
        <f t="shared" si="89"/>
        <v/>
      </c>
      <c r="U668" s="246" t="str">
        <f t="shared" si="90"/>
        <v/>
      </c>
      <c r="V668" s="8"/>
      <c r="AR668" t="str">
        <f t="shared" si="91"/>
        <v/>
      </c>
      <c r="AS668" t="str">
        <f t="shared" si="86"/>
        <v/>
      </c>
    </row>
    <row r="669" spans="1:45" x14ac:dyDescent="0.3">
      <c r="A669" s="231"/>
      <c r="B669" s="235"/>
      <c r="C669" s="214"/>
      <c r="D669" s="214"/>
      <c r="E669" s="214"/>
      <c r="F669" s="214"/>
      <c r="G669" s="222"/>
      <c r="H669" s="221"/>
      <c r="I669" s="213"/>
      <c r="J669" s="213"/>
      <c r="K669" s="215"/>
      <c r="L669" s="216"/>
      <c r="M669" s="217"/>
      <c r="N669" s="176"/>
      <c r="O669" s="241" t="str">
        <f>IF(Q669 = "", "", COUNT(Q$4:$Q669))</f>
        <v/>
      </c>
      <c r="P669" s="241" t="str">
        <f t="shared" si="84"/>
        <v/>
      </c>
      <c r="Q669" s="242" t="str">
        <f t="shared" si="85"/>
        <v/>
      </c>
      <c r="R669" s="243" t="str">
        <f t="shared" si="87"/>
        <v/>
      </c>
      <c r="S669" s="244" t="str">
        <f t="shared" si="88"/>
        <v/>
      </c>
      <c r="T669" s="245" t="str">
        <f t="shared" si="89"/>
        <v/>
      </c>
      <c r="U669" s="246" t="str">
        <f t="shared" si="90"/>
        <v/>
      </c>
      <c r="V669" s="8"/>
      <c r="AR669" t="str">
        <f t="shared" si="91"/>
        <v/>
      </c>
      <c r="AS669" t="str">
        <f t="shared" si="86"/>
        <v/>
      </c>
    </row>
    <row r="670" spans="1:45" x14ac:dyDescent="0.3">
      <c r="A670" s="231"/>
      <c r="B670" s="235"/>
      <c r="C670" s="214"/>
      <c r="D670" s="214"/>
      <c r="E670" s="214"/>
      <c r="F670" s="214"/>
      <c r="G670" s="222"/>
      <c r="H670" s="221"/>
      <c r="I670" s="213"/>
      <c r="J670" s="213"/>
      <c r="K670" s="215"/>
      <c r="L670" s="216"/>
      <c r="M670" s="217"/>
      <c r="N670" s="176"/>
      <c r="O670" s="241" t="str">
        <f>IF(Q670 = "", "", COUNT(Q$4:$Q670))</f>
        <v/>
      </c>
      <c r="P670" s="241" t="str">
        <f t="shared" si="84"/>
        <v/>
      </c>
      <c r="Q670" s="242" t="str">
        <f t="shared" si="85"/>
        <v/>
      </c>
      <c r="R670" s="243" t="str">
        <f t="shared" si="87"/>
        <v/>
      </c>
      <c r="S670" s="244" t="str">
        <f t="shared" si="88"/>
        <v/>
      </c>
      <c r="T670" s="245" t="str">
        <f t="shared" si="89"/>
        <v/>
      </c>
      <c r="U670" s="246" t="str">
        <f t="shared" si="90"/>
        <v/>
      </c>
      <c r="V670" s="8"/>
      <c r="AR670" t="str">
        <f t="shared" si="91"/>
        <v/>
      </c>
      <c r="AS670" t="str">
        <f t="shared" si="86"/>
        <v/>
      </c>
    </row>
    <row r="671" spans="1:45" x14ac:dyDescent="0.3">
      <c r="A671" s="231"/>
      <c r="B671" s="235"/>
      <c r="C671" s="214"/>
      <c r="D671" s="214"/>
      <c r="E671" s="214"/>
      <c r="F671" s="214"/>
      <c r="G671" s="222"/>
      <c r="H671" s="221"/>
      <c r="I671" s="213"/>
      <c r="J671" s="213"/>
      <c r="K671" s="215"/>
      <c r="L671" s="216"/>
      <c r="M671" s="217"/>
      <c r="N671" s="176"/>
      <c r="O671" s="241" t="str">
        <f>IF(Q671 = "", "", COUNT(Q$4:$Q671))</f>
        <v/>
      </c>
      <c r="P671" s="241" t="str">
        <f t="shared" si="84"/>
        <v/>
      </c>
      <c r="Q671" s="242" t="str">
        <f t="shared" si="85"/>
        <v/>
      </c>
      <c r="R671" s="243" t="str">
        <f t="shared" si="87"/>
        <v/>
      </c>
      <c r="S671" s="244" t="str">
        <f t="shared" si="88"/>
        <v/>
      </c>
      <c r="T671" s="245" t="str">
        <f t="shared" si="89"/>
        <v/>
      </c>
      <c r="U671" s="246" t="str">
        <f t="shared" si="90"/>
        <v/>
      </c>
      <c r="V671" s="8"/>
      <c r="AR671" t="str">
        <f t="shared" si="91"/>
        <v/>
      </c>
      <c r="AS671" t="str">
        <f t="shared" si="86"/>
        <v/>
      </c>
    </row>
    <row r="672" spans="1:45" x14ac:dyDescent="0.3">
      <c r="A672" s="231"/>
      <c r="B672" s="235"/>
      <c r="C672" s="214"/>
      <c r="D672" s="214"/>
      <c r="E672" s="214"/>
      <c r="F672" s="214"/>
      <c r="G672" s="222"/>
      <c r="H672" s="221"/>
      <c r="I672" s="213"/>
      <c r="J672" s="213"/>
      <c r="K672" s="215"/>
      <c r="L672" s="216"/>
      <c r="M672" s="217"/>
      <c r="N672" s="176"/>
      <c r="O672" s="241" t="str">
        <f>IF(Q672 = "", "", COUNT(Q$4:$Q672))</f>
        <v/>
      </c>
      <c r="P672" s="241" t="str">
        <f t="shared" si="84"/>
        <v/>
      </c>
      <c r="Q672" s="242" t="str">
        <f t="shared" si="85"/>
        <v/>
      </c>
      <c r="R672" s="243" t="str">
        <f t="shared" si="87"/>
        <v/>
      </c>
      <c r="S672" s="244" t="str">
        <f t="shared" si="88"/>
        <v/>
      </c>
      <c r="T672" s="245" t="str">
        <f t="shared" si="89"/>
        <v/>
      </c>
      <c r="U672" s="246" t="str">
        <f t="shared" si="90"/>
        <v/>
      </c>
      <c r="V672" s="8"/>
      <c r="AR672" t="str">
        <f t="shared" si="91"/>
        <v/>
      </c>
      <c r="AS672" t="str">
        <f t="shared" si="86"/>
        <v/>
      </c>
    </row>
    <row r="673" spans="1:45" x14ac:dyDescent="0.3">
      <c r="A673" s="231"/>
      <c r="B673" s="235"/>
      <c r="C673" s="214"/>
      <c r="D673" s="214"/>
      <c r="E673" s="214"/>
      <c r="F673" s="214"/>
      <c r="G673" s="222"/>
      <c r="H673" s="221"/>
      <c r="I673" s="213"/>
      <c r="J673" s="213"/>
      <c r="K673" s="215"/>
      <c r="L673" s="216"/>
      <c r="M673" s="217"/>
      <c r="N673" s="176"/>
      <c r="O673" s="241" t="str">
        <f>IF(Q673 = "", "", COUNT(Q$4:$Q673))</f>
        <v/>
      </c>
      <c r="P673" s="241" t="str">
        <f t="shared" si="84"/>
        <v/>
      </c>
      <c r="Q673" s="242" t="str">
        <f t="shared" si="85"/>
        <v/>
      </c>
      <c r="R673" s="243" t="str">
        <f t="shared" si="87"/>
        <v/>
      </c>
      <c r="S673" s="244" t="str">
        <f t="shared" si="88"/>
        <v/>
      </c>
      <c r="T673" s="245" t="str">
        <f t="shared" si="89"/>
        <v/>
      </c>
      <c r="U673" s="246" t="str">
        <f t="shared" si="90"/>
        <v/>
      </c>
      <c r="V673" s="8"/>
      <c r="AR673" t="str">
        <f t="shared" si="91"/>
        <v/>
      </c>
      <c r="AS673" t="str">
        <f t="shared" si="86"/>
        <v/>
      </c>
    </row>
    <row r="674" spans="1:45" x14ac:dyDescent="0.3">
      <c r="A674" s="231"/>
      <c r="B674" s="235"/>
      <c r="C674" s="214"/>
      <c r="D674" s="214"/>
      <c r="E674" s="214"/>
      <c r="F674" s="214"/>
      <c r="G674" s="222"/>
      <c r="H674" s="221"/>
      <c r="I674" s="213"/>
      <c r="J674" s="213"/>
      <c r="K674" s="215"/>
      <c r="L674" s="216"/>
      <c r="M674" s="217"/>
      <c r="N674" s="176"/>
      <c r="O674" s="241" t="str">
        <f>IF(Q674 = "", "", COUNT(Q$4:$Q674))</f>
        <v/>
      </c>
      <c r="P674" s="241" t="str">
        <f t="shared" si="84"/>
        <v/>
      </c>
      <c r="Q674" s="242" t="str">
        <f t="shared" si="85"/>
        <v/>
      </c>
      <c r="R674" s="243" t="str">
        <f t="shared" si="87"/>
        <v/>
      </c>
      <c r="S674" s="244" t="str">
        <f t="shared" si="88"/>
        <v/>
      </c>
      <c r="T674" s="245" t="str">
        <f t="shared" si="89"/>
        <v/>
      </c>
      <c r="U674" s="246" t="str">
        <f t="shared" si="90"/>
        <v/>
      </c>
      <c r="V674" s="8"/>
      <c r="AR674" t="str">
        <f t="shared" si="91"/>
        <v/>
      </c>
      <c r="AS674" t="str">
        <f t="shared" si="86"/>
        <v/>
      </c>
    </row>
    <row r="675" spans="1:45" x14ac:dyDescent="0.3">
      <c r="A675" s="231"/>
      <c r="B675" s="235"/>
      <c r="C675" s="214"/>
      <c r="D675" s="214"/>
      <c r="E675" s="214"/>
      <c r="F675" s="214"/>
      <c r="G675" s="222"/>
      <c r="H675" s="221"/>
      <c r="I675" s="213"/>
      <c r="J675" s="213"/>
      <c r="K675" s="215"/>
      <c r="L675" s="216"/>
      <c r="M675" s="217"/>
      <c r="N675" s="176"/>
      <c r="O675" s="241" t="str">
        <f>IF(Q675 = "", "", COUNT(Q$4:$Q675))</f>
        <v/>
      </c>
      <c r="P675" s="241" t="str">
        <f t="shared" si="84"/>
        <v/>
      </c>
      <c r="Q675" s="242" t="str">
        <f t="shared" si="85"/>
        <v/>
      </c>
      <c r="R675" s="243" t="str">
        <f t="shared" si="87"/>
        <v/>
      </c>
      <c r="S675" s="244" t="str">
        <f t="shared" si="88"/>
        <v/>
      </c>
      <c r="T675" s="245" t="str">
        <f t="shared" si="89"/>
        <v/>
      </c>
      <c r="U675" s="246" t="str">
        <f t="shared" si="90"/>
        <v/>
      </c>
      <c r="V675" s="8"/>
      <c r="AR675" t="str">
        <f t="shared" si="91"/>
        <v/>
      </c>
      <c r="AS675" t="str">
        <f t="shared" si="86"/>
        <v/>
      </c>
    </row>
    <row r="676" spans="1:45" x14ac:dyDescent="0.3">
      <c r="A676" s="231"/>
      <c r="B676" s="235"/>
      <c r="C676" s="214"/>
      <c r="D676" s="214"/>
      <c r="E676" s="214"/>
      <c r="F676" s="214"/>
      <c r="G676" s="222"/>
      <c r="H676" s="221"/>
      <c r="I676" s="213"/>
      <c r="J676" s="213"/>
      <c r="K676" s="215"/>
      <c r="L676" s="216"/>
      <c r="M676" s="217"/>
      <c r="N676" s="176"/>
      <c r="O676" s="241" t="str">
        <f>IF(Q676 = "", "", COUNT(Q$4:$Q676))</f>
        <v/>
      </c>
      <c r="P676" s="241" t="str">
        <f t="shared" si="84"/>
        <v/>
      </c>
      <c r="Q676" s="242" t="str">
        <f t="shared" si="85"/>
        <v/>
      </c>
      <c r="R676" s="243" t="str">
        <f t="shared" si="87"/>
        <v/>
      </c>
      <c r="S676" s="244" t="str">
        <f t="shared" si="88"/>
        <v/>
      </c>
      <c r="T676" s="245" t="str">
        <f t="shared" si="89"/>
        <v/>
      </c>
      <c r="U676" s="246" t="str">
        <f t="shared" si="90"/>
        <v/>
      </c>
      <c r="V676" s="8"/>
      <c r="AR676" t="str">
        <f t="shared" si="91"/>
        <v/>
      </c>
      <c r="AS676" t="str">
        <f t="shared" si="86"/>
        <v/>
      </c>
    </row>
    <row r="677" spans="1:45" x14ac:dyDescent="0.3">
      <c r="A677" s="231"/>
      <c r="B677" s="235"/>
      <c r="C677" s="214"/>
      <c r="D677" s="214"/>
      <c r="E677" s="214"/>
      <c r="F677" s="214"/>
      <c r="G677" s="222"/>
      <c r="H677" s="221"/>
      <c r="I677" s="213"/>
      <c r="J677" s="213"/>
      <c r="K677" s="215"/>
      <c r="L677" s="216"/>
      <c r="M677" s="217"/>
      <c r="N677" s="176"/>
      <c r="O677" s="241" t="str">
        <f>IF(Q677 = "", "", COUNT(Q$4:$Q677))</f>
        <v/>
      </c>
      <c r="P677" s="241" t="str">
        <f t="shared" si="84"/>
        <v/>
      </c>
      <c r="Q677" s="242" t="str">
        <f t="shared" si="85"/>
        <v/>
      </c>
      <c r="R677" s="243" t="str">
        <f t="shared" si="87"/>
        <v/>
      </c>
      <c r="S677" s="244" t="str">
        <f t="shared" si="88"/>
        <v/>
      </c>
      <c r="T677" s="245" t="str">
        <f t="shared" si="89"/>
        <v/>
      </c>
      <c r="U677" s="246" t="str">
        <f t="shared" si="90"/>
        <v/>
      </c>
      <c r="V677" s="8"/>
      <c r="AR677" t="str">
        <f t="shared" si="91"/>
        <v/>
      </c>
      <c r="AS677" t="str">
        <f t="shared" si="86"/>
        <v/>
      </c>
    </row>
    <row r="678" spans="1:45" x14ac:dyDescent="0.3">
      <c r="A678" s="231"/>
      <c r="B678" s="235"/>
      <c r="C678" s="214"/>
      <c r="D678" s="214"/>
      <c r="E678" s="214"/>
      <c r="F678" s="214"/>
      <c r="G678" s="222"/>
      <c r="H678" s="221"/>
      <c r="I678" s="213"/>
      <c r="J678" s="213"/>
      <c r="K678" s="215"/>
      <c r="L678" s="216"/>
      <c r="M678" s="217"/>
      <c r="N678" s="176"/>
      <c r="O678" s="241" t="str">
        <f>IF(Q678 = "", "", COUNT(Q$4:$Q678))</f>
        <v/>
      </c>
      <c r="P678" s="241" t="str">
        <f t="shared" si="84"/>
        <v/>
      </c>
      <c r="Q678" s="242" t="str">
        <f t="shared" si="85"/>
        <v/>
      </c>
      <c r="R678" s="243" t="str">
        <f t="shared" si="87"/>
        <v/>
      </c>
      <c r="S678" s="244" t="str">
        <f t="shared" si="88"/>
        <v/>
      </c>
      <c r="T678" s="245" t="str">
        <f t="shared" si="89"/>
        <v/>
      </c>
      <c r="U678" s="246" t="str">
        <f t="shared" si="90"/>
        <v/>
      </c>
      <c r="V678" s="8"/>
      <c r="AR678" t="str">
        <f t="shared" si="91"/>
        <v/>
      </c>
      <c r="AS678" t="str">
        <f t="shared" si="86"/>
        <v/>
      </c>
    </row>
    <row r="679" spans="1:45" x14ac:dyDescent="0.3">
      <c r="A679" s="231"/>
      <c r="B679" s="235"/>
      <c r="C679" s="214"/>
      <c r="D679" s="214"/>
      <c r="E679" s="214"/>
      <c r="F679" s="214"/>
      <c r="G679" s="222"/>
      <c r="H679" s="221"/>
      <c r="I679" s="213"/>
      <c r="J679" s="213"/>
      <c r="K679" s="215"/>
      <c r="L679" s="216"/>
      <c r="M679" s="217"/>
      <c r="N679" s="176"/>
      <c r="O679" s="241" t="str">
        <f>IF(Q679 = "", "", COUNT(Q$4:$Q679))</f>
        <v/>
      </c>
      <c r="P679" s="241" t="str">
        <f t="shared" si="84"/>
        <v/>
      </c>
      <c r="Q679" s="242" t="str">
        <f t="shared" si="85"/>
        <v/>
      </c>
      <c r="R679" s="243" t="str">
        <f t="shared" si="87"/>
        <v/>
      </c>
      <c r="S679" s="244" t="str">
        <f t="shared" si="88"/>
        <v/>
      </c>
      <c r="T679" s="245" t="str">
        <f t="shared" si="89"/>
        <v/>
      </c>
      <c r="U679" s="246" t="str">
        <f t="shared" si="90"/>
        <v/>
      </c>
      <c r="V679" s="8"/>
      <c r="AR679" t="str">
        <f t="shared" si="91"/>
        <v/>
      </c>
      <c r="AS679" t="str">
        <f t="shared" si="86"/>
        <v/>
      </c>
    </row>
    <row r="680" spans="1:45" x14ac:dyDescent="0.3">
      <c r="A680" s="231"/>
      <c r="B680" s="235"/>
      <c r="C680" s="214"/>
      <c r="D680" s="214"/>
      <c r="E680" s="214"/>
      <c r="F680" s="214"/>
      <c r="G680" s="222"/>
      <c r="H680" s="221"/>
      <c r="I680" s="213"/>
      <c r="J680" s="213"/>
      <c r="K680" s="215"/>
      <c r="L680" s="216"/>
      <c r="M680" s="217"/>
      <c r="N680" s="176"/>
      <c r="O680" s="241" t="str">
        <f>IF(Q680 = "", "", COUNT(Q$4:$Q680))</f>
        <v/>
      </c>
      <c r="P680" s="241" t="str">
        <f t="shared" si="84"/>
        <v/>
      </c>
      <c r="Q680" s="242" t="str">
        <f t="shared" si="85"/>
        <v/>
      </c>
      <c r="R680" s="243" t="str">
        <f t="shared" si="87"/>
        <v/>
      </c>
      <c r="S680" s="244" t="str">
        <f t="shared" si="88"/>
        <v/>
      </c>
      <c r="T680" s="245" t="str">
        <f t="shared" si="89"/>
        <v/>
      </c>
      <c r="U680" s="246" t="str">
        <f t="shared" si="90"/>
        <v/>
      </c>
      <c r="V680" s="8"/>
      <c r="AR680" t="str">
        <f t="shared" si="91"/>
        <v/>
      </c>
      <c r="AS680" t="str">
        <f t="shared" si="86"/>
        <v/>
      </c>
    </row>
    <row r="681" spans="1:45" x14ac:dyDescent="0.3">
      <c r="A681" s="231"/>
      <c r="B681" s="235"/>
      <c r="C681" s="214"/>
      <c r="D681" s="214"/>
      <c r="E681" s="214"/>
      <c r="F681" s="214"/>
      <c r="G681" s="222"/>
      <c r="H681" s="221"/>
      <c r="I681" s="213"/>
      <c r="J681" s="213"/>
      <c r="K681" s="215"/>
      <c r="L681" s="216"/>
      <c r="M681" s="217"/>
      <c r="N681" s="176"/>
      <c r="O681" s="241" t="str">
        <f>IF(Q681 = "", "", COUNT(Q$4:$Q681))</f>
        <v/>
      </c>
      <c r="P681" s="241" t="str">
        <f t="shared" si="84"/>
        <v/>
      </c>
      <c r="Q681" s="242" t="str">
        <f t="shared" si="85"/>
        <v/>
      </c>
      <c r="R681" s="243" t="str">
        <f t="shared" si="87"/>
        <v/>
      </c>
      <c r="S681" s="244" t="str">
        <f t="shared" si="88"/>
        <v/>
      </c>
      <c r="T681" s="245" t="str">
        <f t="shared" si="89"/>
        <v/>
      </c>
      <c r="U681" s="246" t="str">
        <f t="shared" si="90"/>
        <v/>
      </c>
      <c r="V681" s="8"/>
      <c r="AR681" t="str">
        <f t="shared" si="91"/>
        <v/>
      </c>
      <c r="AS681" t="str">
        <f t="shared" si="86"/>
        <v/>
      </c>
    </row>
    <row r="682" spans="1:45" x14ac:dyDescent="0.3">
      <c r="A682" s="231"/>
      <c r="B682" s="235"/>
      <c r="C682" s="214"/>
      <c r="D682" s="214"/>
      <c r="E682" s="214"/>
      <c r="F682" s="214"/>
      <c r="G682" s="222"/>
      <c r="H682" s="221"/>
      <c r="I682" s="213"/>
      <c r="J682" s="213"/>
      <c r="K682" s="215"/>
      <c r="L682" s="216"/>
      <c r="M682" s="217"/>
      <c r="N682" s="176"/>
      <c r="O682" s="241" t="str">
        <f>IF(Q682 = "", "", COUNT(Q$4:$Q682))</f>
        <v/>
      </c>
      <c r="P682" s="241" t="str">
        <f t="shared" si="84"/>
        <v/>
      </c>
      <c r="Q682" s="242" t="str">
        <f t="shared" si="85"/>
        <v/>
      </c>
      <c r="R682" s="243" t="str">
        <f t="shared" si="87"/>
        <v/>
      </c>
      <c r="S682" s="244" t="str">
        <f t="shared" si="88"/>
        <v/>
      </c>
      <c r="T682" s="245" t="str">
        <f t="shared" si="89"/>
        <v/>
      </c>
      <c r="U682" s="246" t="str">
        <f t="shared" si="90"/>
        <v/>
      </c>
      <c r="V682" s="8"/>
      <c r="AR682" t="str">
        <f t="shared" si="91"/>
        <v/>
      </c>
      <c r="AS682" t="str">
        <f t="shared" si="86"/>
        <v/>
      </c>
    </row>
    <row r="683" spans="1:45" x14ac:dyDescent="0.3">
      <c r="A683" s="231"/>
      <c r="B683" s="235"/>
      <c r="C683" s="214"/>
      <c r="D683" s="214"/>
      <c r="E683" s="214"/>
      <c r="F683" s="214"/>
      <c r="G683" s="222"/>
      <c r="H683" s="221"/>
      <c r="I683" s="213"/>
      <c r="J683" s="213"/>
      <c r="K683" s="215"/>
      <c r="L683" s="216"/>
      <c r="M683" s="217"/>
      <c r="N683" s="176"/>
      <c r="O683" s="241" t="str">
        <f>IF(Q683 = "", "", COUNT(Q$4:$Q683))</f>
        <v/>
      </c>
      <c r="P683" s="241" t="str">
        <f t="shared" si="84"/>
        <v/>
      </c>
      <c r="Q683" s="242" t="str">
        <f t="shared" si="85"/>
        <v/>
      </c>
      <c r="R683" s="243" t="str">
        <f t="shared" si="87"/>
        <v/>
      </c>
      <c r="S683" s="244" t="str">
        <f t="shared" si="88"/>
        <v/>
      </c>
      <c r="T683" s="245" t="str">
        <f t="shared" si="89"/>
        <v/>
      </c>
      <c r="U683" s="246" t="str">
        <f t="shared" si="90"/>
        <v/>
      </c>
      <c r="V683" s="8"/>
      <c r="AR683" t="str">
        <f t="shared" si="91"/>
        <v/>
      </c>
      <c r="AS683" t="str">
        <f t="shared" si="86"/>
        <v/>
      </c>
    </row>
    <row r="684" spans="1:45" x14ac:dyDescent="0.3">
      <c r="A684" s="231"/>
      <c r="B684" s="235"/>
      <c r="C684" s="214"/>
      <c r="D684" s="214"/>
      <c r="E684" s="214"/>
      <c r="F684" s="214"/>
      <c r="G684" s="222"/>
      <c r="H684" s="221"/>
      <c r="I684" s="213"/>
      <c r="J684" s="213"/>
      <c r="K684" s="215"/>
      <c r="L684" s="216"/>
      <c r="M684" s="217"/>
      <c r="N684" s="176"/>
      <c r="O684" s="241" t="str">
        <f>IF(Q684 = "", "", COUNT(Q$4:$Q684))</f>
        <v/>
      </c>
      <c r="P684" s="241" t="str">
        <f t="shared" si="84"/>
        <v/>
      </c>
      <c r="Q684" s="242" t="str">
        <f t="shared" si="85"/>
        <v/>
      </c>
      <c r="R684" s="243" t="str">
        <f t="shared" si="87"/>
        <v/>
      </c>
      <c r="S684" s="244" t="str">
        <f t="shared" si="88"/>
        <v/>
      </c>
      <c r="T684" s="245" t="str">
        <f t="shared" si="89"/>
        <v/>
      </c>
      <c r="U684" s="246" t="str">
        <f t="shared" si="90"/>
        <v/>
      </c>
      <c r="V684" s="8"/>
      <c r="AR684" t="str">
        <f t="shared" si="91"/>
        <v/>
      </c>
      <c r="AS684" t="str">
        <f t="shared" si="86"/>
        <v/>
      </c>
    </row>
    <row r="685" spans="1:45" x14ac:dyDescent="0.3">
      <c r="A685" s="231"/>
      <c r="B685" s="235"/>
      <c r="C685" s="214"/>
      <c r="D685" s="214"/>
      <c r="E685" s="214"/>
      <c r="F685" s="214"/>
      <c r="G685" s="222"/>
      <c r="H685" s="221"/>
      <c r="I685" s="213"/>
      <c r="J685" s="213"/>
      <c r="K685" s="215"/>
      <c r="L685" s="216"/>
      <c r="M685" s="217"/>
      <c r="N685" s="176"/>
      <c r="O685" s="241" t="str">
        <f>IF(Q685 = "", "", COUNT(Q$4:$Q685))</f>
        <v/>
      </c>
      <c r="P685" s="241" t="str">
        <f t="shared" si="84"/>
        <v/>
      </c>
      <c r="Q685" s="242" t="str">
        <f t="shared" si="85"/>
        <v/>
      </c>
      <c r="R685" s="243" t="str">
        <f t="shared" si="87"/>
        <v/>
      </c>
      <c r="S685" s="244" t="str">
        <f t="shared" si="88"/>
        <v/>
      </c>
      <c r="T685" s="245" t="str">
        <f t="shared" si="89"/>
        <v/>
      </c>
      <c r="U685" s="246" t="str">
        <f t="shared" si="90"/>
        <v/>
      </c>
      <c r="V685" s="8"/>
      <c r="AR685" t="str">
        <f t="shared" si="91"/>
        <v/>
      </c>
      <c r="AS685" t="str">
        <f t="shared" si="86"/>
        <v/>
      </c>
    </row>
    <row r="686" spans="1:45" x14ac:dyDescent="0.3">
      <c r="A686" s="231"/>
      <c r="B686" s="235"/>
      <c r="C686" s="214"/>
      <c r="D686" s="214"/>
      <c r="E686" s="214"/>
      <c r="F686" s="214"/>
      <c r="G686" s="222"/>
      <c r="H686" s="221"/>
      <c r="I686" s="213"/>
      <c r="J686" s="213"/>
      <c r="K686" s="215"/>
      <c r="L686" s="216"/>
      <c r="M686" s="217"/>
      <c r="N686" s="176"/>
      <c r="O686" s="241" t="str">
        <f>IF(Q686 = "", "", COUNT(Q$4:$Q686))</f>
        <v/>
      </c>
      <c r="P686" s="241" t="str">
        <f t="shared" si="84"/>
        <v/>
      </c>
      <c r="Q686" s="242" t="str">
        <f t="shared" si="85"/>
        <v/>
      </c>
      <c r="R686" s="243" t="str">
        <f t="shared" si="87"/>
        <v/>
      </c>
      <c r="S686" s="244" t="str">
        <f t="shared" si="88"/>
        <v/>
      </c>
      <c r="T686" s="245" t="str">
        <f t="shared" si="89"/>
        <v/>
      </c>
      <c r="U686" s="246" t="str">
        <f t="shared" si="90"/>
        <v/>
      </c>
      <c r="V686" s="8"/>
      <c r="AR686" t="str">
        <f t="shared" si="91"/>
        <v/>
      </c>
      <c r="AS686" t="str">
        <f t="shared" si="86"/>
        <v/>
      </c>
    </row>
    <row r="687" spans="1:45" x14ac:dyDescent="0.3">
      <c r="A687" s="231"/>
      <c r="B687" s="235"/>
      <c r="C687" s="214"/>
      <c r="D687" s="214"/>
      <c r="E687" s="214"/>
      <c r="F687" s="214"/>
      <c r="G687" s="222"/>
      <c r="H687" s="221"/>
      <c r="I687" s="213"/>
      <c r="J687" s="213"/>
      <c r="K687" s="215"/>
      <c r="L687" s="216"/>
      <c r="M687" s="217"/>
      <c r="N687" s="176"/>
      <c r="O687" s="241" t="str">
        <f>IF(Q687 = "", "", COUNT(Q$4:$Q687))</f>
        <v/>
      </c>
      <c r="P687" s="241" t="str">
        <f t="shared" si="84"/>
        <v/>
      </c>
      <c r="Q687" s="242" t="str">
        <f t="shared" si="85"/>
        <v/>
      </c>
      <c r="R687" s="243" t="str">
        <f t="shared" si="87"/>
        <v/>
      </c>
      <c r="S687" s="244" t="str">
        <f t="shared" si="88"/>
        <v/>
      </c>
      <c r="T687" s="245" t="str">
        <f t="shared" si="89"/>
        <v/>
      </c>
      <c r="U687" s="246" t="str">
        <f t="shared" si="90"/>
        <v/>
      </c>
      <c r="V687" s="8"/>
      <c r="AR687" t="str">
        <f t="shared" si="91"/>
        <v/>
      </c>
      <c r="AS687" t="str">
        <f t="shared" si="86"/>
        <v/>
      </c>
    </row>
    <row r="688" spans="1:45" x14ac:dyDescent="0.3">
      <c r="A688" s="231"/>
      <c r="B688" s="235"/>
      <c r="C688" s="214"/>
      <c r="D688" s="214"/>
      <c r="E688" s="214"/>
      <c r="F688" s="214"/>
      <c r="G688" s="222"/>
      <c r="H688" s="221"/>
      <c r="I688" s="213"/>
      <c r="J688" s="213"/>
      <c r="K688" s="215"/>
      <c r="L688" s="216"/>
      <c r="M688" s="217"/>
      <c r="N688" s="176"/>
      <c r="O688" s="241" t="str">
        <f>IF(Q688 = "", "", COUNT(Q$4:$Q688))</f>
        <v/>
      </c>
      <c r="P688" s="241" t="str">
        <f t="shared" si="84"/>
        <v/>
      </c>
      <c r="Q688" s="242" t="str">
        <f t="shared" si="85"/>
        <v/>
      </c>
      <c r="R688" s="243" t="str">
        <f t="shared" si="87"/>
        <v/>
      </c>
      <c r="S688" s="244" t="str">
        <f t="shared" si="88"/>
        <v/>
      </c>
      <c r="T688" s="245" t="str">
        <f t="shared" si="89"/>
        <v/>
      </c>
      <c r="U688" s="246" t="str">
        <f t="shared" si="90"/>
        <v/>
      </c>
      <c r="V688" s="8"/>
      <c r="AR688" t="str">
        <f t="shared" si="91"/>
        <v/>
      </c>
      <c r="AS688" t="str">
        <f t="shared" si="86"/>
        <v/>
      </c>
    </row>
    <row r="689" spans="1:45" x14ac:dyDescent="0.3">
      <c r="A689" s="231"/>
      <c r="B689" s="235"/>
      <c r="C689" s="214"/>
      <c r="D689" s="214"/>
      <c r="E689" s="214"/>
      <c r="F689" s="214"/>
      <c r="G689" s="222"/>
      <c r="H689" s="221"/>
      <c r="I689" s="213"/>
      <c r="J689" s="213"/>
      <c r="K689" s="215"/>
      <c r="L689" s="216"/>
      <c r="M689" s="217"/>
      <c r="N689" s="176"/>
      <c r="O689" s="241" t="str">
        <f>IF(Q689 = "", "", COUNT(Q$4:$Q689))</f>
        <v/>
      </c>
      <c r="P689" s="241" t="str">
        <f t="shared" si="84"/>
        <v/>
      </c>
      <c r="Q689" s="242" t="str">
        <f t="shared" si="85"/>
        <v/>
      </c>
      <c r="R689" s="243" t="str">
        <f t="shared" si="87"/>
        <v/>
      </c>
      <c r="S689" s="244" t="str">
        <f t="shared" si="88"/>
        <v/>
      </c>
      <c r="T689" s="245" t="str">
        <f t="shared" si="89"/>
        <v/>
      </c>
      <c r="U689" s="246" t="str">
        <f t="shared" si="90"/>
        <v/>
      </c>
      <c r="V689" s="8"/>
      <c r="AR689" t="str">
        <f t="shared" si="91"/>
        <v/>
      </c>
      <c r="AS689" t="str">
        <f t="shared" si="86"/>
        <v/>
      </c>
    </row>
    <row r="690" spans="1:45" x14ac:dyDescent="0.3">
      <c r="A690" s="231"/>
      <c r="B690" s="235"/>
      <c r="C690" s="214"/>
      <c r="D690" s="214"/>
      <c r="E690" s="214"/>
      <c r="F690" s="214"/>
      <c r="G690" s="222"/>
      <c r="H690" s="221"/>
      <c r="I690" s="213"/>
      <c r="J690" s="213"/>
      <c r="K690" s="215"/>
      <c r="L690" s="216"/>
      <c r="M690" s="217"/>
      <c r="N690" s="176"/>
      <c r="O690" s="241" t="str">
        <f>IF(Q690 = "", "", COUNT(Q$4:$Q690))</f>
        <v/>
      </c>
      <c r="P690" s="241" t="str">
        <f t="shared" si="84"/>
        <v/>
      </c>
      <c r="Q690" s="242" t="str">
        <f t="shared" si="85"/>
        <v/>
      </c>
      <c r="R690" s="243" t="str">
        <f t="shared" si="87"/>
        <v/>
      </c>
      <c r="S690" s="244" t="str">
        <f t="shared" si="88"/>
        <v/>
      </c>
      <c r="T690" s="245" t="str">
        <f t="shared" si="89"/>
        <v/>
      </c>
      <c r="U690" s="246" t="str">
        <f t="shared" si="90"/>
        <v/>
      </c>
      <c r="V690" s="8"/>
      <c r="AR690" t="str">
        <f t="shared" si="91"/>
        <v/>
      </c>
      <c r="AS690" t="str">
        <f t="shared" si="86"/>
        <v/>
      </c>
    </row>
    <row r="691" spans="1:45" x14ac:dyDescent="0.3">
      <c r="A691" s="231"/>
      <c r="B691" s="235"/>
      <c r="C691" s="214"/>
      <c r="D691" s="214"/>
      <c r="E691" s="214"/>
      <c r="F691" s="214"/>
      <c r="G691" s="222"/>
      <c r="H691" s="221"/>
      <c r="I691" s="213"/>
      <c r="J691" s="213"/>
      <c r="K691" s="215"/>
      <c r="L691" s="216"/>
      <c r="M691" s="217"/>
      <c r="N691" s="176"/>
      <c r="O691" s="241" t="str">
        <f>IF(Q691 = "", "", COUNT(Q$4:$Q691))</f>
        <v/>
      </c>
      <c r="P691" s="241" t="str">
        <f t="shared" si="84"/>
        <v/>
      </c>
      <c r="Q691" s="242" t="str">
        <f t="shared" si="85"/>
        <v/>
      </c>
      <c r="R691" s="243" t="str">
        <f t="shared" si="87"/>
        <v/>
      </c>
      <c r="S691" s="244" t="str">
        <f t="shared" si="88"/>
        <v/>
      </c>
      <c r="T691" s="245" t="str">
        <f t="shared" si="89"/>
        <v/>
      </c>
      <c r="U691" s="246" t="str">
        <f t="shared" si="90"/>
        <v/>
      </c>
      <c r="V691" s="8"/>
      <c r="AR691" t="str">
        <f t="shared" si="91"/>
        <v/>
      </c>
      <c r="AS691" t="str">
        <f t="shared" si="86"/>
        <v/>
      </c>
    </row>
    <row r="692" spans="1:45" x14ac:dyDescent="0.3">
      <c r="A692" s="231"/>
      <c r="B692" s="235"/>
      <c r="C692" s="214"/>
      <c r="D692" s="214"/>
      <c r="E692" s="214"/>
      <c r="F692" s="214"/>
      <c r="G692" s="222"/>
      <c r="H692" s="221"/>
      <c r="I692" s="213"/>
      <c r="J692" s="213"/>
      <c r="K692" s="215"/>
      <c r="L692" s="216"/>
      <c r="M692" s="217"/>
      <c r="N692" s="176"/>
      <c r="O692" s="241" t="str">
        <f>IF(Q692 = "", "", COUNT(Q$4:$Q692))</f>
        <v/>
      </c>
      <c r="P692" s="241" t="str">
        <f t="shared" si="84"/>
        <v/>
      </c>
      <c r="Q692" s="242" t="str">
        <f t="shared" si="85"/>
        <v/>
      </c>
      <c r="R692" s="243" t="str">
        <f t="shared" si="87"/>
        <v/>
      </c>
      <c r="S692" s="244" t="str">
        <f t="shared" si="88"/>
        <v/>
      </c>
      <c r="T692" s="245" t="str">
        <f t="shared" si="89"/>
        <v/>
      </c>
      <c r="U692" s="246" t="str">
        <f t="shared" si="90"/>
        <v/>
      </c>
      <c r="V692" s="8"/>
      <c r="AR692" t="str">
        <f t="shared" si="91"/>
        <v/>
      </c>
      <c r="AS692" t="str">
        <f t="shared" si="86"/>
        <v/>
      </c>
    </row>
    <row r="693" spans="1:45" x14ac:dyDescent="0.3">
      <c r="A693" s="231"/>
      <c r="B693" s="235"/>
      <c r="C693" s="214"/>
      <c r="D693" s="214"/>
      <c r="E693" s="214"/>
      <c r="F693" s="214"/>
      <c r="G693" s="222"/>
      <c r="H693" s="221"/>
      <c r="I693" s="213"/>
      <c r="J693" s="213"/>
      <c r="K693" s="215"/>
      <c r="L693" s="216"/>
      <c r="M693" s="217"/>
      <c r="N693" s="176"/>
      <c r="O693" s="241" t="str">
        <f>IF(Q693 = "", "", COUNT(Q$4:$Q693))</f>
        <v/>
      </c>
      <c r="P693" s="241" t="str">
        <f t="shared" si="84"/>
        <v/>
      </c>
      <c r="Q693" s="242" t="str">
        <f t="shared" si="85"/>
        <v/>
      </c>
      <c r="R693" s="243" t="str">
        <f t="shared" si="87"/>
        <v/>
      </c>
      <c r="S693" s="244" t="str">
        <f t="shared" si="88"/>
        <v/>
      </c>
      <c r="T693" s="245" t="str">
        <f t="shared" si="89"/>
        <v/>
      </c>
      <c r="U693" s="246" t="str">
        <f t="shared" si="90"/>
        <v/>
      </c>
      <c r="V693" s="8"/>
      <c r="AR693" t="str">
        <f t="shared" si="91"/>
        <v/>
      </c>
      <c r="AS693" t="str">
        <f t="shared" si="86"/>
        <v/>
      </c>
    </row>
    <row r="694" spans="1:45" x14ac:dyDescent="0.3">
      <c r="A694" s="231"/>
      <c r="B694" s="235"/>
      <c r="C694" s="214"/>
      <c r="D694" s="214"/>
      <c r="E694" s="214"/>
      <c r="F694" s="214"/>
      <c r="G694" s="222"/>
      <c r="H694" s="221"/>
      <c r="I694" s="213"/>
      <c r="J694" s="213"/>
      <c r="K694" s="215"/>
      <c r="L694" s="216"/>
      <c r="M694" s="217"/>
      <c r="N694" s="176"/>
      <c r="O694" s="241" t="str">
        <f>IF(Q694 = "", "", COUNT(Q$4:$Q694))</f>
        <v/>
      </c>
      <c r="P694" s="241" t="str">
        <f t="shared" si="84"/>
        <v/>
      </c>
      <c r="Q694" s="242" t="str">
        <f t="shared" si="85"/>
        <v/>
      </c>
      <c r="R694" s="243" t="str">
        <f t="shared" si="87"/>
        <v/>
      </c>
      <c r="S694" s="244" t="str">
        <f t="shared" si="88"/>
        <v/>
      </c>
      <c r="T694" s="245" t="str">
        <f t="shared" si="89"/>
        <v/>
      </c>
      <c r="U694" s="246" t="str">
        <f t="shared" si="90"/>
        <v/>
      </c>
      <c r="V694" s="8"/>
      <c r="AR694" t="str">
        <f t="shared" si="91"/>
        <v/>
      </c>
      <c r="AS694" t="str">
        <f t="shared" si="86"/>
        <v/>
      </c>
    </row>
    <row r="695" spans="1:45" x14ac:dyDescent="0.3">
      <c r="A695" s="231"/>
      <c r="B695" s="235"/>
      <c r="C695" s="214"/>
      <c r="D695" s="214"/>
      <c r="E695" s="214"/>
      <c r="F695" s="214"/>
      <c r="G695" s="222"/>
      <c r="H695" s="221"/>
      <c r="I695" s="213"/>
      <c r="J695" s="213"/>
      <c r="K695" s="215"/>
      <c r="L695" s="216"/>
      <c r="M695" s="217"/>
      <c r="N695" s="176"/>
      <c r="O695" s="241" t="str">
        <f>IF(Q695 = "", "", COUNT(Q$4:$Q695))</f>
        <v/>
      </c>
      <c r="P695" s="241" t="str">
        <f t="shared" si="84"/>
        <v/>
      </c>
      <c r="Q695" s="242" t="str">
        <f t="shared" si="85"/>
        <v/>
      </c>
      <c r="R695" s="243" t="str">
        <f t="shared" si="87"/>
        <v/>
      </c>
      <c r="S695" s="244" t="str">
        <f t="shared" si="88"/>
        <v/>
      </c>
      <c r="T695" s="245" t="str">
        <f t="shared" si="89"/>
        <v/>
      </c>
      <c r="U695" s="246" t="str">
        <f t="shared" si="90"/>
        <v/>
      </c>
      <c r="V695" s="8"/>
      <c r="AR695" t="str">
        <f t="shared" si="91"/>
        <v/>
      </c>
      <c r="AS695" t="str">
        <f t="shared" si="86"/>
        <v/>
      </c>
    </row>
    <row r="696" spans="1:45" x14ac:dyDescent="0.3">
      <c r="A696" s="231"/>
      <c r="B696" s="235"/>
      <c r="C696" s="214"/>
      <c r="D696" s="214"/>
      <c r="E696" s="214"/>
      <c r="F696" s="214"/>
      <c r="G696" s="222"/>
      <c r="H696" s="221"/>
      <c r="I696" s="213"/>
      <c r="J696" s="213"/>
      <c r="K696" s="215"/>
      <c r="L696" s="216"/>
      <c r="M696" s="217"/>
      <c r="N696" s="176"/>
      <c r="O696" s="241" t="str">
        <f>IF(Q696 = "", "", COUNT(Q$4:$Q696))</f>
        <v/>
      </c>
      <c r="P696" s="241" t="str">
        <f t="shared" si="84"/>
        <v/>
      </c>
      <c r="Q696" s="242" t="str">
        <f t="shared" si="85"/>
        <v/>
      </c>
      <c r="R696" s="243" t="str">
        <f t="shared" si="87"/>
        <v/>
      </c>
      <c r="S696" s="244" t="str">
        <f t="shared" si="88"/>
        <v/>
      </c>
      <c r="T696" s="245" t="str">
        <f t="shared" si="89"/>
        <v/>
      </c>
      <c r="U696" s="246" t="str">
        <f t="shared" si="90"/>
        <v/>
      </c>
      <c r="V696" s="8"/>
      <c r="AR696" t="str">
        <f t="shared" si="91"/>
        <v/>
      </c>
      <c r="AS696" t="str">
        <f t="shared" si="86"/>
        <v/>
      </c>
    </row>
    <row r="697" spans="1:45" x14ac:dyDescent="0.3">
      <c r="A697" s="231"/>
      <c r="B697" s="235"/>
      <c r="C697" s="214"/>
      <c r="D697" s="214"/>
      <c r="E697" s="214"/>
      <c r="F697" s="214"/>
      <c r="G697" s="222"/>
      <c r="H697" s="221"/>
      <c r="I697" s="213"/>
      <c r="J697" s="213"/>
      <c r="K697" s="215"/>
      <c r="L697" s="216"/>
      <c r="M697" s="217"/>
      <c r="N697" s="176"/>
      <c r="O697" s="241" t="str">
        <f>IF(Q697 = "", "", COUNT(Q$4:$Q697))</f>
        <v/>
      </c>
      <c r="P697" s="241" t="str">
        <f t="shared" si="84"/>
        <v/>
      </c>
      <c r="Q697" s="242" t="str">
        <f t="shared" si="85"/>
        <v/>
      </c>
      <c r="R697" s="243" t="str">
        <f t="shared" si="87"/>
        <v/>
      </c>
      <c r="S697" s="244" t="str">
        <f t="shared" si="88"/>
        <v/>
      </c>
      <c r="T697" s="245" t="str">
        <f t="shared" si="89"/>
        <v/>
      </c>
      <c r="U697" s="246" t="str">
        <f t="shared" si="90"/>
        <v/>
      </c>
      <c r="V697" s="8"/>
      <c r="AR697" t="str">
        <f t="shared" si="91"/>
        <v/>
      </c>
      <c r="AS697" t="str">
        <f t="shared" si="86"/>
        <v/>
      </c>
    </row>
    <row r="698" spans="1:45" x14ac:dyDescent="0.3">
      <c r="A698" s="231"/>
      <c r="B698" s="235"/>
      <c r="C698" s="214"/>
      <c r="D698" s="214"/>
      <c r="E698" s="214"/>
      <c r="F698" s="214"/>
      <c r="G698" s="222"/>
      <c r="H698" s="221"/>
      <c r="I698" s="213"/>
      <c r="J698" s="213"/>
      <c r="K698" s="215"/>
      <c r="L698" s="216"/>
      <c r="M698" s="217"/>
      <c r="N698" s="176"/>
      <c r="O698" s="241" t="str">
        <f>IF(Q698 = "", "", COUNT(Q$4:$Q698))</f>
        <v/>
      </c>
      <c r="P698" s="241" t="str">
        <f t="shared" si="84"/>
        <v/>
      </c>
      <c r="Q698" s="242" t="str">
        <f t="shared" si="85"/>
        <v/>
      </c>
      <c r="R698" s="243" t="str">
        <f t="shared" si="87"/>
        <v/>
      </c>
      <c r="S698" s="244" t="str">
        <f t="shared" si="88"/>
        <v/>
      </c>
      <c r="T698" s="245" t="str">
        <f t="shared" si="89"/>
        <v/>
      </c>
      <c r="U698" s="246" t="str">
        <f t="shared" si="90"/>
        <v/>
      </c>
      <c r="V698" s="8"/>
      <c r="AR698" t="str">
        <f t="shared" si="91"/>
        <v/>
      </c>
      <c r="AS698" t="str">
        <f t="shared" si="86"/>
        <v/>
      </c>
    </row>
    <row r="699" spans="1:45" x14ac:dyDescent="0.3">
      <c r="A699" s="231"/>
      <c r="B699" s="235"/>
      <c r="C699" s="214"/>
      <c r="D699" s="214"/>
      <c r="E699" s="214"/>
      <c r="F699" s="214"/>
      <c r="G699" s="222"/>
      <c r="H699" s="221"/>
      <c r="I699" s="213"/>
      <c r="J699" s="213"/>
      <c r="K699" s="215"/>
      <c r="L699" s="216"/>
      <c r="M699" s="217"/>
      <c r="N699" s="176"/>
      <c r="O699" s="241" t="str">
        <f>IF(Q699 = "", "", COUNT(Q$4:$Q699))</f>
        <v/>
      </c>
      <c r="P699" s="241" t="str">
        <f t="shared" si="84"/>
        <v/>
      </c>
      <c r="Q699" s="242" t="str">
        <f t="shared" si="85"/>
        <v/>
      </c>
      <c r="R699" s="243" t="str">
        <f t="shared" si="87"/>
        <v/>
      </c>
      <c r="S699" s="244" t="str">
        <f t="shared" si="88"/>
        <v/>
      </c>
      <c r="T699" s="245" t="str">
        <f t="shared" si="89"/>
        <v/>
      </c>
      <c r="U699" s="246" t="str">
        <f t="shared" si="90"/>
        <v/>
      </c>
      <c r="V699" s="8"/>
      <c r="AR699" t="str">
        <f t="shared" si="91"/>
        <v/>
      </c>
      <c r="AS699" t="str">
        <f t="shared" si="86"/>
        <v/>
      </c>
    </row>
    <row r="700" spans="1:45" x14ac:dyDescent="0.3">
      <c r="A700" s="231"/>
      <c r="B700" s="235"/>
      <c r="C700" s="214"/>
      <c r="D700" s="214"/>
      <c r="E700" s="214"/>
      <c r="F700" s="214"/>
      <c r="G700" s="222"/>
      <c r="H700" s="221"/>
      <c r="I700" s="213"/>
      <c r="J700" s="213"/>
      <c r="K700" s="215"/>
      <c r="L700" s="216"/>
      <c r="M700" s="217"/>
      <c r="N700" s="176"/>
      <c r="O700" s="241" t="str">
        <f>IF(Q700 = "", "", COUNT(Q$4:$Q700))</f>
        <v/>
      </c>
      <c r="P700" s="241" t="str">
        <f t="shared" si="84"/>
        <v/>
      </c>
      <c r="Q700" s="242" t="str">
        <f t="shared" si="85"/>
        <v/>
      </c>
      <c r="R700" s="243" t="str">
        <f t="shared" si="87"/>
        <v/>
      </c>
      <c r="S700" s="244" t="str">
        <f t="shared" si="88"/>
        <v/>
      </c>
      <c r="T700" s="245" t="str">
        <f t="shared" si="89"/>
        <v/>
      </c>
      <c r="U700" s="246" t="str">
        <f t="shared" si="90"/>
        <v/>
      </c>
      <c r="V700" s="8"/>
      <c r="AR700" t="str">
        <f t="shared" si="91"/>
        <v/>
      </c>
      <c r="AS700" t="str">
        <f t="shared" si="86"/>
        <v/>
      </c>
    </row>
    <row r="701" spans="1:45" x14ac:dyDescent="0.3">
      <c r="A701" s="231"/>
      <c r="B701" s="235"/>
      <c r="C701" s="214"/>
      <c r="D701" s="214"/>
      <c r="E701" s="214"/>
      <c r="F701" s="214"/>
      <c r="G701" s="222"/>
      <c r="H701" s="221"/>
      <c r="I701" s="213"/>
      <c r="J701" s="213"/>
      <c r="K701" s="215"/>
      <c r="L701" s="216"/>
      <c r="M701" s="217"/>
      <c r="N701" s="176"/>
      <c r="O701" s="241" t="str">
        <f>IF(Q701 = "", "", COUNT(Q$4:$Q701))</f>
        <v/>
      </c>
      <c r="P701" s="241" t="str">
        <f t="shared" si="84"/>
        <v/>
      </c>
      <c r="Q701" s="242" t="str">
        <f t="shared" si="85"/>
        <v/>
      </c>
      <c r="R701" s="243" t="str">
        <f t="shared" si="87"/>
        <v/>
      </c>
      <c r="S701" s="244" t="str">
        <f t="shared" si="88"/>
        <v/>
      </c>
      <c r="T701" s="245" t="str">
        <f t="shared" si="89"/>
        <v/>
      </c>
      <c r="U701" s="246" t="str">
        <f t="shared" si="90"/>
        <v/>
      </c>
      <c r="V701" s="8"/>
      <c r="AR701" t="str">
        <f t="shared" si="91"/>
        <v/>
      </c>
      <c r="AS701" t="str">
        <f t="shared" si="86"/>
        <v/>
      </c>
    </row>
    <row r="702" spans="1:45" x14ac:dyDescent="0.3">
      <c r="A702" s="231"/>
      <c r="B702" s="235"/>
      <c r="C702" s="214"/>
      <c r="D702" s="214"/>
      <c r="E702" s="214"/>
      <c r="F702" s="214"/>
      <c r="G702" s="222"/>
      <c r="H702" s="221"/>
      <c r="I702" s="213"/>
      <c r="J702" s="213"/>
      <c r="K702" s="215"/>
      <c r="L702" s="216"/>
      <c r="M702" s="217"/>
      <c r="N702" s="176"/>
      <c r="O702" s="241" t="str">
        <f>IF(Q702 = "", "", COUNT(Q$4:$Q702))</f>
        <v/>
      </c>
      <c r="P702" s="241" t="str">
        <f t="shared" si="84"/>
        <v/>
      </c>
      <c r="Q702" s="242" t="str">
        <f t="shared" si="85"/>
        <v/>
      </c>
      <c r="R702" s="243" t="str">
        <f t="shared" si="87"/>
        <v/>
      </c>
      <c r="S702" s="244" t="str">
        <f t="shared" si="88"/>
        <v/>
      </c>
      <c r="T702" s="245" t="str">
        <f t="shared" si="89"/>
        <v/>
      </c>
      <c r="U702" s="246" t="str">
        <f t="shared" si="90"/>
        <v/>
      </c>
      <c r="V702" s="8"/>
      <c r="AR702" t="str">
        <f t="shared" si="91"/>
        <v/>
      </c>
      <c r="AS702" t="str">
        <f t="shared" si="86"/>
        <v/>
      </c>
    </row>
    <row r="703" spans="1:45" x14ac:dyDescent="0.3">
      <c r="A703" s="231"/>
      <c r="B703" s="235"/>
      <c r="C703" s="214"/>
      <c r="D703" s="214"/>
      <c r="E703" s="214"/>
      <c r="F703" s="214"/>
      <c r="G703" s="222"/>
      <c r="H703" s="221"/>
      <c r="I703" s="213"/>
      <c r="J703" s="213"/>
      <c r="K703" s="215"/>
      <c r="L703" s="216"/>
      <c r="M703" s="217"/>
      <c r="N703" s="176"/>
      <c r="O703" s="241" t="str">
        <f>IF(Q703 = "", "", COUNT(Q$4:$Q703))</f>
        <v/>
      </c>
      <c r="P703" s="241" t="str">
        <f t="shared" si="84"/>
        <v/>
      </c>
      <c r="Q703" s="242" t="str">
        <f t="shared" si="85"/>
        <v/>
      </c>
      <c r="R703" s="243" t="str">
        <f t="shared" si="87"/>
        <v/>
      </c>
      <c r="S703" s="244" t="str">
        <f t="shared" si="88"/>
        <v/>
      </c>
      <c r="T703" s="245" t="str">
        <f t="shared" si="89"/>
        <v/>
      </c>
      <c r="U703" s="246" t="str">
        <f t="shared" si="90"/>
        <v/>
      </c>
      <c r="V703" s="8"/>
      <c r="AR703" t="str">
        <f t="shared" si="91"/>
        <v/>
      </c>
      <c r="AS703" t="str">
        <f t="shared" si="86"/>
        <v/>
      </c>
    </row>
    <row r="704" spans="1:45" x14ac:dyDescent="0.3">
      <c r="A704" s="231"/>
      <c r="B704" s="235"/>
      <c r="C704" s="214"/>
      <c r="D704" s="214"/>
      <c r="E704" s="214"/>
      <c r="F704" s="214"/>
      <c r="G704" s="222"/>
      <c r="H704" s="221"/>
      <c r="I704" s="213"/>
      <c r="J704" s="213"/>
      <c r="K704" s="215"/>
      <c r="L704" s="216"/>
      <c r="M704" s="217"/>
      <c r="N704" s="176"/>
      <c r="O704" s="241" t="str">
        <f>IF(Q704 = "", "", COUNT(Q$4:$Q704))</f>
        <v/>
      </c>
      <c r="P704" s="241" t="str">
        <f t="shared" si="84"/>
        <v/>
      </c>
      <c r="Q704" s="242" t="str">
        <f t="shared" si="85"/>
        <v/>
      </c>
      <c r="R704" s="243" t="str">
        <f t="shared" si="87"/>
        <v/>
      </c>
      <c r="S704" s="244" t="str">
        <f t="shared" si="88"/>
        <v/>
      </c>
      <c r="T704" s="245" t="str">
        <f t="shared" si="89"/>
        <v/>
      </c>
      <c r="U704" s="246" t="str">
        <f t="shared" si="90"/>
        <v/>
      </c>
      <c r="V704" s="8"/>
      <c r="AR704" t="str">
        <f t="shared" si="91"/>
        <v/>
      </c>
      <c r="AS704" t="str">
        <f t="shared" si="86"/>
        <v/>
      </c>
    </row>
    <row r="705" spans="1:45" x14ac:dyDescent="0.3">
      <c r="A705" s="231"/>
      <c r="B705" s="235"/>
      <c r="C705" s="214"/>
      <c r="D705" s="214"/>
      <c r="E705" s="214"/>
      <c r="F705" s="214"/>
      <c r="G705" s="222"/>
      <c r="H705" s="221"/>
      <c r="I705" s="213"/>
      <c r="J705" s="213"/>
      <c r="K705" s="215"/>
      <c r="L705" s="216"/>
      <c r="M705" s="217"/>
      <c r="N705" s="176"/>
      <c r="O705" s="241" t="str">
        <f>IF(Q705 = "", "", COUNT(Q$4:$Q705))</f>
        <v/>
      </c>
      <c r="P705" s="241" t="str">
        <f t="shared" si="84"/>
        <v/>
      </c>
      <c r="Q705" s="242" t="str">
        <f t="shared" si="85"/>
        <v/>
      </c>
      <c r="R705" s="243" t="str">
        <f t="shared" si="87"/>
        <v/>
      </c>
      <c r="S705" s="244" t="str">
        <f t="shared" si="88"/>
        <v/>
      </c>
      <c r="T705" s="245" t="str">
        <f t="shared" si="89"/>
        <v/>
      </c>
      <c r="U705" s="246" t="str">
        <f t="shared" si="90"/>
        <v/>
      </c>
      <c r="V705" s="8"/>
      <c r="AR705" t="str">
        <f t="shared" si="91"/>
        <v/>
      </c>
      <c r="AS705" t="str">
        <f t="shared" si="86"/>
        <v/>
      </c>
    </row>
    <row r="706" spans="1:45" x14ac:dyDescent="0.3">
      <c r="A706" s="231"/>
      <c r="B706" s="235"/>
      <c r="C706" s="214"/>
      <c r="D706" s="214"/>
      <c r="E706" s="214"/>
      <c r="F706" s="214"/>
      <c r="G706" s="222"/>
      <c r="H706" s="221"/>
      <c r="I706" s="213"/>
      <c r="J706" s="213"/>
      <c r="K706" s="215"/>
      <c r="L706" s="216"/>
      <c r="M706" s="217"/>
      <c r="N706" s="176"/>
      <c r="O706" s="241" t="str">
        <f>IF(Q706 = "", "", COUNT(Q$4:$Q706))</f>
        <v/>
      </c>
      <c r="P706" s="241" t="str">
        <f t="shared" si="84"/>
        <v/>
      </c>
      <c r="Q706" s="242" t="str">
        <f t="shared" si="85"/>
        <v/>
      </c>
      <c r="R706" s="243" t="str">
        <f t="shared" si="87"/>
        <v/>
      </c>
      <c r="S706" s="244" t="str">
        <f t="shared" si="88"/>
        <v/>
      </c>
      <c r="T706" s="245" t="str">
        <f t="shared" si="89"/>
        <v/>
      </c>
      <c r="U706" s="246" t="str">
        <f t="shared" si="90"/>
        <v/>
      </c>
      <c r="V706" s="8"/>
      <c r="AR706" t="str">
        <f t="shared" si="91"/>
        <v/>
      </c>
      <c r="AS706" t="str">
        <f t="shared" si="86"/>
        <v/>
      </c>
    </row>
    <row r="707" spans="1:45" x14ac:dyDescent="0.3">
      <c r="A707" s="231"/>
      <c r="B707" s="235"/>
      <c r="C707" s="214"/>
      <c r="D707" s="214"/>
      <c r="E707" s="214"/>
      <c r="F707" s="214"/>
      <c r="G707" s="222"/>
      <c r="H707" s="221"/>
      <c r="I707" s="213"/>
      <c r="J707" s="213"/>
      <c r="K707" s="215"/>
      <c r="L707" s="216"/>
      <c r="M707" s="217"/>
      <c r="N707" s="176"/>
      <c r="O707" s="241" t="str">
        <f>IF(Q707 = "", "", COUNT(Q$4:$Q707))</f>
        <v/>
      </c>
      <c r="P707" s="241" t="str">
        <f t="shared" si="84"/>
        <v/>
      </c>
      <c r="Q707" s="242" t="str">
        <f t="shared" si="85"/>
        <v/>
      </c>
      <c r="R707" s="243" t="str">
        <f t="shared" si="87"/>
        <v/>
      </c>
      <c r="S707" s="244" t="str">
        <f t="shared" si="88"/>
        <v/>
      </c>
      <c r="T707" s="245" t="str">
        <f t="shared" si="89"/>
        <v/>
      </c>
      <c r="U707" s="246" t="str">
        <f t="shared" si="90"/>
        <v/>
      </c>
      <c r="V707" s="8"/>
      <c r="AR707" t="str">
        <f t="shared" si="91"/>
        <v/>
      </c>
      <c r="AS707" t="str">
        <f t="shared" si="86"/>
        <v/>
      </c>
    </row>
    <row r="708" spans="1:45" x14ac:dyDescent="0.3">
      <c r="A708" s="231"/>
      <c r="B708" s="235"/>
      <c r="C708" s="214"/>
      <c r="D708" s="214"/>
      <c r="E708" s="214"/>
      <c r="F708" s="214"/>
      <c r="G708" s="222"/>
      <c r="H708" s="221"/>
      <c r="I708" s="213"/>
      <c r="J708" s="213"/>
      <c r="K708" s="215"/>
      <c r="L708" s="216"/>
      <c r="M708" s="217"/>
      <c r="N708" s="176"/>
      <c r="O708" s="241" t="str">
        <f>IF(Q708 = "", "", COUNT(Q$4:$Q708))</f>
        <v/>
      </c>
      <c r="P708" s="241" t="str">
        <f t="shared" ref="P708:P771" si="92">IF(C708 &gt; 0, YEAR(B708), "")</f>
        <v/>
      </c>
      <c r="Q708" s="242" t="str">
        <f t="shared" ref="Q708:Q771" si="93">IF(A708="", "", IF(G708="",1,IF(G708="O",1,IF(G708="C",8.4,IF(G708="B",8.4,IF(G708="A",76.8,IF(G708="K",76.8,"ERR")))))))</f>
        <v/>
      </c>
      <c r="R708" s="243" t="str">
        <f t="shared" si="87"/>
        <v/>
      </c>
      <c r="S708" s="244" t="str">
        <f t="shared" si="88"/>
        <v/>
      </c>
      <c r="T708" s="245" t="str">
        <f t="shared" si="89"/>
        <v/>
      </c>
      <c r="U708" s="246" t="str">
        <f t="shared" si="90"/>
        <v/>
      </c>
      <c r="V708" s="8"/>
      <c r="AR708" t="str">
        <f t="shared" si="91"/>
        <v/>
      </c>
      <c r="AS708" t="str">
        <f t="shared" ref="AS708:AS771" si="94">IF(OR(L708="Y",M708="Y"),"Y","")</f>
        <v/>
      </c>
    </row>
    <row r="709" spans="1:45" x14ac:dyDescent="0.3">
      <c r="A709" s="231"/>
      <c r="B709" s="235"/>
      <c r="C709" s="214"/>
      <c r="D709" s="214"/>
      <c r="E709" s="214"/>
      <c r="F709" s="214"/>
      <c r="G709" s="222"/>
      <c r="H709" s="221"/>
      <c r="I709" s="213"/>
      <c r="J709" s="213"/>
      <c r="K709" s="215"/>
      <c r="L709" s="216"/>
      <c r="M709" s="217"/>
      <c r="N709" s="176"/>
      <c r="O709" s="241" t="str">
        <f>IF(Q709 = "", "", COUNT(Q$4:$Q709))</f>
        <v/>
      </c>
      <c r="P709" s="241" t="str">
        <f t="shared" si="92"/>
        <v/>
      </c>
      <c r="Q709" s="242" t="str">
        <f t="shared" si="93"/>
        <v/>
      </c>
      <c r="R709" s="243" t="str">
        <f t="shared" ref="R709:R772" si="95">IF(L709&lt;&gt;"",Q709,"")</f>
        <v/>
      </c>
      <c r="S709" s="244" t="str">
        <f t="shared" ref="S709:S772" si="96">IF(IF(L709&lt;&gt;"",G709,"")=0, "O", IF(L709&lt;&gt;"",G709,""))</f>
        <v/>
      </c>
      <c r="T709" s="245" t="str">
        <f t="shared" ref="T709:T772" si="97">IF(M709&lt;&gt;"",Q709,"")</f>
        <v/>
      </c>
      <c r="U709" s="246" t="str">
        <f t="shared" ref="U709:U772" si="98">IF(IF(M709&lt;&gt;"",G709,"")=0, "O", IF(M709&lt;&gt;"",G709,""))</f>
        <v/>
      </c>
      <c r="V709" s="8"/>
      <c r="AR709" t="str">
        <f t="shared" ref="AR709:AR772" si="99">IF(O709&gt;0, O709, "")</f>
        <v/>
      </c>
      <c r="AS709" t="str">
        <f t="shared" si="94"/>
        <v/>
      </c>
    </row>
    <row r="710" spans="1:45" x14ac:dyDescent="0.3">
      <c r="A710" s="231"/>
      <c r="B710" s="235"/>
      <c r="C710" s="214"/>
      <c r="D710" s="214"/>
      <c r="E710" s="214"/>
      <c r="F710" s="214"/>
      <c r="G710" s="222"/>
      <c r="H710" s="221"/>
      <c r="I710" s="213"/>
      <c r="J710" s="213"/>
      <c r="K710" s="215"/>
      <c r="L710" s="216"/>
      <c r="M710" s="217"/>
      <c r="N710" s="176"/>
      <c r="O710" s="241" t="str">
        <f>IF(Q710 = "", "", COUNT(Q$4:$Q710))</f>
        <v/>
      </c>
      <c r="P710" s="241" t="str">
        <f t="shared" si="92"/>
        <v/>
      </c>
      <c r="Q710" s="242" t="str">
        <f t="shared" si="93"/>
        <v/>
      </c>
      <c r="R710" s="243" t="str">
        <f t="shared" si="95"/>
        <v/>
      </c>
      <c r="S710" s="244" t="str">
        <f t="shared" si="96"/>
        <v/>
      </c>
      <c r="T710" s="245" t="str">
        <f t="shared" si="97"/>
        <v/>
      </c>
      <c r="U710" s="246" t="str">
        <f t="shared" si="98"/>
        <v/>
      </c>
      <c r="V710" s="8"/>
      <c r="AR710" t="str">
        <f t="shared" si="99"/>
        <v/>
      </c>
      <c r="AS710" t="str">
        <f t="shared" si="94"/>
        <v/>
      </c>
    </row>
    <row r="711" spans="1:45" x14ac:dyDescent="0.3">
      <c r="A711" s="231"/>
      <c r="B711" s="235"/>
      <c r="C711" s="214"/>
      <c r="D711" s="214"/>
      <c r="E711" s="214"/>
      <c r="F711" s="214"/>
      <c r="G711" s="222"/>
      <c r="H711" s="221"/>
      <c r="I711" s="213"/>
      <c r="J711" s="213"/>
      <c r="K711" s="215"/>
      <c r="L711" s="216"/>
      <c r="M711" s="217"/>
      <c r="N711" s="176"/>
      <c r="O711" s="241" t="str">
        <f>IF(Q711 = "", "", COUNT(Q$4:$Q711))</f>
        <v/>
      </c>
      <c r="P711" s="241" t="str">
        <f t="shared" si="92"/>
        <v/>
      </c>
      <c r="Q711" s="242" t="str">
        <f t="shared" si="93"/>
        <v/>
      </c>
      <c r="R711" s="243" t="str">
        <f t="shared" si="95"/>
        <v/>
      </c>
      <c r="S711" s="244" t="str">
        <f t="shared" si="96"/>
        <v/>
      </c>
      <c r="T711" s="245" t="str">
        <f t="shared" si="97"/>
        <v/>
      </c>
      <c r="U711" s="246" t="str">
        <f t="shared" si="98"/>
        <v/>
      </c>
      <c r="V711" s="8"/>
      <c r="AR711" t="str">
        <f t="shared" si="99"/>
        <v/>
      </c>
      <c r="AS711" t="str">
        <f t="shared" si="94"/>
        <v/>
      </c>
    </row>
    <row r="712" spans="1:45" x14ac:dyDescent="0.3">
      <c r="A712" s="231"/>
      <c r="B712" s="235"/>
      <c r="C712" s="214"/>
      <c r="D712" s="214"/>
      <c r="E712" s="214"/>
      <c r="F712" s="214"/>
      <c r="G712" s="222"/>
      <c r="H712" s="221"/>
      <c r="I712" s="213"/>
      <c r="J712" s="213"/>
      <c r="K712" s="215"/>
      <c r="L712" s="216"/>
      <c r="M712" s="217"/>
      <c r="N712" s="176"/>
      <c r="O712" s="241" t="str">
        <f>IF(Q712 = "", "", COUNT(Q$4:$Q712))</f>
        <v/>
      </c>
      <c r="P712" s="241" t="str">
        <f t="shared" si="92"/>
        <v/>
      </c>
      <c r="Q712" s="242" t="str">
        <f t="shared" si="93"/>
        <v/>
      </c>
      <c r="R712" s="243" t="str">
        <f t="shared" si="95"/>
        <v/>
      </c>
      <c r="S712" s="244" t="str">
        <f t="shared" si="96"/>
        <v/>
      </c>
      <c r="T712" s="245" t="str">
        <f t="shared" si="97"/>
        <v/>
      </c>
      <c r="U712" s="246" t="str">
        <f t="shared" si="98"/>
        <v/>
      </c>
      <c r="V712" s="8"/>
      <c r="AR712" t="str">
        <f t="shared" si="99"/>
        <v/>
      </c>
      <c r="AS712" t="str">
        <f t="shared" si="94"/>
        <v/>
      </c>
    </row>
    <row r="713" spans="1:45" x14ac:dyDescent="0.3">
      <c r="A713" s="231"/>
      <c r="B713" s="235"/>
      <c r="C713" s="214"/>
      <c r="D713" s="214"/>
      <c r="E713" s="214"/>
      <c r="F713" s="214"/>
      <c r="G713" s="222"/>
      <c r="H713" s="221"/>
      <c r="I713" s="213"/>
      <c r="J713" s="213"/>
      <c r="K713" s="215"/>
      <c r="L713" s="216"/>
      <c r="M713" s="217"/>
      <c r="N713" s="176"/>
      <c r="O713" s="241" t="str">
        <f>IF(Q713 = "", "", COUNT(Q$4:$Q713))</f>
        <v/>
      </c>
      <c r="P713" s="241" t="str">
        <f t="shared" si="92"/>
        <v/>
      </c>
      <c r="Q713" s="242" t="str">
        <f t="shared" si="93"/>
        <v/>
      </c>
      <c r="R713" s="243" t="str">
        <f t="shared" si="95"/>
        <v/>
      </c>
      <c r="S713" s="244" t="str">
        <f t="shared" si="96"/>
        <v/>
      </c>
      <c r="T713" s="245" t="str">
        <f t="shared" si="97"/>
        <v/>
      </c>
      <c r="U713" s="246" t="str">
        <f t="shared" si="98"/>
        <v/>
      </c>
      <c r="V713" s="8"/>
      <c r="AR713" t="str">
        <f t="shared" si="99"/>
        <v/>
      </c>
      <c r="AS713" t="str">
        <f t="shared" si="94"/>
        <v/>
      </c>
    </row>
    <row r="714" spans="1:45" x14ac:dyDescent="0.3">
      <c r="A714" s="231"/>
      <c r="B714" s="235"/>
      <c r="C714" s="214"/>
      <c r="D714" s="214"/>
      <c r="E714" s="214"/>
      <c r="F714" s="214"/>
      <c r="G714" s="222"/>
      <c r="H714" s="221"/>
      <c r="I714" s="213"/>
      <c r="J714" s="213"/>
      <c r="K714" s="215"/>
      <c r="L714" s="216"/>
      <c r="M714" s="217"/>
      <c r="N714" s="176"/>
      <c r="O714" s="241" t="str">
        <f>IF(Q714 = "", "", COUNT(Q$4:$Q714))</f>
        <v/>
      </c>
      <c r="P714" s="241" t="str">
        <f t="shared" si="92"/>
        <v/>
      </c>
      <c r="Q714" s="242" t="str">
        <f t="shared" si="93"/>
        <v/>
      </c>
      <c r="R714" s="243" t="str">
        <f t="shared" si="95"/>
        <v/>
      </c>
      <c r="S714" s="244" t="str">
        <f t="shared" si="96"/>
        <v/>
      </c>
      <c r="T714" s="245" t="str">
        <f t="shared" si="97"/>
        <v/>
      </c>
      <c r="U714" s="246" t="str">
        <f t="shared" si="98"/>
        <v/>
      </c>
      <c r="V714" s="8"/>
      <c r="AR714" t="str">
        <f t="shared" si="99"/>
        <v/>
      </c>
      <c r="AS714" t="str">
        <f t="shared" si="94"/>
        <v/>
      </c>
    </row>
    <row r="715" spans="1:45" x14ac:dyDescent="0.3">
      <c r="A715" s="231"/>
      <c r="B715" s="235"/>
      <c r="C715" s="214"/>
      <c r="D715" s="214"/>
      <c r="E715" s="214"/>
      <c r="F715" s="214"/>
      <c r="G715" s="222"/>
      <c r="H715" s="221"/>
      <c r="I715" s="213"/>
      <c r="J715" s="213"/>
      <c r="K715" s="215"/>
      <c r="L715" s="216"/>
      <c r="M715" s="217"/>
      <c r="N715" s="176"/>
      <c r="O715" s="241" t="str">
        <f>IF(Q715 = "", "", COUNT(Q$4:$Q715))</f>
        <v/>
      </c>
      <c r="P715" s="241" t="str">
        <f t="shared" si="92"/>
        <v/>
      </c>
      <c r="Q715" s="242" t="str">
        <f t="shared" si="93"/>
        <v/>
      </c>
      <c r="R715" s="243" t="str">
        <f t="shared" si="95"/>
        <v/>
      </c>
      <c r="S715" s="244" t="str">
        <f t="shared" si="96"/>
        <v/>
      </c>
      <c r="T715" s="245" t="str">
        <f t="shared" si="97"/>
        <v/>
      </c>
      <c r="U715" s="246" t="str">
        <f t="shared" si="98"/>
        <v/>
      </c>
      <c r="V715" s="8"/>
      <c r="AR715" t="str">
        <f t="shared" si="99"/>
        <v/>
      </c>
      <c r="AS715" t="str">
        <f t="shared" si="94"/>
        <v/>
      </c>
    </row>
    <row r="716" spans="1:45" x14ac:dyDescent="0.3">
      <c r="A716" s="231"/>
      <c r="B716" s="235"/>
      <c r="C716" s="214"/>
      <c r="D716" s="214"/>
      <c r="E716" s="214"/>
      <c r="F716" s="214"/>
      <c r="G716" s="222"/>
      <c r="H716" s="221"/>
      <c r="I716" s="213"/>
      <c r="J716" s="213"/>
      <c r="K716" s="215"/>
      <c r="L716" s="216"/>
      <c r="M716" s="217"/>
      <c r="N716" s="176"/>
      <c r="O716" s="241" t="str">
        <f>IF(Q716 = "", "", COUNT(Q$4:$Q716))</f>
        <v/>
      </c>
      <c r="P716" s="241" t="str">
        <f t="shared" si="92"/>
        <v/>
      </c>
      <c r="Q716" s="242" t="str">
        <f t="shared" si="93"/>
        <v/>
      </c>
      <c r="R716" s="243" t="str">
        <f t="shared" si="95"/>
        <v/>
      </c>
      <c r="S716" s="244" t="str">
        <f t="shared" si="96"/>
        <v/>
      </c>
      <c r="T716" s="245" t="str">
        <f t="shared" si="97"/>
        <v/>
      </c>
      <c r="U716" s="246" t="str">
        <f t="shared" si="98"/>
        <v/>
      </c>
      <c r="V716" s="8"/>
      <c r="AR716" t="str">
        <f t="shared" si="99"/>
        <v/>
      </c>
      <c r="AS716" t="str">
        <f t="shared" si="94"/>
        <v/>
      </c>
    </row>
    <row r="717" spans="1:45" x14ac:dyDescent="0.3">
      <c r="A717" s="231"/>
      <c r="B717" s="235"/>
      <c r="C717" s="214"/>
      <c r="D717" s="214"/>
      <c r="E717" s="214"/>
      <c r="F717" s="214"/>
      <c r="G717" s="222"/>
      <c r="H717" s="221"/>
      <c r="I717" s="213"/>
      <c r="J717" s="213"/>
      <c r="K717" s="215"/>
      <c r="L717" s="216"/>
      <c r="M717" s="217"/>
      <c r="N717" s="176"/>
      <c r="O717" s="241" t="str">
        <f>IF(Q717 = "", "", COUNT(Q$4:$Q717))</f>
        <v/>
      </c>
      <c r="P717" s="241" t="str">
        <f t="shared" si="92"/>
        <v/>
      </c>
      <c r="Q717" s="242" t="str">
        <f t="shared" si="93"/>
        <v/>
      </c>
      <c r="R717" s="243" t="str">
        <f t="shared" si="95"/>
        <v/>
      </c>
      <c r="S717" s="244" t="str">
        <f t="shared" si="96"/>
        <v/>
      </c>
      <c r="T717" s="245" t="str">
        <f t="shared" si="97"/>
        <v/>
      </c>
      <c r="U717" s="246" t="str">
        <f t="shared" si="98"/>
        <v/>
      </c>
      <c r="V717" s="8"/>
      <c r="AR717" t="str">
        <f t="shared" si="99"/>
        <v/>
      </c>
      <c r="AS717" t="str">
        <f t="shared" si="94"/>
        <v/>
      </c>
    </row>
    <row r="718" spans="1:45" x14ac:dyDescent="0.3">
      <c r="A718" s="231"/>
      <c r="B718" s="235"/>
      <c r="C718" s="214"/>
      <c r="D718" s="214"/>
      <c r="E718" s="214"/>
      <c r="F718" s="214"/>
      <c r="G718" s="222"/>
      <c r="H718" s="221"/>
      <c r="I718" s="213"/>
      <c r="J718" s="213"/>
      <c r="K718" s="215"/>
      <c r="L718" s="216"/>
      <c r="M718" s="217"/>
      <c r="N718" s="176"/>
      <c r="O718" s="241" t="str">
        <f>IF(Q718 = "", "", COUNT(Q$4:$Q718))</f>
        <v/>
      </c>
      <c r="P718" s="241" t="str">
        <f t="shared" si="92"/>
        <v/>
      </c>
      <c r="Q718" s="242" t="str">
        <f t="shared" si="93"/>
        <v/>
      </c>
      <c r="R718" s="243" t="str">
        <f t="shared" si="95"/>
        <v/>
      </c>
      <c r="S718" s="244" t="str">
        <f t="shared" si="96"/>
        <v/>
      </c>
      <c r="T718" s="245" t="str">
        <f t="shared" si="97"/>
        <v/>
      </c>
      <c r="U718" s="246" t="str">
        <f t="shared" si="98"/>
        <v/>
      </c>
      <c r="V718" s="8"/>
      <c r="AR718" t="str">
        <f t="shared" si="99"/>
        <v/>
      </c>
      <c r="AS718" t="str">
        <f t="shared" si="94"/>
        <v/>
      </c>
    </row>
    <row r="719" spans="1:45" x14ac:dyDescent="0.3">
      <c r="A719" s="231"/>
      <c r="B719" s="235"/>
      <c r="C719" s="214"/>
      <c r="D719" s="214"/>
      <c r="E719" s="214"/>
      <c r="F719" s="214"/>
      <c r="G719" s="222"/>
      <c r="H719" s="221"/>
      <c r="I719" s="213"/>
      <c r="J719" s="213"/>
      <c r="K719" s="215"/>
      <c r="L719" s="216"/>
      <c r="M719" s="217"/>
      <c r="N719" s="176"/>
      <c r="O719" s="241" t="str">
        <f>IF(Q719 = "", "", COUNT(Q$4:$Q719))</f>
        <v/>
      </c>
      <c r="P719" s="241" t="str">
        <f t="shared" si="92"/>
        <v/>
      </c>
      <c r="Q719" s="242" t="str">
        <f t="shared" si="93"/>
        <v/>
      </c>
      <c r="R719" s="243" t="str">
        <f t="shared" si="95"/>
        <v/>
      </c>
      <c r="S719" s="244" t="str">
        <f t="shared" si="96"/>
        <v/>
      </c>
      <c r="T719" s="245" t="str">
        <f t="shared" si="97"/>
        <v/>
      </c>
      <c r="U719" s="246" t="str">
        <f t="shared" si="98"/>
        <v/>
      </c>
      <c r="V719" s="8"/>
      <c r="AR719" t="str">
        <f t="shared" si="99"/>
        <v/>
      </c>
      <c r="AS719" t="str">
        <f t="shared" si="94"/>
        <v/>
      </c>
    </row>
    <row r="720" spans="1:45" x14ac:dyDescent="0.3">
      <c r="A720" s="231"/>
      <c r="B720" s="235"/>
      <c r="C720" s="214"/>
      <c r="D720" s="214"/>
      <c r="E720" s="214"/>
      <c r="F720" s="214"/>
      <c r="G720" s="222"/>
      <c r="H720" s="221"/>
      <c r="I720" s="213"/>
      <c r="J720" s="213"/>
      <c r="K720" s="215"/>
      <c r="L720" s="216"/>
      <c r="M720" s="217"/>
      <c r="N720" s="176"/>
      <c r="O720" s="241" t="str">
        <f>IF(Q720 = "", "", COUNT(Q$4:$Q720))</f>
        <v/>
      </c>
      <c r="P720" s="241" t="str">
        <f t="shared" si="92"/>
        <v/>
      </c>
      <c r="Q720" s="242" t="str">
        <f t="shared" si="93"/>
        <v/>
      </c>
      <c r="R720" s="243" t="str">
        <f t="shared" si="95"/>
        <v/>
      </c>
      <c r="S720" s="244" t="str">
        <f t="shared" si="96"/>
        <v/>
      </c>
      <c r="T720" s="245" t="str">
        <f t="shared" si="97"/>
        <v/>
      </c>
      <c r="U720" s="246" t="str">
        <f t="shared" si="98"/>
        <v/>
      </c>
      <c r="V720" s="8"/>
      <c r="AR720" t="str">
        <f t="shared" si="99"/>
        <v/>
      </c>
      <c r="AS720" t="str">
        <f t="shared" si="94"/>
        <v/>
      </c>
    </row>
    <row r="721" spans="1:45" x14ac:dyDescent="0.3">
      <c r="A721" s="231"/>
      <c r="B721" s="235"/>
      <c r="C721" s="214"/>
      <c r="D721" s="214"/>
      <c r="E721" s="214"/>
      <c r="F721" s="214"/>
      <c r="G721" s="222"/>
      <c r="H721" s="221"/>
      <c r="I721" s="213"/>
      <c r="J721" s="213"/>
      <c r="K721" s="215"/>
      <c r="L721" s="216"/>
      <c r="M721" s="217"/>
      <c r="N721" s="176"/>
      <c r="O721" s="241" t="str">
        <f>IF(Q721 = "", "", COUNT(Q$4:$Q721))</f>
        <v/>
      </c>
      <c r="P721" s="241" t="str">
        <f t="shared" si="92"/>
        <v/>
      </c>
      <c r="Q721" s="242" t="str">
        <f t="shared" si="93"/>
        <v/>
      </c>
      <c r="R721" s="243" t="str">
        <f t="shared" si="95"/>
        <v/>
      </c>
      <c r="S721" s="244" t="str">
        <f t="shared" si="96"/>
        <v/>
      </c>
      <c r="T721" s="245" t="str">
        <f t="shared" si="97"/>
        <v/>
      </c>
      <c r="U721" s="246" t="str">
        <f t="shared" si="98"/>
        <v/>
      </c>
      <c r="V721" s="8"/>
      <c r="AR721" t="str">
        <f t="shared" si="99"/>
        <v/>
      </c>
      <c r="AS721" t="str">
        <f t="shared" si="94"/>
        <v/>
      </c>
    </row>
    <row r="722" spans="1:45" x14ac:dyDescent="0.3">
      <c r="A722" s="231"/>
      <c r="B722" s="235"/>
      <c r="C722" s="214"/>
      <c r="D722" s="214"/>
      <c r="E722" s="214"/>
      <c r="F722" s="214"/>
      <c r="G722" s="222"/>
      <c r="H722" s="221"/>
      <c r="I722" s="213"/>
      <c r="J722" s="213"/>
      <c r="K722" s="215"/>
      <c r="L722" s="216"/>
      <c r="M722" s="217"/>
      <c r="N722" s="176"/>
      <c r="O722" s="241" t="str">
        <f>IF(Q722 = "", "", COUNT(Q$4:$Q722))</f>
        <v/>
      </c>
      <c r="P722" s="241" t="str">
        <f t="shared" si="92"/>
        <v/>
      </c>
      <c r="Q722" s="242" t="str">
        <f t="shared" si="93"/>
        <v/>
      </c>
      <c r="R722" s="243" t="str">
        <f t="shared" si="95"/>
        <v/>
      </c>
      <c r="S722" s="244" t="str">
        <f t="shared" si="96"/>
        <v/>
      </c>
      <c r="T722" s="245" t="str">
        <f t="shared" si="97"/>
        <v/>
      </c>
      <c r="U722" s="246" t="str">
        <f t="shared" si="98"/>
        <v/>
      </c>
      <c r="V722" s="8"/>
      <c r="AR722" t="str">
        <f t="shared" si="99"/>
        <v/>
      </c>
      <c r="AS722" t="str">
        <f t="shared" si="94"/>
        <v/>
      </c>
    </row>
    <row r="723" spans="1:45" x14ac:dyDescent="0.3">
      <c r="A723" s="231"/>
      <c r="B723" s="235"/>
      <c r="C723" s="214"/>
      <c r="D723" s="214"/>
      <c r="E723" s="214"/>
      <c r="F723" s="214"/>
      <c r="G723" s="222"/>
      <c r="H723" s="221"/>
      <c r="I723" s="213"/>
      <c r="J723" s="213"/>
      <c r="K723" s="215"/>
      <c r="L723" s="216"/>
      <c r="M723" s="217"/>
      <c r="N723" s="176"/>
      <c r="O723" s="241" t="str">
        <f>IF(Q723 = "", "", COUNT(Q$4:$Q723))</f>
        <v/>
      </c>
      <c r="P723" s="241" t="str">
        <f t="shared" si="92"/>
        <v/>
      </c>
      <c r="Q723" s="242" t="str">
        <f t="shared" si="93"/>
        <v/>
      </c>
      <c r="R723" s="243" t="str">
        <f t="shared" si="95"/>
        <v/>
      </c>
      <c r="S723" s="244" t="str">
        <f t="shared" si="96"/>
        <v/>
      </c>
      <c r="T723" s="245" t="str">
        <f t="shared" si="97"/>
        <v/>
      </c>
      <c r="U723" s="246" t="str">
        <f t="shared" si="98"/>
        <v/>
      </c>
      <c r="V723" s="8"/>
      <c r="AR723" t="str">
        <f t="shared" si="99"/>
        <v/>
      </c>
      <c r="AS723" t="str">
        <f t="shared" si="94"/>
        <v/>
      </c>
    </row>
    <row r="724" spans="1:45" x14ac:dyDescent="0.3">
      <c r="A724" s="231"/>
      <c r="B724" s="235"/>
      <c r="C724" s="214"/>
      <c r="D724" s="214"/>
      <c r="E724" s="214"/>
      <c r="F724" s="214"/>
      <c r="G724" s="222"/>
      <c r="H724" s="221"/>
      <c r="I724" s="213"/>
      <c r="J724" s="213"/>
      <c r="K724" s="215"/>
      <c r="L724" s="216"/>
      <c r="M724" s="217"/>
      <c r="N724" s="176"/>
      <c r="O724" s="241" t="str">
        <f>IF(Q724 = "", "", COUNT(Q$4:$Q724))</f>
        <v/>
      </c>
      <c r="P724" s="241" t="str">
        <f t="shared" si="92"/>
        <v/>
      </c>
      <c r="Q724" s="242" t="str">
        <f t="shared" si="93"/>
        <v/>
      </c>
      <c r="R724" s="243" t="str">
        <f t="shared" si="95"/>
        <v/>
      </c>
      <c r="S724" s="244" t="str">
        <f t="shared" si="96"/>
        <v/>
      </c>
      <c r="T724" s="245" t="str">
        <f t="shared" si="97"/>
        <v/>
      </c>
      <c r="U724" s="246" t="str">
        <f t="shared" si="98"/>
        <v/>
      </c>
      <c r="V724" s="8"/>
      <c r="AR724" t="str">
        <f t="shared" si="99"/>
        <v/>
      </c>
      <c r="AS724" t="str">
        <f t="shared" si="94"/>
        <v/>
      </c>
    </row>
    <row r="725" spans="1:45" x14ac:dyDescent="0.3">
      <c r="A725" s="231"/>
      <c r="B725" s="235"/>
      <c r="C725" s="214"/>
      <c r="D725" s="214"/>
      <c r="E725" s="214"/>
      <c r="F725" s="214"/>
      <c r="G725" s="222"/>
      <c r="H725" s="221"/>
      <c r="I725" s="213"/>
      <c r="J725" s="213"/>
      <c r="K725" s="215"/>
      <c r="L725" s="216"/>
      <c r="M725" s="217"/>
      <c r="N725" s="176"/>
      <c r="O725" s="241" t="str">
        <f>IF(Q725 = "", "", COUNT(Q$4:$Q725))</f>
        <v/>
      </c>
      <c r="P725" s="241" t="str">
        <f t="shared" si="92"/>
        <v/>
      </c>
      <c r="Q725" s="242" t="str">
        <f t="shared" si="93"/>
        <v/>
      </c>
      <c r="R725" s="243" t="str">
        <f t="shared" si="95"/>
        <v/>
      </c>
      <c r="S725" s="244" t="str">
        <f t="shared" si="96"/>
        <v/>
      </c>
      <c r="T725" s="245" t="str">
        <f t="shared" si="97"/>
        <v/>
      </c>
      <c r="U725" s="246" t="str">
        <f t="shared" si="98"/>
        <v/>
      </c>
      <c r="V725" s="8"/>
      <c r="AR725" t="str">
        <f t="shared" si="99"/>
        <v/>
      </c>
      <c r="AS725" t="str">
        <f t="shared" si="94"/>
        <v/>
      </c>
    </row>
    <row r="726" spans="1:45" x14ac:dyDescent="0.3">
      <c r="A726" s="231"/>
      <c r="B726" s="235"/>
      <c r="C726" s="214"/>
      <c r="D726" s="214"/>
      <c r="E726" s="214"/>
      <c r="F726" s="214"/>
      <c r="G726" s="222"/>
      <c r="H726" s="221"/>
      <c r="I726" s="213"/>
      <c r="J726" s="213"/>
      <c r="K726" s="215"/>
      <c r="L726" s="216"/>
      <c r="M726" s="217"/>
      <c r="N726" s="176"/>
      <c r="O726" s="241" t="str">
        <f>IF(Q726 = "", "", COUNT(Q$4:$Q726))</f>
        <v/>
      </c>
      <c r="P726" s="241" t="str">
        <f t="shared" si="92"/>
        <v/>
      </c>
      <c r="Q726" s="242" t="str">
        <f t="shared" si="93"/>
        <v/>
      </c>
      <c r="R726" s="243" t="str">
        <f t="shared" si="95"/>
        <v/>
      </c>
      <c r="S726" s="244" t="str">
        <f t="shared" si="96"/>
        <v/>
      </c>
      <c r="T726" s="245" t="str">
        <f t="shared" si="97"/>
        <v/>
      </c>
      <c r="U726" s="246" t="str">
        <f t="shared" si="98"/>
        <v/>
      </c>
      <c r="V726" s="8"/>
      <c r="AR726" t="str">
        <f t="shared" si="99"/>
        <v/>
      </c>
      <c r="AS726" t="str">
        <f t="shared" si="94"/>
        <v/>
      </c>
    </row>
    <row r="727" spans="1:45" x14ac:dyDescent="0.3">
      <c r="A727" s="231"/>
      <c r="B727" s="235"/>
      <c r="C727" s="214"/>
      <c r="D727" s="214"/>
      <c r="E727" s="214"/>
      <c r="F727" s="214"/>
      <c r="G727" s="222"/>
      <c r="H727" s="221"/>
      <c r="I727" s="213"/>
      <c r="J727" s="213"/>
      <c r="K727" s="215"/>
      <c r="L727" s="216"/>
      <c r="M727" s="217"/>
      <c r="N727" s="176"/>
      <c r="O727" s="241" t="str">
        <f>IF(Q727 = "", "", COUNT(Q$4:$Q727))</f>
        <v/>
      </c>
      <c r="P727" s="241" t="str">
        <f t="shared" si="92"/>
        <v/>
      </c>
      <c r="Q727" s="242" t="str">
        <f t="shared" si="93"/>
        <v/>
      </c>
      <c r="R727" s="243" t="str">
        <f t="shared" si="95"/>
        <v/>
      </c>
      <c r="S727" s="244" t="str">
        <f t="shared" si="96"/>
        <v/>
      </c>
      <c r="T727" s="245" t="str">
        <f t="shared" si="97"/>
        <v/>
      </c>
      <c r="U727" s="246" t="str">
        <f t="shared" si="98"/>
        <v/>
      </c>
      <c r="V727" s="8"/>
      <c r="AR727" t="str">
        <f t="shared" si="99"/>
        <v/>
      </c>
      <c r="AS727" t="str">
        <f t="shared" si="94"/>
        <v/>
      </c>
    </row>
    <row r="728" spans="1:45" x14ac:dyDescent="0.3">
      <c r="A728" s="231"/>
      <c r="B728" s="235"/>
      <c r="C728" s="214"/>
      <c r="D728" s="214"/>
      <c r="E728" s="214"/>
      <c r="F728" s="214"/>
      <c r="G728" s="222"/>
      <c r="H728" s="221"/>
      <c r="I728" s="213"/>
      <c r="J728" s="213"/>
      <c r="K728" s="215"/>
      <c r="L728" s="216"/>
      <c r="M728" s="217"/>
      <c r="N728" s="176"/>
      <c r="O728" s="241" t="str">
        <f>IF(Q728 = "", "", COUNT(Q$4:$Q728))</f>
        <v/>
      </c>
      <c r="P728" s="241" t="str">
        <f t="shared" si="92"/>
        <v/>
      </c>
      <c r="Q728" s="242" t="str">
        <f t="shared" si="93"/>
        <v/>
      </c>
      <c r="R728" s="243" t="str">
        <f t="shared" si="95"/>
        <v/>
      </c>
      <c r="S728" s="244" t="str">
        <f t="shared" si="96"/>
        <v/>
      </c>
      <c r="T728" s="245" t="str">
        <f t="shared" si="97"/>
        <v/>
      </c>
      <c r="U728" s="246" t="str">
        <f t="shared" si="98"/>
        <v/>
      </c>
      <c r="V728" s="8"/>
      <c r="AR728" t="str">
        <f t="shared" si="99"/>
        <v/>
      </c>
      <c r="AS728" t="str">
        <f t="shared" si="94"/>
        <v/>
      </c>
    </row>
    <row r="729" spans="1:45" x14ac:dyDescent="0.3">
      <c r="A729" s="231"/>
      <c r="B729" s="235"/>
      <c r="C729" s="214"/>
      <c r="D729" s="214"/>
      <c r="E729" s="214"/>
      <c r="F729" s="214"/>
      <c r="G729" s="222"/>
      <c r="H729" s="221"/>
      <c r="I729" s="213"/>
      <c r="J729" s="213"/>
      <c r="K729" s="215"/>
      <c r="L729" s="216"/>
      <c r="M729" s="217"/>
      <c r="N729" s="176"/>
      <c r="O729" s="241" t="str">
        <f>IF(Q729 = "", "", COUNT(Q$4:$Q729))</f>
        <v/>
      </c>
      <c r="P729" s="241" t="str">
        <f t="shared" si="92"/>
        <v/>
      </c>
      <c r="Q729" s="242" t="str">
        <f t="shared" si="93"/>
        <v/>
      </c>
      <c r="R729" s="243" t="str">
        <f t="shared" si="95"/>
        <v/>
      </c>
      <c r="S729" s="244" t="str">
        <f t="shared" si="96"/>
        <v/>
      </c>
      <c r="T729" s="245" t="str">
        <f t="shared" si="97"/>
        <v/>
      </c>
      <c r="U729" s="246" t="str">
        <f t="shared" si="98"/>
        <v/>
      </c>
      <c r="V729" s="8"/>
      <c r="AR729" t="str">
        <f t="shared" si="99"/>
        <v/>
      </c>
      <c r="AS729" t="str">
        <f t="shared" si="94"/>
        <v/>
      </c>
    </row>
    <row r="730" spans="1:45" x14ac:dyDescent="0.3">
      <c r="A730" s="231"/>
      <c r="B730" s="235"/>
      <c r="C730" s="214"/>
      <c r="D730" s="214"/>
      <c r="E730" s="214"/>
      <c r="F730" s="214"/>
      <c r="G730" s="222"/>
      <c r="H730" s="221"/>
      <c r="I730" s="213"/>
      <c r="J730" s="213"/>
      <c r="K730" s="215"/>
      <c r="L730" s="216"/>
      <c r="M730" s="217"/>
      <c r="N730" s="176"/>
      <c r="O730" s="241" t="str">
        <f>IF(Q730 = "", "", COUNT(Q$4:$Q730))</f>
        <v/>
      </c>
      <c r="P730" s="241" t="str">
        <f t="shared" si="92"/>
        <v/>
      </c>
      <c r="Q730" s="242" t="str">
        <f t="shared" si="93"/>
        <v/>
      </c>
      <c r="R730" s="243" t="str">
        <f t="shared" si="95"/>
        <v/>
      </c>
      <c r="S730" s="244" t="str">
        <f t="shared" si="96"/>
        <v/>
      </c>
      <c r="T730" s="245" t="str">
        <f t="shared" si="97"/>
        <v/>
      </c>
      <c r="U730" s="246" t="str">
        <f t="shared" si="98"/>
        <v/>
      </c>
      <c r="V730" s="8"/>
      <c r="AR730" t="str">
        <f t="shared" si="99"/>
        <v/>
      </c>
      <c r="AS730" t="str">
        <f t="shared" si="94"/>
        <v/>
      </c>
    </row>
    <row r="731" spans="1:45" x14ac:dyDescent="0.3">
      <c r="A731" s="231"/>
      <c r="B731" s="235"/>
      <c r="C731" s="214"/>
      <c r="D731" s="214"/>
      <c r="E731" s="214"/>
      <c r="F731" s="214"/>
      <c r="G731" s="222"/>
      <c r="H731" s="221"/>
      <c r="I731" s="213"/>
      <c r="J731" s="213"/>
      <c r="K731" s="215"/>
      <c r="L731" s="216"/>
      <c r="M731" s="217"/>
      <c r="N731" s="176"/>
      <c r="O731" s="241" t="str">
        <f>IF(Q731 = "", "", COUNT(Q$4:$Q731))</f>
        <v/>
      </c>
      <c r="P731" s="241" t="str">
        <f t="shared" si="92"/>
        <v/>
      </c>
      <c r="Q731" s="242" t="str">
        <f t="shared" si="93"/>
        <v/>
      </c>
      <c r="R731" s="243" t="str">
        <f t="shared" si="95"/>
        <v/>
      </c>
      <c r="S731" s="244" t="str">
        <f t="shared" si="96"/>
        <v/>
      </c>
      <c r="T731" s="245" t="str">
        <f t="shared" si="97"/>
        <v/>
      </c>
      <c r="U731" s="246" t="str">
        <f t="shared" si="98"/>
        <v/>
      </c>
      <c r="V731" s="8"/>
      <c r="AR731" t="str">
        <f t="shared" si="99"/>
        <v/>
      </c>
      <c r="AS731" t="str">
        <f t="shared" si="94"/>
        <v/>
      </c>
    </row>
    <row r="732" spans="1:45" x14ac:dyDescent="0.3">
      <c r="A732" s="231"/>
      <c r="B732" s="235"/>
      <c r="C732" s="214"/>
      <c r="D732" s="214"/>
      <c r="E732" s="214"/>
      <c r="F732" s="214"/>
      <c r="G732" s="222"/>
      <c r="H732" s="221"/>
      <c r="I732" s="213"/>
      <c r="J732" s="213"/>
      <c r="K732" s="215"/>
      <c r="L732" s="216"/>
      <c r="M732" s="217"/>
      <c r="N732" s="176"/>
      <c r="O732" s="241" t="str">
        <f>IF(Q732 = "", "", COUNT(Q$4:$Q732))</f>
        <v/>
      </c>
      <c r="P732" s="241" t="str">
        <f t="shared" si="92"/>
        <v/>
      </c>
      <c r="Q732" s="242" t="str">
        <f t="shared" si="93"/>
        <v/>
      </c>
      <c r="R732" s="243" t="str">
        <f t="shared" si="95"/>
        <v/>
      </c>
      <c r="S732" s="244" t="str">
        <f t="shared" si="96"/>
        <v/>
      </c>
      <c r="T732" s="245" t="str">
        <f t="shared" si="97"/>
        <v/>
      </c>
      <c r="U732" s="246" t="str">
        <f t="shared" si="98"/>
        <v/>
      </c>
      <c r="V732" s="8"/>
      <c r="AR732" t="str">
        <f t="shared" si="99"/>
        <v/>
      </c>
      <c r="AS732" t="str">
        <f t="shared" si="94"/>
        <v/>
      </c>
    </row>
    <row r="733" spans="1:45" x14ac:dyDescent="0.3">
      <c r="A733" s="231"/>
      <c r="B733" s="235"/>
      <c r="C733" s="214"/>
      <c r="D733" s="214"/>
      <c r="E733" s="214"/>
      <c r="F733" s="214"/>
      <c r="G733" s="222"/>
      <c r="H733" s="221"/>
      <c r="I733" s="213"/>
      <c r="J733" s="213"/>
      <c r="K733" s="215"/>
      <c r="L733" s="216"/>
      <c r="M733" s="217"/>
      <c r="N733" s="176"/>
      <c r="O733" s="241" t="str">
        <f>IF(Q733 = "", "", COUNT(Q$4:$Q733))</f>
        <v/>
      </c>
      <c r="P733" s="241" t="str">
        <f t="shared" si="92"/>
        <v/>
      </c>
      <c r="Q733" s="242" t="str">
        <f t="shared" si="93"/>
        <v/>
      </c>
      <c r="R733" s="243" t="str">
        <f t="shared" si="95"/>
        <v/>
      </c>
      <c r="S733" s="244" t="str">
        <f t="shared" si="96"/>
        <v/>
      </c>
      <c r="T733" s="245" t="str">
        <f t="shared" si="97"/>
        <v/>
      </c>
      <c r="U733" s="246" t="str">
        <f t="shared" si="98"/>
        <v/>
      </c>
      <c r="V733" s="8"/>
      <c r="AR733" t="str">
        <f t="shared" si="99"/>
        <v/>
      </c>
      <c r="AS733" t="str">
        <f t="shared" si="94"/>
        <v/>
      </c>
    </row>
    <row r="734" spans="1:45" x14ac:dyDescent="0.3">
      <c r="A734" s="231"/>
      <c r="B734" s="235"/>
      <c r="C734" s="214"/>
      <c r="D734" s="214"/>
      <c r="E734" s="214"/>
      <c r="F734" s="214"/>
      <c r="G734" s="222"/>
      <c r="H734" s="221"/>
      <c r="I734" s="213"/>
      <c r="J734" s="213"/>
      <c r="K734" s="215"/>
      <c r="L734" s="216"/>
      <c r="M734" s="217"/>
      <c r="N734" s="176"/>
      <c r="O734" s="241" t="str">
        <f>IF(Q734 = "", "", COUNT(Q$4:$Q734))</f>
        <v/>
      </c>
      <c r="P734" s="241" t="str">
        <f t="shared" si="92"/>
        <v/>
      </c>
      <c r="Q734" s="242" t="str">
        <f t="shared" si="93"/>
        <v/>
      </c>
      <c r="R734" s="243" t="str">
        <f t="shared" si="95"/>
        <v/>
      </c>
      <c r="S734" s="244" t="str">
        <f t="shared" si="96"/>
        <v/>
      </c>
      <c r="T734" s="245" t="str">
        <f t="shared" si="97"/>
        <v/>
      </c>
      <c r="U734" s="246" t="str">
        <f t="shared" si="98"/>
        <v/>
      </c>
      <c r="V734" s="8"/>
      <c r="AR734" t="str">
        <f t="shared" si="99"/>
        <v/>
      </c>
      <c r="AS734" t="str">
        <f t="shared" si="94"/>
        <v/>
      </c>
    </row>
    <row r="735" spans="1:45" x14ac:dyDescent="0.3">
      <c r="A735" s="231"/>
      <c r="B735" s="235"/>
      <c r="C735" s="214"/>
      <c r="D735" s="214"/>
      <c r="E735" s="214"/>
      <c r="F735" s="214"/>
      <c r="G735" s="222"/>
      <c r="H735" s="221"/>
      <c r="I735" s="213"/>
      <c r="J735" s="213"/>
      <c r="K735" s="215"/>
      <c r="L735" s="216"/>
      <c r="M735" s="217"/>
      <c r="N735" s="176"/>
      <c r="O735" s="241" t="str">
        <f>IF(Q735 = "", "", COUNT(Q$4:$Q735))</f>
        <v/>
      </c>
      <c r="P735" s="241" t="str">
        <f t="shared" si="92"/>
        <v/>
      </c>
      <c r="Q735" s="242" t="str">
        <f t="shared" si="93"/>
        <v/>
      </c>
      <c r="R735" s="243" t="str">
        <f t="shared" si="95"/>
        <v/>
      </c>
      <c r="S735" s="244" t="str">
        <f t="shared" si="96"/>
        <v/>
      </c>
      <c r="T735" s="245" t="str">
        <f t="shared" si="97"/>
        <v/>
      </c>
      <c r="U735" s="246" t="str">
        <f t="shared" si="98"/>
        <v/>
      </c>
      <c r="V735" s="8"/>
      <c r="AR735" t="str">
        <f t="shared" si="99"/>
        <v/>
      </c>
      <c r="AS735" t="str">
        <f t="shared" si="94"/>
        <v/>
      </c>
    </row>
    <row r="736" spans="1:45" x14ac:dyDescent="0.3">
      <c r="A736" s="231"/>
      <c r="B736" s="235"/>
      <c r="C736" s="214"/>
      <c r="D736" s="214"/>
      <c r="E736" s="214"/>
      <c r="F736" s="214"/>
      <c r="G736" s="222"/>
      <c r="H736" s="221"/>
      <c r="I736" s="213"/>
      <c r="J736" s="213"/>
      <c r="K736" s="215"/>
      <c r="L736" s="216"/>
      <c r="M736" s="217"/>
      <c r="N736" s="176"/>
      <c r="O736" s="241" t="str">
        <f>IF(Q736 = "", "", COUNT(Q$4:$Q736))</f>
        <v/>
      </c>
      <c r="P736" s="241" t="str">
        <f t="shared" si="92"/>
        <v/>
      </c>
      <c r="Q736" s="242" t="str">
        <f t="shared" si="93"/>
        <v/>
      </c>
      <c r="R736" s="243" t="str">
        <f t="shared" si="95"/>
        <v/>
      </c>
      <c r="S736" s="244" t="str">
        <f t="shared" si="96"/>
        <v/>
      </c>
      <c r="T736" s="245" t="str">
        <f t="shared" si="97"/>
        <v/>
      </c>
      <c r="U736" s="246" t="str">
        <f t="shared" si="98"/>
        <v/>
      </c>
      <c r="V736" s="8"/>
      <c r="AR736" t="str">
        <f t="shared" si="99"/>
        <v/>
      </c>
      <c r="AS736" t="str">
        <f t="shared" si="94"/>
        <v/>
      </c>
    </row>
    <row r="737" spans="1:45" x14ac:dyDescent="0.3">
      <c r="A737" s="231"/>
      <c r="B737" s="235"/>
      <c r="C737" s="214"/>
      <c r="D737" s="214"/>
      <c r="E737" s="214"/>
      <c r="F737" s="214"/>
      <c r="G737" s="222"/>
      <c r="H737" s="221"/>
      <c r="I737" s="213"/>
      <c r="J737" s="213"/>
      <c r="K737" s="215"/>
      <c r="L737" s="216"/>
      <c r="M737" s="217"/>
      <c r="N737" s="176"/>
      <c r="O737" s="241" t="str">
        <f>IF(Q737 = "", "", COUNT(Q$4:$Q737))</f>
        <v/>
      </c>
      <c r="P737" s="241" t="str">
        <f t="shared" si="92"/>
        <v/>
      </c>
      <c r="Q737" s="242" t="str">
        <f t="shared" si="93"/>
        <v/>
      </c>
      <c r="R737" s="243" t="str">
        <f t="shared" si="95"/>
        <v/>
      </c>
      <c r="S737" s="244" t="str">
        <f t="shared" si="96"/>
        <v/>
      </c>
      <c r="T737" s="245" t="str">
        <f t="shared" si="97"/>
        <v/>
      </c>
      <c r="U737" s="246" t="str">
        <f t="shared" si="98"/>
        <v/>
      </c>
      <c r="V737" s="8"/>
      <c r="AR737" t="str">
        <f t="shared" si="99"/>
        <v/>
      </c>
      <c r="AS737" t="str">
        <f t="shared" si="94"/>
        <v/>
      </c>
    </row>
    <row r="738" spans="1:45" x14ac:dyDescent="0.3">
      <c r="A738" s="231"/>
      <c r="B738" s="235"/>
      <c r="C738" s="214"/>
      <c r="D738" s="214"/>
      <c r="E738" s="214"/>
      <c r="F738" s="214"/>
      <c r="G738" s="222"/>
      <c r="H738" s="221"/>
      <c r="I738" s="213"/>
      <c r="J738" s="213"/>
      <c r="K738" s="215"/>
      <c r="L738" s="216"/>
      <c r="M738" s="217"/>
      <c r="N738" s="176"/>
      <c r="O738" s="241" t="str">
        <f>IF(Q738 = "", "", COUNT(Q$4:$Q738))</f>
        <v/>
      </c>
      <c r="P738" s="241" t="str">
        <f t="shared" si="92"/>
        <v/>
      </c>
      <c r="Q738" s="242" t="str">
        <f t="shared" si="93"/>
        <v/>
      </c>
      <c r="R738" s="243" t="str">
        <f t="shared" si="95"/>
        <v/>
      </c>
      <c r="S738" s="244" t="str">
        <f t="shared" si="96"/>
        <v/>
      </c>
      <c r="T738" s="245" t="str">
        <f t="shared" si="97"/>
        <v/>
      </c>
      <c r="U738" s="246" t="str">
        <f t="shared" si="98"/>
        <v/>
      </c>
      <c r="V738" s="8"/>
      <c r="AR738" t="str">
        <f t="shared" si="99"/>
        <v/>
      </c>
      <c r="AS738" t="str">
        <f t="shared" si="94"/>
        <v/>
      </c>
    </row>
    <row r="739" spans="1:45" x14ac:dyDescent="0.3">
      <c r="A739" s="231"/>
      <c r="B739" s="235"/>
      <c r="C739" s="214"/>
      <c r="D739" s="214"/>
      <c r="E739" s="214"/>
      <c r="F739" s="214"/>
      <c r="G739" s="222"/>
      <c r="H739" s="221"/>
      <c r="I739" s="213"/>
      <c r="J739" s="213"/>
      <c r="K739" s="215"/>
      <c r="L739" s="216"/>
      <c r="M739" s="217"/>
      <c r="N739" s="176"/>
      <c r="O739" s="241" t="str">
        <f>IF(Q739 = "", "", COUNT(Q$4:$Q739))</f>
        <v/>
      </c>
      <c r="P739" s="241" t="str">
        <f t="shared" si="92"/>
        <v/>
      </c>
      <c r="Q739" s="242" t="str">
        <f t="shared" si="93"/>
        <v/>
      </c>
      <c r="R739" s="243" t="str">
        <f t="shared" si="95"/>
        <v/>
      </c>
      <c r="S739" s="244" t="str">
        <f t="shared" si="96"/>
        <v/>
      </c>
      <c r="T739" s="245" t="str">
        <f t="shared" si="97"/>
        <v/>
      </c>
      <c r="U739" s="246" t="str">
        <f t="shared" si="98"/>
        <v/>
      </c>
      <c r="V739" s="8"/>
      <c r="AR739" t="str">
        <f t="shared" si="99"/>
        <v/>
      </c>
      <c r="AS739" t="str">
        <f t="shared" si="94"/>
        <v/>
      </c>
    </row>
    <row r="740" spans="1:45" x14ac:dyDescent="0.3">
      <c r="A740" s="231"/>
      <c r="B740" s="235"/>
      <c r="C740" s="214"/>
      <c r="D740" s="214"/>
      <c r="E740" s="214"/>
      <c r="F740" s="214"/>
      <c r="G740" s="222"/>
      <c r="H740" s="221"/>
      <c r="I740" s="213"/>
      <c r="J740" s="213"/>
      <c r="K740" s="215"/>
      <c r="L740" s="216"/>
      <c r="M740" s="217"/>
      <c r="N740" s="176"/>
      <c r="O740" s="241" t="str">
        <f>IF(Q740 = "", "", COUNT(Q$4:$Q740))</f>
        <v/>
      </c>
      <c r="P740" s="241" t="str">
        <f t="shared" si="92"/>
        <v/>
      </c>
      <c r="Q740" s="242" t="str">
        <f t="shared" si="93"/>
        <v/>
      </c>
      <c r="R740" s="243" t="str">
        <f t="shared" si="95"/>
        <v/>
      </c>
      <c r="S740" s="244" t="str">
        <f t="shared" si="96"/>
        <v/>
      </c>
      <c r="T740" s="245" t="str">
        <f t="shared" si="97"/>
        <v/>
      </c>
      <c r="U740" s="246" t="str">
        <f t="shared" si="98"/>
        <v/>
      </c>
      <c r="V740" s="8"/>
      <c r="AR740" t="str">
        <f t="shared" si="99"/>
        <v/>
      </c>
      <c r="AS740" t="str">
        <f t="shared" si="94"/>
        <v/>
      </c>
    </row>
    <row r="741" spans="1:45" x14ac:dyDescent="0.3">
      <c r="A741" s="231"/>
      <c r="B741" s="235"/>
      <c r="C741" s="214"/>
      <c r="D741" s="214"/>
      <c r="E741" s="214"/>
      <c r="F741" s="214"/>
      <c r="G741" s="222"/>
      <c r="H741" s="221"/>
      <c r="I741" s="213"/>
      <c r="J741" s="213"/>
      <c r="K741" s="215"/>
      <c r="L741" s="216"/>
      <c r="M741" s="217"/>
      <c r="N741" s="176"/>
      <c r="O741" s="241" t="str">
        <f>IF(Q741 = "", "", COUNT(Q$4:$Q741))</f>
        <v/>
      </c>
      <c r="P741" s="241" t="str">
        <f t="shared" si="92"/>
        <v/>
      </c>
      <c r="Q741" s="242" t="str">
        <f t="shared" si="93"/>
        <v/>
      </c>
      <c r="R741" s="243" t="str">
        <f t="shared" si="95"/>
        <v/>
      </c>
      <c r="S741" s="244" t="str">
        <f t="shared" si="96"/>
        <v/>
      </c>
      <c r="T741" s="245" t="str">
        <f t="shared" si="97"/>
        <v/>
      </c>
      <c r="U741" s="246" t="str">
        <f t="shared" si="98"/>
        <v/>
      </c>
      <c r="V741" s="8"/>
      <c r="AR741" t="str">
        <f t="shared" si="99"/>
        <v/>
      </c>
      <c r="AS741" t="str">
        <f t="shared" si="94"/>
        <v/>
      </c>
    </row>
    <row r="742" spans="1:45" x14ac:dyDescent="0.3">
      <c r="A742" s="231"/>
      <c r="B742" s="235"/>
      <c r="C742" s="214"/>
      <c r="D742" s="214"/>
      <c r="E742" s="214"/>
      <c r="F742" s="214"/>
      <c r="G742" s="222"/>
      <c r="H742" s="221"/>
      <c r="I742" s="213"/>
      <c r="J742" s="213"/>
      <c r="K742" s="215"/>
      <c r="L742" s="216"/>
      <c r="M742" s="217"/>
      <c r="N742" s="176"/>
      <c r="O742" s="241" t="str">
        <f>IF(Q742 = "", "", COUNT(Q$4:$Q742))</f>
        <v/>
      </c>
      <c r="P742" s="241" t="str">
        <f t="shared" si="92"/>
        <v/>
      </c>
      <c r="Q742" s="242" t="str">
        <f t="shared" si="93"/>
        <v/>
      </c>
      <c r="R742" s="243" t="str">
        <f t="shared" si="95"/>
        <v/>
      </c>
      <c r="S742" s="244" t="str">
        <f t="shared" si="96"/>
        <v/>
      </c>
      <c r="T742" s="245" t="str">
        <f t="shared" si="97"/>
        <v/>
      </c>
      <c r="U742" s="246" t="str">
        <f t="shared" si="98"/>
        <v/>
      </c>
      <c r="V742" s="8"/>
      <c r="AR742" t="str">
        <f t="shared" si="99"/>
        <v/>
      </c>
      <c r="AS742" t="str">
        <f t="shared" si="94"/>
        <v/>
      </c>
    </row>
    <row r="743" spans="1:45" x14ac:dyDescent="0.3">
      <c r="A743" s="231"/>
      <c r="B743" s="235"/>
      <c r="C743" s="214"/>
      <c r="D743" s="214"/>
      <c r="E743" s="214"/>
      <c r="F743" s="214"/>
      <c r="G743" s="222"/>
      <c r="H743" s="221"/>
      <c r="I743" s="213"/>
      <c r="J743" s="213"/>
      <c r="K743" s="215"/>
      <c r="L743" s="216"/>
      <c r="M743" s="217"/>
      <c r="N743" s="176"/>
      <c r="O743" s="241" t="str">
        <f>IF(Q743 = "", "", COUNT(Q$4:$Q743))</f>
        <v/>
      </c>
      <c r="P743" s="241" t="str">
        <f t="shared" si="92"/>
        <v/>
      </c>
      <c r="Q743" s="242" t="str">
        <f t="shared" si="93"/>
        <v/>
      </c>
      <c r="R743" s="243" t="str">
        <f t="shared" si="95"/>
        <v/>
      </c>
      <c r="S743" s="244" t="str">
        <f t="shared" si="96"/>
        <v/>
      </c>
      <c r="T743" s="245" t="str">
        <f t="shared" si="97"/>
        <v/>
      </c>
      <c r="U743" s="246" t="str">
        <f t="shared" si="98"/>
        <v/>
      </c>
      <c r="V743" s="8"/>
      <c r="AR743" t="str">
        <f t="shared" si="99"/>
        <v/>
      </c>
      <c r="AS743" t="str">
        <f t="shared" si="94"/>
        <v/>
      </c>
    </row>
    <row r="744" spans="1:45" x14ac:dyDescent="0.3">
      <c r="A744" s="231"/>
      <c r="B744" s="235"/>
      <c r="C744" s="214"/>
      <c r="D744" s="214"/>
      <c r="E744" s="214"/>
      <c r="F744" s="214"/>
      <c r="G744" s="222"/>
      <c r="H744" s="221"/>
      <c r="I744" s="213"/>
      <c r="J744" s="213"/>
      <c r="K744" s="215"/>
      <c r="L744" s="216"/>
      <c r="M744" s="217"/>
      <c r="N744" s="176"/>
      <c r="O744" s="241" t="str">
        <f>IF(Q744 = "", "", COUNT(Q$4:$Q744))</f>
        <v/>
      </c>
      <c r="P744" s="241" t="str">
        <f t="shared" si="92"/>
        <v/>
      </c>
      <c r="Q744" s="242" t="str">
        <f t="shared" si="93"/>
        <v/>
      </c>
      <c r="R744" s="243" t="str">
        <f t="shared" si="95"/>
        <v/>
      </c>
      <c r="S744" s="244" t="str">
        <f t="shared" si="96"/>
        <v/>
      </c>
      <c r="T744" s="245" t="str">
        <f t="shared" si="97"/>
        <v/>
      </c>
      <c r="U744" s="246" t="str">
        <f t="shared" si="98"/>
        <v/>
      </c>
      <c r="V744" s="8"/>
      <c r="AR744" t="str">
        <f t="shared" si="99"/>
        <v/>
      </c>
      <c r="AS744" t="str">
        <f t="shared" si="94"/>
        <v/>
      </c>
    </row>
    <row r="745" spans="1:45" x14ac:dyDescent="0.3">
      <c r="A745" s="231"/>
      <c r="B745" s="235"/>
      <c r="C745" s="214"/>
      <c r="D745" s="214"/>
      <c r="E745" s="214"/>
      <c r="F745" s="214"/>
      <c r="G745" s="222"/>
      <c r="H745" s="221"/>
      <c r="I745" s="213"/>
      <c r="J745" s="213"/>
      <c r="K745" s="215"/>
      <c r="L745" s="216"/>
      <c r="M745" s="217"/>
      <c r="N745" s="176"/>
      <c r="O745" s="241" t="str">
        <f>IF(Q745 = "", "", COUNT(Q$4:$Q745))</f>
        <v/>
      </c>
      <c r="P745" s="241" t="str">
        <f t="shared" si="92"/>
        <v/>
      </c>
      <c r="Q745" s="242" t="str">
        <f t="shared" si="93"/>
        <v/>
      </c>
      <c r="R745" s="243" t="str">
        <f t="shared" si="95"/>
        <v/>
      </c>
      <c r="S745" s="244" t="str">
        <f t="shared" si="96"/>
        <v/>
      </c>
      <c r="T745" s="245" t="str">
        <f t="shared" si="97"/>
        <v/>
      </c>
      <c r="U745" s="246" t="str">
        <f t="shared" si="98"/>
        <v/>
      </c>
      <c r="V745" s="8"/>
      <c r="AR745" t="str">
        <f t="shared" si="99"/>
        <v/>
      </c>
      <c r="AS745" t="str">
        <f t="shared" si="94"/>
        <v/>
      </c>
    </row>
    <row r="746" spans="1:45" x14ac:dyDescent="0.3">
      <c r="A746" s="231"/>
      <c r="B746" s="235"/>
      <c r="C746" s="214"/>
      <c r="D746" s="214"/>
      <c r="E746" s="214"/>
      <c r="F746" s="214"/>
      <c r="G746" s="222"/>
      <c r="H746" s="221"/>
      <c r="I746" s="213"/>
      <c r="J746" s="213"/>
      <c r="K746" s="215"/>
      <c r="L746" s="216"/>
      <c r="M746" s="217"/>
      <c r="N746" s="176"/>
      <c r="O746" s="241" t="str">
        <f>IF(Q746 = "", "", COUNT(Q$4:$Q746))</f>
        <v/>
      </c>
      <c r="P746" s="241" t="str">
        <f t="shared" si="92"/>
        <v/>
      </c>
      <c r="Q746" s="242" t="str">
        <f t="shared" si="93"/>
        <v/>
      </c>
      <c r="R746" s="243" t="str">
        <f t="shared" si="95"/>
        <v/>
      </c>
      <c r="S746" s="244" t="str">
        <f t="shared" si="96"/>
        <v/>
      </c>
      <c r="T746" s="245" t="str">
        <f t="shared" si="97"/>
        <v/>
      </c>
      <c r="U746" s="246" t="str">
        <f t="shared" si="98"/>
        <v/>
      </c>
      <c r="V746" s="8"/>
      <c r="AR746" t="str">
        <f t="shared" si="99"/>
        <v/>
      </c>
      <c r="AS746" t="str">
        <f t="shared" si="94"/>
        <v/>
      </c>
    </row>
    <row r="747" spans="1:45" x14ac:dyDescent="0.3">
      <c r="A747" s="231"/>
      <c r="B747" s="235"/>
      <c r="C747" s="214"/>
      <c r="D747" s="214"/>
      <c r="E747" s="214"/>
      <c r="F747" s="214"/>
      <c r="G747" s="222"/>
      <c r="H747" s="221"/>
      <c r="I747" s="213"/>
      <c r="J747" s="213"/>
      <c r="K747" s="215"/>
      <c r="L747" s="216"/>
      <c r="M747" s="217"/>
      <c r="N747" s="176"/>
      <c r="O747" s="241" t="str">
        <f>IF(Q747 = "", "", COUNT(Q$4:$Q747))</f>
        <v/>
      </c>
      <c r="P747" s="241" t="str">
        <f t="shared" si="92"/>
        <v/>
      </c>
      <c r="Q747" s="242" t="str">
        <f t="shared" si="93"/>
        <v/>
      </c>
      <c r="R747" s="243" t="str">
        <f t="shared" si="95"/>
        <v/>
      </c>
      <c r="S747" s="244" t="str">
        <f t="shared" si="96"/>
        <v/>
      </c>
      <c r="T747" s="245" t="str">
        <f t="shared" si="97"/>
        <v/>
      </c>
      <c r="U747" s="246" t="str">
        <f t="shared" si="98"/>
        <v/>
      </c>
      <c r="V747" s="8"/>
      <c r="AR747" t="str">
        <f t="shared" si="99"/>
        <v/>
      </c>
      <c r="AS747" t="str">
        <f t="shared" si="94"/>
        <v/>
      </c>
    </row>
    <row r="748" spans="1:45" x14ac:dyDescent="0.3">
      <c r="A748" s="231"/>
      <c r="B748" s="235"/>
      <c r="C748" s="214"/>
      <c r="D748" s="214"/>
      <c r="E748" s="214"/>
      <c r="F748" s="214"/>
      <c r="G748" s="222"/>
      <c r="H748" s="221"/>
      <c r="I748" s="213"/>
      <c r="J748" s="213"/>
      <c r="K748" s="215"/>
      <c r="L748" s="216"/>
      <c r="M748" s="217"/>
      <c r="N748" s="176"/>
      <c r="O748" s="241" t="str">
        <f>IF(Q748 = "", "", COUNT(Q$4:$Q748))</f>
        <v/>
      </c>
      <c r="P748" s="241" t="str">
        <f t="shared" si="92"/>
        <v/>
      </c>
      <c r="Q748" s="242" t="str">
        <f t="shared" si="93"/>
        <v/>
      </c>
      <c r="R748" s="243" t="str">
        <f t="shared" si="95"/>
        <v/>
      </c>
      <c r="S748" s="244" t="str">
        <f t="shared" si="96"/>
        <v/>
      </c>
      <c r="T748" s="245" t="str">
        <f t="shared" si="97"/>
        <v/>
      </c>
      <c r="U748" s="246" t="str">
        <f t="shared" si="98"/>
        <v/>
      </c>
      <c r="V748" s="8"/>
      <c r="AR748" t="str">
        <f t="shared" si="99"/>
        <v/>
      </c>
      <c r="AS748" t="str">
        <f t="shared" si="94"/>
        <v/>
      </c>
    </row>
    <row r="749" spans="1:45" x14ac:dyDescent="0.3">
      <c r="A749" s="231"/>
      <c r="B749" s="235"/>
      <c r="C749" s="214"/>
      <c r="D749" s="214"/>
      <c r="E749" s="214"/>
      <c r="F749" s="214"/>
      <c r="G749" s="222"/>
      <c r="H749" s="221"/>
      <c r="I749" s="213"/>
      <c r="J749" s="213"/>
      <c r="K749" s="215"/>
      <c r="L749" s="216"/>
      <c r="M749" s="217"/>
      <c r="N749" s="176"/>
      <c r="O749" s="241" t="str">
        <f>IF(Q749 = "", "", COUNT(Q$4:$Q749))</f>
        <v/>
      </c>
      <c r="P749" s="241" t="str">
        <f t="shared" si="92"/>
        <v/>
      </c>
      <c r="Q749" s="242" t="str">
        <f t="shared" si="93"/>
        <v/>
      </c>
      <c r="R749" s="243" t="str">
        <f t="shared" si="95"/>
        <v/>
      </c>
      <c r="S749" s="244" t="str">
        <f t="shared" si="96"/>
        <v/>
      </c>
      <c r="T749" s="245" t="str">
        <f t="shared" si="97"/>
        <v/>
      </c>
      <c r="U749" s="246" t="str">
        <f t="shared" si="98"/>
        <v/>
      </c>
      <c r="V749" s="8"/>
      <c r="AR749" t="str">
        <f t="shared" si="99"/>
        <v/>
      </c>
      <c r="AS749" t="str">
        <f t="shared" si="94"/>
        <v/>
      </c>
    </row>
    <row r="750" spans="1:45" x14ac:dyDescent="0.3">
      <c r="A750" s="231"/>
      <c r="B750" s="235"/>
      <c r="C750" s="214"/>
      <c r="D750" s="214"/>
      <c r="E750" s="214"/>
      <c r="F750" s="214"/>
      <c r="G750" s="222"/>
      <c r="H750" s="221"/>
      <c r="I750" s="213"/>
      <c r="J750" s="213"/>
      <c r="K750" s="215"/>
      <c r="L750" s="216"/>
      <c r="M750" s="217"/>
      <c r="N750" s="176"/>
      <c r="O750" s="241" t="str">
        <f>IF(Q750 = "", "", COUNT(Q$4:$Q750))</f>
        <v/>
      </c>
      <c r="P750" s="241" t="str">
        <f t="shared" si="92"/>
        <v/>
      </c>
      <c r="Q750" s="242" t="str">
        <f t="shared" si="93"/>
        <v/>
      </c>
      <c r="R750" s="243" t="str">
        <f t="shared" si="95"/>
        <v/>
      </c>
      <c r="S750" s="244" t="str">
        <f t="shared" si="96"/>
        <v/>
      </c>
      <c r="T750" s="245" t="str">
        <f t="shared" si="97"/>
        <v/>
      </c>
      <c r="U750" s="246" t="str">
        <f t="shared" si="98"/>
        <v/>
      </c>
      <c r="V750" s="8"/>
      <c r="AR750" t="str">
        <f t="shared" si="99"/>
        <v/>
      </c>
      <c r="AS750" t="str">
        <f t="shared" si="94"/>
        <v/>
      </c>
    </row>
    <row r="751" spans="1:45" x14ac:dyDescent="0.3">
      <c r="A751" s="231"/>
      <c r="B751" s="235"/>
      <c r="C751" s="214"/>
      <c r="D751" s="214"/>
      <c r="E751" s="214"/>
      <c r="F751" s="214"/>
      <c r="G751" s="222"/>
      <c r="H751" s="221"/>
      <c r="I751" s="213"/>
      <c r="J751" s="213"/>
      <c r="K751" s="215"/>
      <c r="L751" s="216"/>
      <c r="M751" s="217"/>
      <c r="N751" s="176"/>
      <c r="O751" s="241" t="str">
        <f>IF(Q751 = "", "", COUNT(Q$4:$Q751))</f>
        <v/>
      </c>
      <c r="P751" s="241" t="str">
        <f t="shared" si="92"/>
        <v/>
      </c>
      <c r="Q751" s="242" t="str">
        <f t="shared" si="93"/>
        <v/>
      </c>
      <c r="R751" s="243" t="str">
        <f t="shared" si="95"/>
        <v/>
      </c>
      <c r="S751" s="244" t="str">
        <f t="shared" si="96"/>
        <v/>
      </c>
      <c r="T751" s="245" t="str">
        <f t="shared" si="97"/>
        <v/>
      </c>
      <c r="U751" s="246" t="str">
        <f t="shared" si="98"/>
        <v/>
      </c>
      <c r="V751" s="8"/>
      <c r="AR751" t="str">
        <f t="shared" si="99"/>
        <v/>
      </c>
      <c r="AS751" t="str">
        <f t="shared" si="94"/>
        <v/>
      </c>
    </row>
    <row r="752" spans="1:45" x14ac:dyDescent="0.3">
      <c r="A752" s="231"/>
      <c r="B752" s="235"/>
      <c r="C752" s="214"/>
      <c r="D752" s="214"/>
      <c r="E752" s="214"/>
      <c r="F752" s="214"/>
      <c r="G752" s="222"/>
      <c r="H752" s="221"/>
      <c r="I752" s="213"/>
      <c r="J752" s="213"/>
      <c r="K752" s="215"/>
      <c r="L752" s="216"/>
      <c r="M752" s="217"/>
      <c r="N752" s="176"/>
      <c r="O752" s="241" t="str">
        <f>IF(Q752 = "", "", COUNT(Q$4:$Q752))</f>
        <v/>
      </c>
      <c r="P752" s="241" t="str">
        <f t="shared" si="92"/>
        <v/>
      </c>
      <c r="Q752" s="242" t="str">
        <f t="shared" si="93"/>
        <v/>
      </c>
      <c r="R752" s="243" t="str">
        <f t="shared" si="95"/>
        <v/>
      </c>
      <c r="S752" s="244" t="str">
        <f t="shared" si="96"/>
        <v/>
      </c>
      <c r="T752" s="245" t="str">
        <f t="shared" si="97"/>
        <v/>
      </c>
      <c r="U752" s="246" t="str">
        <f t="shared" si="98"/>
        <v/>
      </c>
      <c r="V752" s="8"/>
      <c r="AR752" t="str">
        <f t="shared" si="99"/>
        <v/>
      </c>
      <c r="AS752" t="str">
        <f t="shared" si="94"/>
        <v/>
      </c>
    </row>
    <row r="753" spans="1:45" x14ac:dyDescent="0.3">
      <c r="A753" s="231"/>
      <c r="B753" s="235"/>
      <c r="C753" s="214"/>
      <c r="D753" s="214"/>
      <c r="E753" s="214"/>
      <c r="F753" s="214"/>
      <c r="G753" s="222"/>
      <c r="H753" s="221"/>
      <c r="I753" s="213"/>
      <c r="J753" s="213"/>
      <c r="K753" s="215"/>
      <c r="L753" s="216"/>
      <c r="M753" s="217"/>
      <c r="N753" s="176"/>
      <c r="O753" s="241" t="str">
        <f>IF(Q753 = "", "", COUNT(Q$4:$Q753))</f>
        <v/>
      </c>
      <c r="P753" s="241" t="str">
        <f t="shared" si="92"/>
        <v/>
      </c>
      <c r="Q753" s="242" t="str">
        <f t="shared" si="93"/>
        <v/>
      </c>
      <c r="R753" s="243" t="str">
        <f t="shared" si="95"/>
        <v/>
      </c>
      <c r="S753" s="244" t="str">
        <f t="shared" si="96"/>
        <v/>
      </c>
      <c r="T753" s="245" t="str">
        <f t="shared" si="97"/>
        <v/>
      </c>
      <c r="U753" s="246" t="str">
        <f t="shared" si="98"/>
        <v/>
      </c>
      <c r="V753" s="8"/>
      <c r="AR753" t="str">
        <f t="shared" si="99"/>
        <v/>
      </c>
      <c r="AS753" t="str">
        <f t="shared" si="94"/>
        <v/>
      </c>
    </row>
    <row r="754" spans="1:45" x14ac:dyDescent="0.3">
      <c r="A754" s="231"/>
      <c r="B754" s="235"/>
      <c r="C754" s="214"/>
      <c r="D754" s="214"/>
      <c r="E754" s="214"/>
      <c r="F754" s="214"/>
      <c r="G754" s="222"/>
      <c r="H754" s="221"/>
      <c r="I754" s="213"/>
      <c r="J754" s="213"/>
      <c r="K754" s="215"/>
      <c r="L754" s="216"/>
      <c r="M754" s="217"/>
      <c r="N754" s="176"/>
      <c r="O754" s="241" t="str">
        <f>IF(Q754 = "", "", COUNT(Q$4:$Q754))</f>
        <v/>
      </c>
      <c r="P754" s="241" t="str">
        <f t="shared" si="92"/>
        <v/>
      </c>
      <c r="Q754" s="242" t="str">
        <f t="shared" si="93"/>
        <v/>
      </c>
      <c r="R754" s="243" t="str">
        <f t="shared" si="95"/>
        <v/>
      </c>
      <c r="S754" s="244" t="str">
        <f t="shared" si="96"/>
        <v/>
      </c>
      <c r="T754" s="245" t="str">
        <f t="shared" si="97"/>
        <v/>
      </c>
      <c r="U754" s="246" t="str">
        <f t="shared" si="98"/>
        <v/>
      </c>
      <c r="V754" s="8"/>
      <c r="AR754" t="str">
        <f t="shared" si="99"/>
        <v/>
      </c>
      <c r="AS754" t="str">
        <f t="shared" si="94"/>
        <v/>
      </c>
    </row>
    <row r="755" spans="1:45" x14ac:dyDescent="0.3">
      <c r="A755" s="231"/>
      <c r="B755" s="235"/>
      <c r="C755" s="214"/>
      <c r="D755" s="214"/>
      <c r="E755" s="214"/>
      <c r="F755" s="214"/>
      <c r="G755" s="222"/>
      <c r="H755" s="221"/>
      <c r="I755" s="213"/>
      <c r="J755" s="213"/>
      <c r="K755" s="215"/>
      <c r="L755" s="216"/>
      <c r="M755" s="217"/>
      <c r="N755" s="176"/>
      <c r="O755" s="241" t="str">
        <f>IF(Q755 = "", "", COUNT(Q$4:$Q755))</f>
        <v/>
      </c>
      <c r="P755" s="241" t="str">
        <f t="shared" si="92"/>
        <v/>
      </c>
      <c r="Q755" s="242" t="str">
        <f t="shared" si="93"/>
        <v/>
      </c>
      <c r="R755" s="243" t="str">
        <f t="shared" si="95"/>
        <v/>
      </c>
      <c r="S755" s="244" t="str">
        <f t="shared" si="96"/>
        <v/>
      </c>
      <c r="T755" s="245" t="str">
        <f t="shared" si="97"/>
        <v/>
      </c>
      <c r="U755" s="246" t="str">
        <f t="shared" si="98"/>
        <v/>
      </c>
      <c r="V755" s="8"/>
      <c r="AR755" t="str">
        <f t="shared" si="99"/>
        <v/>
      </c>
      <c r="AS755" t="str">
        <f t="shared" si="94"/>
        <v/>
      </c>
    </row>
    <row r="756" spans="1:45" x14ac:dyDescent="0.3">
      <c r="A756" s="231"/>
      <c r="B756" s="235"/>
      <c r="C756" s="214"/>
      <c r="D756" s="214"/>
      <c r="E756" s="214"/>
      <c r="F756" s="214"/>
      <c r="G756" s="222"/>
      <c r="H756" s="221"/>
      <c r="I756" s="213"/>
      <c r="J756" s="213"/>
      <c r="K756" s="215"/>
      <c r="L756" s="216"/>
      <c r="M756" s="217"/>
      <c r="N756" s="176"/>
      <c r="O756" s="241" t="str">
        <f>IF(Q756 = "", "", COUNT(Q$4:$Q756))</f>
        <v/>
      </c>
      <c r="P756" s="241" t="str">
        <f t="shared" si="92"/>
        <v/>
      </c>
      <c r="Q756" s="242" t="str">
        <f t="shared" si="93"/>
        <v/>
      </c>
      <c r="R756" s="243" t="str">
        <f t="shared" si="95"/>
        <v/>
      </c>
      <c r="S756" s="244" t="str">
        <f t="shared" si="96"/>
        <v/>
      </c>
      <c r="T756" s="245" t="str">
        <f t="shared" si="97"/>
        <v/>
      </c>
      <c r="U756" s="246" t="str">
        <f t="shared" si="98"/>
        <v/>
      </c>
      <c r="V756" s="8"/>
      <c r="AR756" t="str">
        <f t="shared" si="99"/>
        <v/>
      </c>
      <c r="AS756" t="str">
        <f t="shared" si="94"/>
        <v/>
      </c>
    </row>
    <row r="757" spans="1:45" x14ac:dyDescent="0.3">
      <c r="A757" s="231"/>
      <c r="B757" s="235"/>
      <c r="C757" s="214"/>
      <c r="D757" s="214"/>
      <c r="E757" s="214"/>
      <c r="F757" s="214"/>
      <c r="G757" s="222"/>
      <c r="H757" s="221"/>
      <c r="I757" s="213"/>
      <c r="J757" s="213"/>
      <c r="K757" s="215"/>
      <c r="L757" s="216"/>
      <c r="M757" s="217"/>
      <c r="N757" s="176"/>
      <c r="O757" s="241" t="str">
        <f>IF(Q757 = "", "", COUNT(Q$4:$Q757))</f>
        <v/>
      </c>
      <c r="P757" s="241" t="str">
        <f t="shared" si="92"/>
        <v/>
      </c>
      <c r="Q757" s="242" t="str">
        <f t="shared" si="93"/>
        <v/>
      </c>
      <c r="R757" s="243" t="str">
        <f t="shared" si="95"/>
        <v/>
      </c>
      <c r="S757" s="244" t="str">
        <f t="shared" si="96"/>
        <v/>
      </c>
      <c r="T757" s="245" t="str">
        <f t="shared" si="97"/>
        <v/>
      </c>
      <c r="U757" s="246" t="str">
        <f t="shared" si="98"/>
        <v/>
      </c>
      <c r="V757" s="8"/>
      <c r="AR757" t="str">
        <f t="shared" si="99"/>
        <v/>
      </c>
      <c r="AS757" t="str">
        <f t="shared" si="94"/>
        <v/>
      </c>
    </row>
    <row r="758" spans="1:45" x14ac:dyDescent="0.3">
      <c r="A758" s="231"/>
      <c r="B758" s="235"/>
      <c r="C758" s="214"/>
      <c r="D758" s="214"/>
      <c r="E758" s="214"/>
      <c r="F758" s="214"/>
      <c r="G758" s="222"/>
      <c r="H758" s="221"/>
      <c r="I758" s="213"/>
      <c r="J758" s="213"/>
      <c r="K758" s="215"/>
      <c r="L758" s="216"/>
      <c r="M758" s="217"/>
      <c r="N758" s="176"/>
      <c r="O758" s="241" t="str">
        <f>IF(Q758 = "", "", COUNT(Q$4:$Q758))</f>
        <v/>
      </c>
      <c r="P758" s="241" t="str">
        <f t="shared" si="92"/>
        <v/>
      </c>
      <c r="Q758" s="242" t="str">
        <f t="shared" si="93"/>
        <v/>
      </c>
      <c r="R758" s="243" t="str">
        <f t="shared" si="95"/>
        <v/>
      </c>
      <c r="S758" s="244" t="str">
        <f t="shared" si="96"/>
        <v/>
      </c>
      <c r="T758" s="245" t="str">
        <f t="shared" si="97"/>
        <v/>
      </c>
      <c r="U758" s="246" t="str">
        <f t="shared" si="98"/>
        <v/>
      </c>
      <c r="V758" s="8"/>
      <c r="AR758" t="str">
        <f t="shared" si="99"/>
        <v/>
      </c>
      <c r="AS758" t="str">
        <f t="shared" si="94"/>
        <v/>
      </c>
    </row>
    <row r="759" spans="1:45" x14ac:dyDescent="0.3">
      <c r="A759" s="231"/>
      <c r="B759" s="235"/>
      <c r="C759" s="214"/>
      <c r="D759" s="214"/>
      <c r="E759" s="214"/>
      <c r="F759" s="214"/>
      <c r="G759" s="222"/>
      <c r="H759" s="221"/>
      <c r="I759" s="213"/>
      <c r="J759" s="213"/>
      <c r="K759" s="215"/>
      <c r="L759" s="216"/>
      <c r="M759" s="217"/>
      <c r="N759" s="176"/>
      <c r="O759" s="241" t="str">
        <f>IF(Q759 = "", "", COUNT(Q$4:$Q759))</f>
        <v/>
      </c>
      <c r="P759" s="241" t="str">
        <f t="shared" si="92"/>
        <v/>
      </c>
      <c r="Q759" s="242" t="str">
        <f t="shared" si="93"/>
        <v/>
      </c>
      <c r="R759" s="243" t="str">
        <f t="shared" si="95"/>
        <v/>
      </c>
      <c r="S759" s="244" t="str">
        <f t="shared" si="96"/>
        <v/>
      </c>
      <c r="T759" s="245" t="str">
        <f t="shared" si="97"/>
        <v/>
      </c>
      <c r="U759" s="246" t="str">
        <f t="shared" si="98"/>
        <v/>
      </c>
      <c r="V759" s="8"/>
      <c r="AR759" t="str">
        <f t="shared" si="99"/>
        <v/>
      </c>
      <c r="AS759" t="str">
        <f t="shared" si="94"/>
        <v/>
      </c>
    </row>
    <row r="760" spans="1:45" x14ac:dyDescent="0.3">
      <c r="A760" s="231"/>
      <c r="B760" s="235"/>
      <c r="C760" s="214"/>
      <c r="D760" s="214"/>
      <c r="E760" s="214"/>
      <c r="F760" s="214"/>
      <c r="G760" s="222"/>
      <c r="H760" s="221"/>
      <c r="I760" s="213"/>
      <c r="J760" s="213"/>
      <c r="K760" s="215"/>
      <c r="L760" s="216"/>
      <c r="M760" s="217"/>
      <c r="N760" s="176"/>
      <c r="O760" s="241" t="str">
        <f>IF(Q760 = "", "", COUNT(Q$4:$Q760))</f>
        <v/>
      </c>
      <c r="P760" s="241" t="str">
        <f t="shared" si="92"/>
        <v/>
      </c>
      <c r="Q760" s="242" t="str">
        <f t="shared" si="93"/>
        <v/>
      </c>
      <c r="R760" s="243" t="str">
        <f t="shared" si="95"/>
        <v/>
      </c>
      <c r="S760" s="244" t="str">
        <f t="shared" si="96"/>
        <v/>
      </c>
      <c r="T760" s="245" t="str">
        <f t="shared" si="97"/>
        <v/>
      </c>
      <c r="U760" s="246" t="str">
        <f t="shared" si="98"/>
        <v/>
      </c>
      <c r="V760" s="8"/>
      <c r="AR760" t="str">
        <f t="shared" si="99"/>
        <v/>
      </c>
      <c r="AS760" t="str">
        <f t="shared" si="94"/>
        <v/>
      </c>
    </row>
    <row r="761" spans="1:45" x14ac:dyDescent="0.3">
      <c r="A761" s="231"/>
      <c r="B761" s="235"/>
      <c r="C761" s="214"/>
      <c r="D761" s="214"/>
      <c r="E761" s="214"/>
      <c r="F761" s="214"/>
      <c r="G761" s="222"/>
      <c r="H761" s="221"/>
      <c r="I761" s="213"/>
      <c r="J761" s="213"/>
      <c r="K761" s="215"/>
      <c r="L761" s="216"/>
      <c r="M761" s="217"/>
      <c r="N761" s="176"/>
      <c r="O761" s="241" t="str">
        <f>IF(Q761 = "", "", COUNT(Q$4:$Q761))</f>
        <v/>
      </c>
      <c r="P761" s="241" t="str">
        <f t="shared" si="92"/>
        <v/>
      </c>
      <c r="Q761" s="242" t="str">
        <f t="shared" si="93"/>
        <v/>
      </c>
      <c r="R761" s="243" t="str">
        <f t="shared" si="95"/>
        <v/>
      </c>
      <c r="S761" s="244" t="str">
        <f t="shared" si="96"/>
        <v/>
      </c>
      <c r="T761" s="245" t="str">
        <f t="shared" si="97"/>
        <v/>
      </c>
      <c r="U761" s="246" t="str">
        <f t="shared" si="98"/>
        <v/>
      </c>
      <c r="V761" s="8"/>
      <c r="AR761" t="str">
        <f t="shared" si="99"/>
        <v/>
      </c>
      <c r="AS761" t="str">
        <f t="shared" si="94"/>
        <v/>
      </c>
    </row>
    <row r="762" spans="1:45" x14ac:dyDescent="0.3">
      <c r="A762" s="231"/>
      <c r="B762" s="235"/>
      <c r="C762" s="214"/>
      <c r="D762" s="214"/>
      <c r="E762" s="214"/>
      <c r="F762" s="214"/>
      <c r="G762" s="222"/>
      <c r="H762" s="221"/>
      <c r="I762" s="213"/>
      <c r="J762" s="213"/>
      <c r="K762" s="215"/>
      <c r="L762" s="216"/>
      <c r="M762" s="217"/>
      <c r="N762" s="176"/>
      <c r="O762" s="241" t="str">
        <f>IF(Q762 = "", "", COUNT(Q$4:$Q762))</f>
        <v/>
      </c>
      <c r="P762" s="241" t="str">
        <f t="shared" si="92"/>
        <v/>
      </c>
      <c r="Q762" s="242" t="str">
        <f t="shared" si="93"/>
        <v/>
      </c>
      <c r="R762" s="243" t="str">
        <f t="shared" si="95"/>
        <v/>
      </c>
      <c r="S762" s="244" t="str">
        <f t="shared" si="96"/>
        <v/>
      </c>
      <c r="T762" s="245" t="str">
        <f t="shared" si="97"/>
        <v/>
      </c>
      <c r="U762" s="246" t="str">
        <f t="shared" si="98"/>
        <v/>
      </c>
      <c r="V762" s="8"/>
      <c r="AR762" t="str">
        <f t="shared" si="99"/>
        <v/>
      </c>
      <c r="AS762" t="str">
        <f t="shared" si="94"/>
        <v/>
      </c>
    </row>
    <row r="763" spans="1:45" x14ac:dyDescent="0.3">
      <c r="A763" s="231"/>
      <c r="B763" s="235"/>
      <c r="C763" s="214"/>
      <c r="D763" s="214"/>
      <c r="E763" s="214"/>
      <c r="F763" s="214"/>
      <c r="G763" s="222"/>
      <c r="H763" s="221"/>
      <c r="I763" s="213"/>
      <c r="J763" s="213"/>
      <c r="K763" s="215"/>
      <c r="L763" s="216"/>
      <c r="M763" s="217"/>
      <c r="N763" s="176"/>
      <c r="O763" s="241" t="str">
        <f>IF(Q763 = "", "", COUNT(Q$4:$Q763))</f>
        <v/>
      </c>
      <c r="P763" s="241" t="str">
        <f t="shared" si="92"/>
        <v/>
      </c>
      <c r="Q763" s="242" t="str">
        <f t="shared" si="93"/>
        <v/>
      </c>
      <c r="R763" s="243" t="str">
        <f t="shared" si="95"/>
        <v/>
      </c>
      <c r="S763" s="244" t="str">
        <f t="shared" si="96"/>
        <v/>
      </c>
      <c r="T763" s="245" t="str">
        <f t="shared" si="97"/>
        <v/>
      </c>
      <c r="U763" s="246" t="str">
        <f t="shared" si="98"/>
        <v/>
      </c>
      <c r="V763" s="8"/>
      <c r="AR763" t="str">
        <f t="shared" si="99"/>
        <v/>
      </c>
      <c r="AS763" t="str">
        <f t="shared" si="94"/>
        <v/>
      </c>
    </row>
    <row r="764" spans="1:45" x14ac:dyDescent="0.3">
      <c r="A764" s="231"/>
      <c r="B764" s="235"/>
      <c r="C764" s="214"/>
      <c r="D764" s="214"/>
      <c r="E764" s="214"/>
      <c r="F764" s="214"/>
      <c r="G764" s="222"/>
      <c r="H764" s="221"/>
      <c r="I764" s="213"/>
      <c r="J764" s="213"/>
      <c r="K764" s="215"/>
      <c r="L764" s="216"/>
      <c r="M764" s="217"/>
      <c r="N764" s="176"/>
      <c r="O764" s="241" t="str">
        <f>IF(Q764 = "", "", COUNT(Q$4:$Q764))</f>
        <v/>
      </c>
      <c r="P764" s="241" t="str">
        <f t="shared" si="92"/>
        <v/>
      </c>
      <c r="Q764" s="242" t="str">
        <f t="shared" si="93"/>
        <v/>
      </c>
      <c r="R764" s="243" t="str">
        <f t="shared" si="95"/>
        <v/>
      </c>
      <c r="S764" s="244" t="str">
        <f t="shared" si="96"/>
        <v/>
      </c>
      <c r="T764" s="245" t="str">
        <f t="shared" si="97"/>
        <v/>
      </c>
      <c r="U764" s="246" t="str">
        <f t="shared" si="98"/>
        <v/>
      </c>
      <c r="V764" s="8"/>
      <c r="AR764" t="str">
        <f t="shared" si="99"/>
        <v/>
      </c>
      <c r="AS764" t="str">
        <f t="shared" si="94"/>
        <v/>
      </c>
    </row>
    <row r="765" spans="1:45" x14ac:dyDescent="0.3">
      <c r="A765" s="231"/>
      <c r="B765" s="235"/>
      <c r="C765" s="214"/>
      <c r="D765" s="214"/>
      <c r="E765" s="214"/>
      <c r="F765" s="214"/>
      <c r="G765" s="222"/>
      <c r="H765" s="221"/>
      <c r="I765" s="213"/>
      <c r="J765" s="213"/>
      <c r="K765" s="215"/>
      <c r="L765" s="216"/>
      <c r="M765" s="217"/>
      <c r="N765" s="176"/>
      <c r="O765" s="241" t="str">
        <f>IF(Q765 = "", "", COUNT(Q$4:$Q765))</f>
        <v/>
      </c>
      <c r="P765" s="241" t="str">
        <f t="shared" si="92"/>
        <v/>
      </c>
      <c r="Q765" s="242" t="str">
        <f t="shared" si="93"/>
        <v/>
      </c>
      <c r="R765" s="243" t="str">
        <f t="shared" si="95"/>
        <v/>
      </c>
      <c r="S765" s="244" t="str">
        <f t="shared" si="96"/>
        <v/>
      </c>
      <c r="T765" s="245" t="str">
        <f t="shared" si="97"/>
        <v/>
      </c>
      <c r="U765" s="246" t="str">
        <f t="shared" si="98"/>
        <v/>
      </c>
      <c r="V765" s="8"/>
      <c r="AR765" t="str">
        <f t="shared" si="99"/>
        <v/>
      </c>
      <c r="AS765" t="str">
        <f t="shared" si="94"/>
        <v/>
      </c>
    </row>
    <row r="766" spans="1:45" x14ac:dyDescent="0.3">
      <c r="A766" s="231"/>
      <c r="B766" s="235"/>
      <c r="C766" s="214"/>
      <c r="D766" s="214"/>
      <c r="E766" s="214"/>
      <c r="F766" s="214"/>
      <c r="G766" s="222"/>
      <c r="H766" s="221"/>
      <c r="I766" s="213"/>
      <c r="J766" s="213"/>
      <c r="K766" s="215"/>
      <c r="L766" s="216"/>
      <c r="M766" s="217"/>
      <c r="N766" s="176"/>
      <c r="O766" s="241" t="str">
        <f>IF(Q766 = "", "", COUNT(Q$4:$Q766))</f>
        <v/>
      </c>
      <c r="P766" s="241" t="str">
        <f t="shared" si="92"/>
        <v/>
      </c>
      <c r="Q766" s="242" t="str">
        <f t="shared" si="93"/>
        <v/>
      </c>
      <c r="R766" s="243" t="str">
        <f t="shared" si="95"/>
        <v/>
      </c>
      <c r="S766" s="244" t="str">
        <f t="shared" si="96"/>
        <v/>
      </c>
      <c r="T766" s="245" t="str">
        <f t="shared" si="97"/>
        <v/>
      </c>
      <c r="U766" s="246" t="str">
        <f t="shared" si="98"/>
        <v/>
      </c>
      <c r="V766" s="8"/>
      <c r="AR766" t="str">
        <f t="shared" si="99"/>
        <v/>
      </c>
      <c r="AS766" t="str">
        <f t="shared" si="94"/>
        <v/>
      </c>
    </row>
    <row r="767" spans="1:45" x14ac:dyDescent="0.3">
      <c r="A767" s="231"/>
      <c r="B767" s="235"/>
      <c r="C767" s="214"/>
      <c r="D767" s="214"/>
      <c r="E767" s="214"/>
      <c r="F767" s="214"/>
      <c r="G767" s="222"/>
      <c r="H767" s="221"/>
      <c r="I767" s="213"/>
      <c r="J767" s="213"/>
      <c r="K767" s="215"/>
      <c r="L767" s="216"/>
      <c r="M767" s="217"/>
      <c r="N767" s="176"/>
      <c r="O767" s="241" t="str">
        <f>IF(Q767 = "", "", COUNT(Q$4:$Q767))</f>
        <v/>
      </c>
      <c r="P767" s="241" t="str">
        <f t="shared" si="92"/>
        <v/>
      </c>
      <c r="Q767" s="242" t="str">
        <f t="shared" si="93"/>
        <v/>
      </c>
      <c r="R767" s="243" t="str">
        <f t="shared" si="95"/>
        <v/>
      </c>
      <c r="S767" s="244" t="str">
        <f t="shared" si="96"/>
        <v/>
      </c>
      <c r="T767" s="245" t="str">
        <f t="shared" si="97"/>
        <v/>
      </c>
      <c r="U767" s="246" t="str">
        <f t="shared" si="98"/>
        <v/>
      </c>
      <c r="V767" s="8"/>
      <c r="AR767" t="str">
        <f t="shared" si="99"/>
        <v/>
      </c>
      <c r="AS767" t="str">
        <f t="shared" si="94"/>
        <v/>
      </c>
    </row>
    <row r="768" spans="1:45" x14ac:dyDescent="0.3">
      <c r="A768" s="231"/>
      <c r="B768" s="235"/>
      <c r="C768" s="214"/>
      <c r="D768" s="214"/>
      <c r="E768" s="214"/>
      <c r="F768" s="214"/>
      <c r="G768" s="222"/>
      <c r="H768" s="221"/>
      <c r="I768" s="213"/>
      <c r="J768" s="213"/>
      <c r="K768" s="215"/>
      <c r="L768" s="216"/>
      <c r="M768" s="217"/>
      <c r="N768" s="176"/>
      <c r="O768" s="241" t="str">
        <f>IF(Q768 = "", "", COUNT(Q$4:$Q768))</f>
        <v/>
      </c>
      <c r="P768" s="241" t="str">
        <f t="shared" si="92"/>
        <v/>
      </c>
      <c r="Q768" s="242" t="str">
        <f t="shared" si="93"/>
        <v/>
      </c>
      <c r="R768" s="243" t="str">
        <f t="shared" si="95"/>
        <v/>
      </c>
      <c r="S768" s="244" t="str">
        <f t="shared" si="96"/>
        <v/>
      </c>
      <c r="T768" s="245" t="str">
        <f t="shared" si="97"/>
        <v/>
      </c>
      <c r="U768" s="246" t="str">
        <f t="shared" si="98"/>
        <v/>
      </c>
      <c r="V768" s="8"/>
      <c r="AR768" t="str">
        <f t="shared" si="99"/>
        <v/>
      </c>
      <c r="AS768" t="str">
        <f t="shared" si="94"/>
        <v/>
      </c>
    </row>
    <row r="769" spans="1:45" x14ac:dyDescent="0.3">
      <c r="A769" s="231"/>
      <c r="B769" s="235"/>
      <c r="C769" s="214"/>
      <c r="D769" s="214"/>
      <c r="E769" s="214"/>
      <c r="F769" s="214"/>
      <c r="G769" s="222"/>
      <c r="H769" s="221"/>
      <c r="I769" s="213"/>
      <c r="J769" s="213"/>
      <c r="K769" s="215"/>
      <c r="L769" s="216"/>
      <c r="M769" s="217"/>
      <c r="N769" s="176"/>
      <c r="O769" s="241" t="str">
        <f>IF(Q769 = "", "", COUNT(Q$4:$Q769))</f>
        <v/>
      </c>
      <c r="P769" s="241" t="str">
        <f t="shared" si="92"/>
        <v/>
      </c>
      <c r="Q769" s="242" t="str">
        <f t="shared" si="93"/>
        <v/>
      </c>
      <c r="R769" s="243" t="str">
        <f t="shared" si="95"/>
        <v/>
      </c>
      <c r="S769" s="244" t="str">
        <f t="shared" si="96"/>
        <v/>
      </c>
      <c r="T769" s="245" t="str">
        <f t="shared" si="97"/>
        <v/>
      </c>
      <c r="U769" s="246" t="str">
        <f t="shared" si="98"/>
        <v/>
      </c>
      <c r="V769" s="8"/>
      <c r="AR769" t="str">
        <f t="shared" si="99"/>
        <v/>
      </c>
      <c r="AS769" t="str">
        <f t="shared" si="94"/>
        <v/>
      </c>
    </row>
    <row r="770" spans="1:45" x14ac:dyDescent="0.3">
      <c r="A770" s="231"/>
      <c r="B770" s="235"/>
      <c r="C770" s="214"/>
      <c r="D770" s="214"/>
      <c r="E770" s="214"/>
      <c r="F770" s="214"/>
      <c r="G770" s="222"/>
      <c r="H770" s="221"/>
      <c r="I770" s="213"/>
      <c r="J770" s="213"/>
      <c r="K770" s="215"/>
      <c r="L770" s="216"/>
      <c r="M770" s="217"/>
      <c r="N770" s="176"/>
      <c r="O770" s="241" t="str">
        <f>IF(Q770 = "", "", COUNT(Q$4:$Q770))</f>
        <v/>
      </c>
      <c r="P770" s="241" t="str">
        <f t="shared" si="92"/>
        <v/>
      </c>
      <c r="Q770" s="242" t="str">
        <f t="shared" si="93"/>
        <v/>
      </c>
      <c r="R770" s="243" t="str">
        <f t="shared" si="95"/>
        <v/>
      </c>
      <c r="S770" s="244" t="str">
        <f t="shared" si="96"/>
        <v/>
      </c>
      <c r="T770" s="245" t="str">
        <f t="shared" si="97"/>
        <v/>
      </c>
      <c r="U770" s="246" t="str">
        <f t="shared" si="98"/>
        <v/>
      </c>
      <c r="V770" s="8"/>
      <c r="AR770" t="str">
        <f t="shared" si="99"/>
        <v/>
      </c>
      <c r="AS770" t="str">
        <f t="shared" si="94"/>
        <v/>
      </c>
    </row>
    <row r="771" spans="1:45" x14ac:dyDescent="0.3">
      <c r="A771" s="231"/>
      <c r="B771" s="235"/>
      <c r="C771" s="214"/>
      <c r="D771" s="214"/>
      <c r="E771" s="214"/>
      <c r="F771" s="214"/>
      <c r="G771" s="222"/>
      <c r="H771" s="221"/>
      <c r="I771" s="213"/>
      <c r="J771" s="213"/>
      <c r="K771" s="215"/>
      <c r="L771" s="216"/>
      <c r="M771" s="217"/>
      <c r="N771" s="176"/>
      <c r="O771" s="241" t="str">
        <f>IF(Q771 = "", "", COUNT(Q$4:$Q771))</f>
        <v/>
      </c>
      <c r="P771" s="241" t="str">
        <f t="shared" si="92"/>
        <v/>
      </c>
      <c r="Q771" s="242" t="str">
        <f t="shared" si="93"/>
        <v/>
      </c>
      <c r="R771" s="243" t="str">
        <f t="shared" si="95"/>
        <v/>
      </c>
      <c r="S771" s="244" t="str">
        <f t="shared" si="96"/>
        <v/>
      </c>
      <c r="T771" s="245" t="str">
        <f t="shared" si="97"/>
        <v/>
      </c>
      <c r="U771" s="246" t="str">
        <f t="shared" si="98"/>
        <v/>
      </c>
      <c r="V771" s="8"/>
      <c r="AR771" t="str">
        <f t="shared" si="99"/>
        <v/>
      </c>
      <c r="AS771" t="str">
        <f t="shared" si="94"/>
        <v/>
      </c>
    </row>
    <row r="772" spans="1:45" x14ac:dyDescent="0.3">
      <c r="A772" s="231"/>
      <c r="B772" s="235"/>
      <c r="C772" s="214"/>
      <c r="D772" s="214"/>
      <c r="E772" s="214"/>
      <c r="F772" s="214"/>
      <c r="G772" s="222"/>
      <c r="H772" s="221"/>
      <c r="I772" s="213"/>
      <c r="J772" s="213"/>
      <c r="K772" s="215"/>
      <c r="L772" s="216"/>
      <c r="M772" s="217"/>
      <c r="N772" s="176"/>
      <c r="O772" s="241" t="str">
        <f>IF(Q772 = "", "", COUNT(Q$4:$Q772))</f>
        <v/>
      </c>
      <c r="P772" s="241" t="str">
        <f t="shared" ref="P772:P835" si="100">IF(C772 &gt; 0, YEAR(B772), "")</f>
        <v/>
      </c>
      <c r="Q772" s="242" t="str">
        <f t="shared" ref="Q772:Q835" si="101">IF(A772="", "", IF(G772="",1,IF(G772="O",1,IF(G772="C",8.4,IF(G772="B",8.4,IF(G772="A",76.8,IF(G772="K",76.8,"ERR")))))))</f>
        <v/>
      </c>
      <c r="R772" s="243" t="str">
        <f t="shared" si="95"/>
        <v/>
      </c>
      <c r="S772" s="244" t="str">
        <f t="shared" si="96"/>
        <v/>
      </c>
      <c r="T772" s="245" t="str">
        <f t="shared" si="97"/>
        <v/>
      </c>
      <c r="U772" s="246" t="str">
        <f t="shared" si="98"/>
        <v/>
      </c>
      <c r="V772" s="8"/>
      <c r="AR772" t="str">
        <f t="shared" si="99"/>
        <v/>
      </c>
      <c r="AS772" t="str">
        <f t="shared" ref="AS772:AS835" si="102">IF(OR(L772="Y",M772="Y"),"Y","")</f>
        <v/>
      </c>
    </row>
    <row r="773" spans="1:45" x14ac:dyDescent="0.3">
      <c r="A773" s="231"/>
      <c r="B773" s="235"/>
      <c r="C773" s="214"/>
      <c r="D773" s="214"/>
      <c r="E773" s="214"/>
      <c r="F773" s="214"/>
      <c r="G773" s="222"/>
      <c r="H773" s="221"/>
      <c r="I773" s="213"/>
      <c r="J773" s="213"/>
      <c r="K773" s="215"/>
      <c r="L773" s="216"/>
      <c r="M773" s="217"/>
      <c r="N773" s="176"/>
      <c r="O773" s="241" t="str">
        <f>IF(Q773 = "", "", COUNT(Q$4:$Q773))</f>
        <v/>
      </c>
      <c r="P773" s="241" t="str">
        <f t="shared" si="100"/>
        <v/>
      </c>
      <c r="Q773" s="242" t="str">
        <f t="shared" si="101"/>
        <v/>
      </c>
      <c r="R773" s="243" t="str">
        <f t="shared" ref="R773:R836" si="103">IF(L773&lt;&gt;"",Q773,"")</f>
        <v/>
      </c>
      <c r="S773" s="244" t="str">
        <f t="shared" ref="S773:S836" si="104">IF(IF(L773&lt;&gt;"",G773,"")=0, "O", IF(L773&lt;&gt;"",G773,""))</f>
        <v/>
      </c>
      <c r="T773" s="245" t="str">
        <f t="shared" ref="T773:T836" si="105">IF(M773&lt;&gt;"",Q773,"")</f>
        <v/>
      </c>
      <c r="U773" s="246" t="str">
        <f t="shared" ref="U773:U836" si="106">IF(IF(M773&lt;&gt;"",G773,"")=0, "O", IF(M773&lt;&gt;"",G773,""))</f>
        <v/>
      </c>
      <c r="V773" s="8"/>
      <c r="AR773" t="str">
        <f t="shared" ref="AR773:AR836" si="107">IF(O773&gt;0, O773, "")</f>
        <v/>
      </c>
      <c r="AS773" t="str">
        <f t="shared" si="102"/>
        <v/>
      </c>
    </row>
    <row r="774" spans="1:45" x14ac:dyDescent="0.3">
      <c r="A774" s="231"/>
      <c r="B774" s="235"/>
      <c r="C774" s="214"/>
      <c r="D774" s="214"/>
      <c r="E774" s="214"/>
      <c r="F774" s="214"/>
      <c r="G774" s="222"/>
      <c r="H774" s="221"/>
      <c r="I774" s="213"/>
      <c r="J774" s="213"/>
      <c r="K774" s="215"/>
      <c r="L774" s="216"/>
      <c r="M774" s="217"/>
      <c r="N774" s="176"/>
      <c r="O774" s="241" t="str">
        <f>IF(Q774 = "", "", COUNT(Q$4:$Q774))</f>
        <v/>
      </c>
      <c r="P774" s="241" t="str">
        <f t="shared" si="100"/>
        <v/>
      </c>
      <c r="Q774" s="242" t="str">
        <f t="shared" si="101"/>
        <v/>
      </c>
      <c r="R774" s="243" t="str">
        <f t="shared" si="103"/>
        <v/>
      </c>
      <c r="S774" s="244" t="str">
        <f t="shared" si="104"/>
        <v/>
      </c>
      <c r="T774" s="245" t="str">
        <f t="shared" si="105"/>
        <v/>
      </c>
      <c r="U774" s="246" t="str">
        <f t="shared" si="106"/>
        <v/>
      </c>
      <c r="V774" s="8"/>
      <c r="AR774" t="str">
        <f t="shared" si="107"/>
        <v/>
      </c>
      <c r="AS774" t="str">
        <f t="shared" si="102"/>
        <v/>
      </c>
    </row>
    <row r="775" spans="1:45" x14ac:dyDescent="0.3">
      <c r="A775" s="231"/>
      <c r="B775" s="235"/>
      <c r="C775" s="214"/>
      <c r="D775" s="214"/>
      <c r="E775" s="214"/>
      <c r="F775" s="214"/>
      <c r="G775" s="222"/>
      <c r="H775" s="221"/>
      <c r="I775" s="213"/>
      <c r="J775" s="213"/>
      <c r="K775" s="215"/>
      <c r="L775" s="216"/>
      <c r="M775" s="217"/>
      <c r="N775" s="176"/>
      <c r="O775" s="241" t="str">
        <f>IF(Q775 = "", "", COUNT(Q$4:$Q775))</f>
        <v/>
      </c>
      <c r="P775" s="241" t="str">
        <f t="shared" si="100"/>
        <v/>
      </c>
      <c r="Q775" s="242" t="str">
        <f t="shared" si="101"/>
        <v/>
      </c>
      <c r="R775" s="243" t="str">
        <f t="shared" si="103"/>
        <v/>
      </c>
      <c r="S775" s="244" t="str">
        <f t="shared" si="104"/>
        <v/>
      </c>
      <c r="T775" s="245" t="str">
        <f t="shared" si="105"/>
        <v/>
      </c>
      <c r="U775" s="246" t="str">
        <f t="shared" si="106"/>
        <v/>
      </c>
      <c r="V775" s="8"/>
      <c r="AR775" t="str">
        <f t="shared" si="107"/>
        <v/>
      </c>
      <c r="AS775" t="str">
        <f t="shared" si="102"/>
        <v/>
      </c>
    </row>
    <row r="776" spans="1:45" x14ac:dyDescent="0.3">
      <c r="A776" s="231"/>
      <c r="B776" s="235"/>
      <c r="C776" s="214"/>
      <c r="D776" s="214"/>
      <c r="E776" s="214"/>
      <c r="F776" s="214"/>
      <c r="G776" s="222"/>
      <c r="H776" s="221"/>
      <c r="I776" s="213"/>
      <c r="J776" s="213"/>
      <c r="K776" s="215"/>
      <c r="L776" s="216"/>
      <c r="M776" s="217"/>
      <c r="N776" s="176"/>
      <c r="O776" s="241" t="str">
        <f>IF(Q776 = "", "", COUNT(Q$4:$Q776))</f>
        <v/>
      </c>
      <c r="P776" s="241" t="str">
        <f t="shared" si="100"/>
        <v/>
      </c>
      <c r="Q776" s="242" t="str">
        <f t="shared" si="101"/>
        <v/>
      </c>
      <c r="R776" s="243" t="str">
        <f t="shared" si="103"/>
        <v/>
      </c>
      <c r="S776" s="244" t="str">
        <f t="shared" si="104"/>
        <v/>
      </c>
      <c r="T776" s="245" t="str">
        <f t="shared" si="105"/>
        <v/>
      </c>
      <c r="U776" s="246" t="str">
        <f t="shared" si="106"/>
        <v/>
      </c>
      <c r="V776" s="8"/>
      <c r="AR776" t="str">
        <f t="shared" si="107"/>
        <v/>
      </c>
      <c r="AS776" t="str">
        <f t="shared" si="102"/>
        <v/>
      </c>
    </row>
    <row r="777" spans="1:45" x14ac:dyDescent="0.3">
      <c r="A777" s="231"/>
      <c r="B777" s="235"/>
      <c r="C777" s="214"/>
      <c r="D777" s="214"/>
      <c r="E777" s="214"/>
      <c r="F777" s="214"/>
      <c r="G777" s="222"/>
      <c r="H777" s="221"/>
      <c r="I777" s="213"/>
      <c r="J777" s="213"/>
      <c r="K777" s="215"/>
      <c r="L777" s="216"/>
      <c r="M777" s="217"/>
      <c r="N777" s="176"/>
      <c r="O777" s="241" t="str">
        <f>IF(Q777 = "", "", COUNT(Q$4:$Q777))</f>
        <v/>
      </c>
      <c r="P777" s="241" t="str">
        <f t="shared" si="100"/>
        <v/>
      </c>
      <c r="Q777" s="242" t="str">
        <f t="shared" si="101"/>
        <v/>
      </c>
      <c r="R777" s="243" t="str">
        <f t="shared" si="103"/>
        <v/>
      </c>
      <c r="S777" s="244" t="str">
        <f t="shared" si="104"/>
        <v/>
      </c>
      <c r="T777" s="245" t="str">
        <f t="shared" si="105"/>
        <v/>
      </c>
      <c r="U777" s="246" t="str">
        <f t="shared" si="106"/>
        <v/>
      </c>
      <c r="V777" s="8"/>
      <c r="AR777" t="str">
        <f t="shared" si="107"/>
        <v/>
      </c>
      <c r="AS777" t="str">
        <f t="shared" si="102"/>
        <v/>
      </c>
    </row>
    <row r="778" spans="1:45" x14ac:dyDescent="0.3">
      <c r="A778" s="231"/>
      <c r="B778" s="235"/>
      <c r="C778" s="214"/>
      <c r="D778" s="214"/>
      <c r="E778" s="214"/>
      <c r="F778" s="214"/>
      <c r="G778" s="222"/>
      <c r="H778" s="221"/>
      <c r="I778" s="213"/>
      <c r="J778" s="213"/>
      <c r="K778" s="215"/>
      <c r="L778" s="216"/>
      <c r="M778" s="217"/>
      <c r="N778" s="176"/>
      <c r="O778" s="241" t="str">
        <f>IF(Q778 = "", "", COUNT(Q$4:$Q778))</f>
        <v/>
      </c>
      <c r="P778" s="241" t="str">
        <f t="shared" si="100"/>
        <v/>
      </c>
      <c r="Q778" s="242" t="str">
        <f t="shared" si="101"/>
        <v/>
      </c>
      <c r="R778" s="243" t="str">
        <f t="shared" si="103"/>
        <v/>
      </c>
      <c r="S778" s="244" t="str">
        <f t="shared" si="104"/>
        <v/>
      </c>
      <c r="T778" s="245" t="str">
        <f t="shared" si="105"/>
        <v/>
      </c>
      <c r="U778" s="246" t="str">
        <f t="shared" si="106"/>
        <v/>
      </c>
      <c r="V778" s="8"/>
      <c r="AR778" t="str">
        <f t="shared" si="107"/>
        <v/>
      </c>
      <c r="AS778" t="str">
        <f t="shared" si="102"/>
        <v/>
      </c>
    </row>
    <row r="779" spans="1:45" x14ac:dyDescent="0.3">
      <c r="A779" s="231"/>
      <c r="B779" s="235"/>
      <c r="C779" s="214"/>
      <c r="D779" s="214"/>
      <c r="E779" s="214"/>
      <c r="F779" s="214"/>
      <c r="G779" s="222"/>
      <c r="H779" s="221"/>
      <c r="I779" s="213"/>
      <c r="J779" s="213"/>
      <c r="K779" s="215"/>
      <c r="L779" s="216"/>
      <c r="M779" s="217"/>
      <c r="N779" s="176"/>
      <c r="O779" s="241" t="str">
        <f>IF(Q779 = "", "", COUNT(Q$4:$Q779))</f>
        <v/>
      </c>
      <c r="P779" s="241" t="str">
        <f t="shared" si="100"/>
        <v/>
      </c>
      <c r="Q779" s="242" t="str">
        <f t="shared" si="101"/>
        <v/>
      </c>
      <c r="R779" s="243" t="str">
        <f t="shared" si="103"/>
        <v/>
      </c>
      <c r="S779" s="244" t="str">
        <f t="shared" si="104"/>
        <v/>
      </c>
      <c r="T779" s="245" t="str">
        <f t="shared" si="105"/>
        <v/>
      </c>
      <c r="U779" s="246" t="str">
        <f t="shared" si="106"/>
        <v/>
      </c>
      <c r="V779" s="8"/>
      <c r="AR779" t="str">
        <f t="shared" si="107"/>
        <v/>
      </c>
      <c r="AS779" t="str">
        <f t="shared" si="102"/>
        <v/>
      </c>
    </row>
    <row r="780" spans="1:45" x14ac:dyDescent="0.3">
      <c r="A780" s="231"/>
      <c r="B780" s="235"/>
      <c r="C780" s="214"/>
      <c r="D780" s="214"/>
      <c r="E780" s="214"/>
      <c r="F780" s="214"/>
      <c r="G780" s="222"/>
      <c r="H780" s="221"/>
      <c r="I780" s="213"/>
      <c r="J780" s="213"/>
      <c r="K780" s="215"/>
      <c r="L780" s="216"/>
      <c r="M780" s="217"/>
      <c r="N780" s="176"/>
      <c r="O780" s="241" t="str">
        <f>IF(Q780 = "", "", COUNT(Q$4:$Q780))</f>
        <v/>
      </c>
      <c r="P780" s="241" t="str">
        <f t="shared" si="100"/>
        <v/>
      </c>
      <c r="Q780" s="242" t="str">
        <f t="shared" si="101"/>
        <v/>
      </c>
      <c r="R780" s="243" t="str">
        <f t="shared" si="103"/>
        <v/>
      </c>
      <c r="S780" s="244" t="str">
        <f t="shared" si="104"/>
        <v/>
      </c>
      <c r="T780" s="245" t="str">
        <f t="shared" si="105"/>
        <v/>
      </c>
      <c r="U780" s="246" t="str">
        <f t="shared" si="106"/>
        <v/>
      </c>
      <c r="V780" s="8"/>
      <c r="AR780" t="str">
        <f t="shared" si="107"/>
        <v/>
      </c>
      <c r="AS780" t="str">
        <f t="shared" si="102"/>
        <v/>
      </c>
    </row>
    <row r="781" spans="1:45" x14ac:dyDescent="0.3">
      <c r="A781" s="231"/>
      <c r="B781" s="235"/>
      <c r="C781" s="214"/>
      <c r="D781" s="214"/>
      <c r="E781" s="214"/>
      <c r="F781" s="214"/>
      <c r="G781" s="222"/>
      <c r="H781" s="221"/>
      <c r="I781" s="213"/>
      <c r="J781" s="213"/>
      <c r="K781" s="215"/>
      <c r="L781" s="216"/>
      <c r="M781" s="217"/>
      <c r="N781" s="176"/>
      <c r="O781" s="241" t="str">
        <f>IF(Q781 = "", "", COUNT(Q$4:$Q781))</f>
        <v/>
      </c>
      <c r="P781" s="241" t="str">
        <f t="shared" si="100"/>
        <v/>
      </c>
      <c r="Q781" s="242" t="str">
        <f t="shared" si="101"/>
        <v/>
      </c>
      <c r="R781" s="243" t="str">
        <f t="shared" si="103"/>
        <v/>
      </c>
      <c r="S781" s="244" t="str">
        <f t="shared" si="104"/>
        <v/>
      </c>
      <c r="T781" s="245" t="str">
        <f t="shared" si="105"/>
        <v/>
      </c>
      <c r="U781" s="246" t="str">
        <f t="shared" si="106"/>
        <v/>
      </c>
      <c r="V781" s="8"/>
      <c r="AR781" t="str">
        <f t="shared" si="107"/>
        <v/>
      </c>
      <c r="AS781" t="str">
        <f t="shared" si="102"/>
        <v/>
      </c>
    </row>
    <row r="782" spans="1:45" x14ac:dyDescent="0.3">
      <c r="A782" s="231"/>
      <c r="B782" s="235"/>
      <c r="C782" s="214"/>
      <c r="D782" s="214"/>
      <c r="E782" s="214"/>
      <c r="F782" s="214"/>
      <c r="G782" s="222"/>
      <c r="H782" s="221"/>
      <c r="I782" s="213"/>
      <c r="J782" s="213"/>
      <c r="K782" s="215"/>
      <c r="L782" s="216"/>
      <c r="M782" s="217"/>
      <c r="N782" s="176"/>
      <c r="O782" s="241" t="str">
        <f>IF(Q782 = "", "", COUNT(Q$4:$Q782))</f>
        <v/>
      </c>
      <c r="P782" s="241" t="str">
        <f t="shared" si="100"/>
        <v/>
      </c>
      <c r="Q782" s="242" t="str">
        <f t="shared" si="101"/>
        <v/>
      </c>
      <c r="R782" s="243" t="str">
        <f t="shared" si="103"/>
        <v/>
      </c>
      <c r="S782" s="244" t="str">
        <f t="shared" si="104"/>
        <v/>
      </c>
      <c r="T782" s="245" t="str">
        <f t="shared" si="105"/>
        <v/>
      </c>
      <c r="U782" s="246" t="str">
        <f t="shared" si="106"/>
        <v/>
      </c>
      <c r="V782" s="8"/>
      <c r="AR782" t="str">
        <f t="shared" si="107"/>
        <v/>
      </c>
      <c r="AS782" t="str">
        <f t="shared" si="102"/>
        <v/>
      </c>
    </row>
    <row r="783" spans="1:45" x14ac:dyDescent="0.3">
      <c r="A783" s="231"/>
      <c r="B783" s="235"/>
      <c r="C783" s="214"/>
      <c r="D783" s="214"/>
      <c r="E783" s="214"/>
      <c r="F783" s="214"/>
      <c r="G783" s="222"/>
      <c r="H783" s="221"/>
      <c r="I783" s="213"/>
      <c r="J783" s="213"/>
      <c r="K783" s="215"/>
      <c r="L783" s="216"/>
      <c r="M783" s="217"/>
      <c r="N783" s="176"/>
      <c r="O783" s="241" t="str">
        <f>IF(Q783 = "", "", COUNT(Q$4:$Q783))</f>
        <v/>
      </c>
      <c r="P783" s="241" t="str">
        <f t="shared" si="100"/>
        <v/>
      </c>
      <c r="Q783" s="242" t="str">
        <f t="shared" si="101"/>
        <v/>
      </c>
      <c r="R783" s="243" t="str">
        <f t="shared" si="103"/>
        <v/>
      </c>
      <c r="S783" s="244" t="str">
        <f t="shared" si="104"/>
        <v/>
      </c>
      <c r="T783" s="245" t="str">
        <f t="shared" si="105"/>
        <v/>
      </c>
      <c r="U783" s="246" t="str">
        <f t="shared" si="106"/>
        <v/>
      </c>
      <c r="V783" s="8"/>
      <c r="AR783" t="str">
        <f t="shared" si="107"/>
        <v/>
      </c>
      <c r="AS783" t="str">
        <f t="shared" si="102"/>
        <v/>
      </c>
    </row>
    <row r="784" spans="1:45" x14ac:dyDescent="0.3">
      <c r="A784" s="231"/>
      <c r="B784" s="235"/>
      <c r="C784" s="214"/>
      <c r="D784" s="214"/>
      <c r="E784" s="214"/>
      <c r="F784" s="214"/>
      <c r="G784" s="222"/>
      <c r="H784" s="221"/>
      <c r="I784" s="213"/>
      <c r="J784" s="213"/>
      <c r="K784" s="215"/>
      <c r="L784" s="216"/>
      <c r="M784" s="217"/>
      <c r="N784" s="176"/>
      <c r="O784" s="241" t="str">
        <f>IF(Q784 = "", "", COUNT(Q$4:$Q784))</f>
        <v/>
      </c>
      <c r="P784" s="241" t="str">
        <f t="shared" si="100"/>
        <v/>
      </c>
      <c r="Q784" s="242" t="str">
        <f t="shared" si="101"/>
        <v/>
      </c>
      <c r="R784" s="243" t="str">
        <f t="shared" si="103"/>
        <v/>
      </c>
      <c r="S784" s="244" t="str">
        <f t="shared" si="104"/>
        <v/>
      </c>
      <c r="T784" s="245" t="str">
        <f t="shared" si="105"/>
        <v/>
      </c>
      <c r="U784" s="246" t="str">
        <f t="shared" si="106"/>
        <v/>
      </c>
      <c r="V784" s="8"/>
      <c r="AR784" t="str">
        <f t="shared" si="107"/>
        <v/>
      </c>
      <c r="AS784" t="str">
        <f t="shared" si="102"/>
        <v/>
      </c>
    </row>
    <row r="785" spans="1:45" x14ac:dyDescent="0.3">
      <c r="A785" s="231"/>
      <c r="B785" s="235"/>
      <c r="C785" s="214"/>
      <c r="D785" s="214"/>
      <c r="E785" s="214"/>
      <c r="F785" s="214"/>
      <c r="G785" s="222"/>
      <c r="H785" s="221"/>
      <c r="I785" s="213"/>
      <c r="J785" s="213"/>
      <c r="K785" s="215"/>
      <c r="L785" s="216"/>
      <c r="M785" s="217"/>
      <c r="N785" s="176"/>
      <c r="O785" s="241" t="str">
        <f>IF(Q785 = "", "", COUNT(Q$4:$Q785))</f>
        <v/>
      </c>
      <c r="P785" s="241" t="str">
        <f t="shared" si="100"/>
        <v/>
      </c>
      <c r="Q785" s="242" t="str">
        <f t="shared" si="101"/>
        <v/>
      </c>
      <c r="R785" s="243" t="str">
        <f t="shared" si="103"/>
        <v/>
      </c>
      <c r="S785" s="244" t="str">
        <f t="shared" si="104"/>
        <v/>
      </c>
      <c r="T785" s="245" t="str">
        <f t="shared" si="105"/>
        <v/>
      </c>
      <c r="U785" s="246" t="str">
        <f t="shared" si="106"/>
        <v/>
      </c>
      <c r="V785" s="8"/>
      <c r="AR785" t="str">
        <f t="shared" si="107"/>
        <v/>
      </c>
      <c r="AS785" t="str">
        <f t="shared" si="102"/>
        <v/>
      </c>
    </row>
    <row r="786" spans="1:45" x14ac:dyDescent="0.3">
      <c r="A786" s="231"/>
      <c r="B786" s="235"/>
      <c r="C786" s="214"/>
      <c r="D786" s="214"/>
      <c r="E786" s="214"/>
      <c r="F786" s="214"/>
      <c r="G786" s="222"/>
      <c r="H786" s="221"/>
      <c r="I786" s="213"/>
      <c r="J786" s="213"/>
      <c r="K786" s="215"/>
      <c r="L786" s="216"/>
      <c r="M786" s="217"/>
      <c r="N786" s="176"/>
      <c r="O786" s="241" t="str">
        <f>IF(Q786 = "", "", COUNT(Q$4:$Q786))</f>
        <v/>
      </c>
      <c r="P786" s="241" t="str">
        <f t="shared" si="100"/>
        <v/>
      </c>
      <c r="Q786" s="242" t="str">
        <f t="shared" si="101"/>
        <v/>
      </c>
      <c r="R786" s="243" t="str">
        <f t="shared" si="103"/>
        <v/>
      </c>
      <c r="S786" s="244" t="str">
        <f t="shared" si="104"/>
        <v/>
      </c>
      <c r="T786" s="245" t="str">
        <f t="shared" si="105"/>
        <v/>
      </c>
      <c r="U786" s="246" t="str">
        <f t="shared" si="106"/>
        <v/>
      </c>
      <c r="V786" s="8"/>
      <c r="AR786" t="str">
        <f t="shared" si="107"/>
        <v/>
      </c>
      <c r="AS786" t="str">
        <f t="shared" si="102"/>
        <v/>
      </c>
    </row>
    <row r="787" spans="1:45" x14ac:dyDescent="0.3">
      <c r="A787" s="231"/>
      <c r="B787" s="235"/>
      <c r="C787" s="214"/>
      <c r="D787" s="214"/>
      <c r="E787" s="214"/>
      <c r="F787" s="214"/>
      <c r="G787" s="222"/>
      <c r="H787" s="221"/>
      <c r="I787" s="213"/>
      <c r="J787" s="213"/>
      <c r="K787" s="215"/>
      <c r="L787" s="216"/>
      <c r="M787" s="217"/>
      <c r="N787" s="176"/>
      <c r="O787" s="241" t="str">
        <f>IF(Q787 = "", "", COUNT(Q$4:$Q787))</f>
        <v/>
      </c>
      <c r="P787" s="241" t="str">
        <f t="shared" si="100"/>
        <v/>
      </c>
      <c r="Q787" s="242" t="str">
        <f t="shared" si="101"/>
        <v/>
      </c>
      <c r="R787" s="243" t="str">
        <f t="shared" si="103"/>
        <v/>
      </c>
      <c r="S787" s="244" t="str">
        <f t="shared" si="104"/>
        <v/>
      </c>
      <c r="T787" s="245" t="str">
        <f t="shared" si="105"/>
        <v/>
      </c>
      <c r="U787" s="246" t="str">
        <f t="shared" si="106"/>
        <v/>
      </c>
      <c r="V787" s="8"/>
      <c r="AR787" t="str">
        <f t="shared" si="107"/>
        <v/>
      </c>
      <c r="AS787" t="str">
        <f t="shared" si="102"/>
        <v/>
      </c>
    </row>
    <row r="788" spans="1:45" x14ac:dyDescent="0.3">
      <c r="A788" s="231"/>
      <c r="B788" s="235"/>
      <c r="C788" s="214"/>
      <c r="D788" s="214"/>
      <c r="E788" s="214"/>
      <c r="F788" s="214"/>
      <c r="G788" s="222"/>
      <c r="H788" s="221"/>
      <c r="I788" s="213"/>
      <c r="J788" s="213"/>
      <c r="K788" s="215"/>
      <c r="L788" s="216"/>
      <c r="M788" s="217"/>
      <c r="N788" s="176"/>
      <c r="O788" s="241" t="str">
        <f>IF(Q788 = "", "", COUNT(Q$4:$Q788))</f>
        <v/>
      </c>
      <c r="P788" s="241" t="str">
        <f t="shared" si="100"/>
        <v/>
      </c>
      <c r="Q788" s="242" t="str">
        <f t="shared" si="101"/>
        <v/>
      </c>
      <c r="R788" s="243" t="str">
        <f t="shared" si="103"/>
        <v/>
      </c>
      <c r="S788" s="244" t="str">
        <f t="shared" si="104"/>
        <v/>
      </c>
      <c r="T788" s="245" t="str">
        <f t="shared" si="105"/>
        <v/>
      </c>
      <c r="U788" s="246" t="str">
        <f t="shared" si="106"/>
        <v/>
      </c>
      <c r="V788" s="8"/>
      <c r="AR788" t="str">
        <f t="shared" si="107"/>
        <v/>
      </c>
      <c r="AS788" t="str">
        <f t="shared" si="102"/>
        <v/>
      </c>
    </row>
    <row r="789" spans="1:45" x14ac:dyDescent="0.3">
      <c r="A789" s="231"/>
      <c r="B789" s="235"/>
      <c r="C789" s="214"/>
      <c r="D789" s="214"/>
      <c r="E789" s="214"/>
      <c r="F789" s="214"/>
      <c r="G789" s="222"/>
      <c r="H789" s="221"/>
      <c r="I789" s="213"/>
      <c r="J789" s="213"/>
      <c r="K789" s="215"/>
      <c r="L789" s="216"/>
      <c r="M789" s="217"/>
      <c r="N789" s="176"/>
      <c r="O789" s="241" t="str">
        <f>IF(Q789 = "", "", COUNT(Q$4:$Q789))</f>
        <v/>
      </c>
      <c r="P789" s="241" t="str">
        <f t="shared" si="100"/>
        <v/>
      </c>
      <c r="Q789" s="242" t="str">
        <f t="shared" si="101"/>
        <v/>
      </c>
      <c r="R789" s="243" t="str">
        <f t="shared" si="103"/>
        <v/>
      </c>
      <c r="S789" s="244" t="str">
        <f t="shared" si="104"/>
        <v/>
      </c>
      <c r="T789" s="245" t="str">
        <f t="shared" si="105"/>
        <v/>
      </c>
      <c r="U789" s="246" t="str">
        <f t="shared" si="106"/>
        <v/>
      </c>
      <c r="V789" s="8"/>
      <c r="AR789" t="str">
        <f t="shared" si="107"/>
        <v/>
      </c>
      <c r="AS789" t="str">
        <f t="shared" si="102"/>
        <v/>
      </c>
    </row>
    <row r="790" spans="1:45" x14ac:dyDescent="0.3">
      <c r="A790" s="231"/>
      <c r="B790" s="235"/>
      <c r="C790" s="214"/>
      <c r="D790" s="214"/>
      <c r="E790" s="214"/>
      <c r="F790" s="214"/>
      <c r="G790" s="222"/>
      <c r="H790" s="221"/>
      <c r="I790" s="213"/>
      <c r="J790" s="213"/>
      <c r="K790" s="215"/>
      <c r="L790" s="216"/>
      <c r="M790" s="217"/>
      <c r="N790" s="176"/>
      <c r="O790" s="241" t="str">
        <f>IF(Q790 = "", "", COUNT(Q$4:$Q790))</f>
        <v/>
      </c>
      <c r="P790" s="241" t="str">
        <f t="shared" si="100"/>
        <v/>
      </c>
      <c r="Q790" s="242" t="str">
        <f t="shared" si="101"/>
        <v/>
      </c>
      <c r="R790" s="243" t="str">
        <f t="shared" si="103"/>
        <v/>
      </c>
      <c r="S790" s="244" t="str">
        <f t="shared" si="104"/>
        <v/>
      </c>
      <c r="T790" s="245" t="str">
        <f t="shared" si="105"/>
        <v/>
      </c>
      <c r="U790" s="246" t="str">
        <f t="shared" si="106"/>
        <v/>
      </c>
      <c r="V790" s="8"/>
      <c r="AR790" t="str">
        <f t="shared" si="107"/>
        <v/>
      </c>
      <c r="AS790" t="str">
        <f t="shared" si="102"/>
        <v/>
      </c>
    </row>
    <row r="791" spans="1:45" x14ac:dyDescent="0.3">
      <c r="A791" s="231"/>
      <c r="B791" s="235"/>
      <c r="C791" s="214"/>
      <c r="D791" s="214"/>
      <c r="E791" s="214"/>
      <c r="F791" s="214"/>
      <c r="G791" s="222"/>
      <c r="H791" s="221"/>
      <c r="I791" s="213"/>
      <c r="J791" s="213"/>
      <c r="K791" s="215"/>
      <c r="L791" s="216"/>
      <c r="M791" s="217"/>
      <c r="N791" s="176"/>
      <c r="O791" s="241" t="str">
        <f>IF(Q791 = "", "", COUNT(Q$4:$Q791))</f>
        <v/>
      </c>
      <c r="P791" s="241" t="str">
        <f t="shared" si="100"/>
        <v/>
      </c>
      <c r="Q791" s="242" t="str">
        <f t="shared" si="101"/>
        <v/>
      </c>
      <c r="R791" s="243" t="str">
        <f t="shared" si="103"/>
        <v/>
      </c>
      <c r="S791" s="244" t="str">
        <f t="shared" si="104"/>
        <v/>
      </c>
      <c r="T791" s="245" t="str">
        <f t="shared" si="105"/>
        <v/>
      </c>
      <c r="U791" s="246" t="str">
        <f t="shared" si="106"/>
        <v/>
      </c>
      <c r="V791" s="8"/>
      <c r="AR791" t="str">
        <f t="shared" si="107"/>
        <v/>
      </c>
      <c r="AS791" t="str">
        <f t="shared" si="102"/>
        <v/>
      </c>
    </row>
    <row r="792" spans="1:45" x14ac:dyDescent="0.3">
      <c r="A792" s="231"/>
      <c r="B792" s="235"/>
      <c r="C792" s="214"/>
      <c r="D792" s="214"/>
      <c r="E792" s="214"/>
      <c r="F792" s="214"/>
      <c r="G792" s="222"/>
      <c r="H792" s="221"/>
      <c r="I792" s="213"/>
      <c r="J792" s="213"/>
      <c r="K792" s="215"/>
      <c r="L792" s="216"/>
      <c r="M792" s="217"/>
      <c r="N792" s="176"/>
      <c r="O792" s="241" t="str">
        <f>IF(Q792 = "", "", COUNT(Q$4:$Q792))</f>
        <v/>
      </c>
      <c r="P792" s="241" t="str">
        <f t="shared" si="100"/>
        <v/>
      </c>
      <c r="Q792" s="242" t="str">
        <f t="shared" si="101"/>
        <v/>
      </c>
      <c r="R792" s="243" t="str">
        <f t="shared" si="103"/>
        <v/>
      </c>
      <c r="S792" s="244" t="str">
        <f t="shared" si="104"/>
        <v/>
      </c>
      <c r="T792" s="245" t="str">
        <f t="shared" si="105"/>
        <v/>
      </c>
      <c r="U792" s="246" t="str">
        <f t="shared" si="106"/>
        <v/>
      </c>
      <c r="V792" s="8"/>
      <c r="AR792" t="str">
        <f t="shared" si="107"/>
        <v/>
      </c>
      <c r="AS792" t="str">
        <f t="shared" si="102"/>
        <v/>
      </c>
    </row>
    <row r="793" spans="1:45" x14ac:dyDescent="0.3">
      <c r="A793" s="231"/>
      <c r="B793" s="235"/>
      <c r="C793" s="214"/>
      <c r="D793" s="214"/>
      <c r="E793" s="214"/>
      <c r="F793" s="214"/>
      <c r="G793" s="222"/>
      <c r="H793" s="221"/>
      <c r="I793" s="213"/>
      <c r="J793" s="213"/>
      <c r="K793" s="215"/>
      <c r="L793" s="216"/>
      <c r="M793" s="217"/>
      <c r="N793" s="176"/>
      <c r="O793" s="241" t="str">
        <f>IF(Q793 = "", "", COUNT(Q$4:$Q793))</f>
        <v/>
      </c>
      <c r="P793" s="241" t="str">
        <f t="shared" si="100"/>
        <v/>
      </c>
      <c r="Q793" s="242" t="str">
        <f t="shared" si="101"/>
        <v/>
      </c>
      <c r="R793" s="243" t="str">
        <f t="shared" si="103"/>
        <v/>
      </c>
      <c r="S793" s="244" t="str">
        <f t="shared" si="104"/>
        <v/>
      </c>
      <c r="T793" s="245" t="str">
        <f t="shared" si="105"/>
        <v/>
      </c>
      <c r="U793" s="246" t="str">
        <f t="shared" si="106"/>
        <v/>
      </c>
      <c r="V793" s="8"/>
      <c r="AR793" t="str">
        <f t="shared" si="107"/>
        <v/>
      </c>
      <c r="AS793" t="str">
        <f t="shared" si="102"/>
        <v/>
      </c>
    </row>
    <row r="794" spans="1:45" x14ac:dyDescent="0.3">
      <c r="A794" s="231"/>
      <c r="B794" s="235"/>
      <c r="C794" s="214"/>
      <c r="D794" s="214"/>
      <c r="E794" s="214"/>
      <c r="F794" s="214"/>
      <c r="G794" s="222"/>
      <c r="H794" s="221"/>
      <c r="I794" s="213"/>
      <c r="J794" s="213"/>
      <c r="K794" s="215"/>
      <c r="L794" s="216"/>
      <c r="M794" s="217"/>
      <c r="N794" s="176"/>
      <c r="O794" s="241" t="str">
        <f>IF(Q794 = "", "", COUNT(Q$4:$Q794))</f>
        <v/>
      </c>
      <c r="P794" s="241" t="str">
        <f t="shared" si="100"/>
        <v/>
      </c>
      <c r="Q794" s="242" t="str">
        <f t="shared" si="101"/>
        <v/>
      </c>
      <c r="R794" s="243" t="str">
        <f t="shared" si="103"/>
        <v/>
      </c>
      <c r="S794" s="244" t="str">
        <f t="shared" si="104"/>
        <v/>
      </c>
      <c r="T794" s="245" t="str">
        <f t="shared" si="105"/>
        <v/>
      </c>
      <c r="U794" s="246" t="str">
        <f t="shared" si="106"/>
        <v/>
      </c>
      <c r="V794" s="8"/>
      <c r="AR794" t="str">
        <f t="shared" si="107"/>
        <v/>
      </c>
      <c r="AS794" t="str">
        <f t="shared" si="102"/>
        <v/>
      </c>
    </row>
    <row r="795" spans="1:45" x14ac:dyDescent="0.3">
      <c r="A795" s="231"/>
      <c r="B795" s="235"/>
      <c r="C795" s="214"/>
      <c r="D795" s="214"/>
      <c r="E795" s="214"/>
      <c r="F795" s="214"/>
      <c r="G795" s="222"/>
      <c r="H795" s="221"/>
      <c r="I795" s="213"/>
      <c r="J795" s="213"/>
      <c r="K795" s="215"/>
      <c r="L795" s="216"/>
      <c r="M795" s="217"/>
      <c r="N795" s="176"/>
      <c r="O795" s="241" t="str">
        <f>IF(Q795 = "", "", COUNT(Q$4:$Q795))</f>
        <v/>
      </c>
      <c r="P795" s="241" t="str">
        <f t="shared" si="100"/>
        <v/>
      </c>
      <c r="Q795" s="242" t="str">
        <f t="shared" si="101"/>
        <v/>
      </c>
      <c r="R795" s="243" t="str">
        <f t="shared" si="103"/>
        <v/>
      </c>
      <c r="S795" s="244" t="str">
        <f t="shared" si="104"/>
        <v/>
      </c>
      <c r="T795" s="245" t="str">
        <f t="shared" si="105"/>
        <v/>
      </c>
      <c r="U795" s="246" t="str">
        <f t="shared" si="106"/>
        <v/>
      </c>
      <c r="V795" s="8"/>
      <c r="AR795" t="str">
        <f t="shared" si="107"/>
        <v/>
      </c>
      <c r="AS795" t="str">
        <f t="shared" si="102"/>
        <v/>
      </c>
    </row>
    <row r="796" spans="1:45" x14ac:dyDescent="0.3">
      <c r="A796" s="231"/>
      <c r="B796" s="235"/>
      <c r="C796" s="214"/>
      <c r="D796" s="214"/>
      <c r="E796" s="214"/>
      <c r="F796" s="214"/>
      <c r="G796" s="222"/>
      <c r="H796" s="221"/>
      <c r="I796" s="213"/>
      <c r="J796" s="213"/>
      <c r="K796" s="215"/>
      <c r="L796" s="216"/>
      <c r="M796" s="217"/>
      <c r="N796" s="176"/>
      <c r="O796" s="241" t="str">
        <f>IF(Q796 = "", "", COUNT(Q$4:$Q796))</f>
        <v/>
      </c>
      <c r="P796" s="241" t="str">
        <f t="shared" si="100"/>
        <v/>
      </c>
      <c r="Q796" s="242" t="str">
        <f t="shared" si="101"/>
        <v/>
      </c>
      <c r="R796" s="243" t="str">
        <f t="shared" si="103"/>
        <v/>
      </c>
      <c r="S796" s="244" t="str">
        <f t="shared" si="104"/>
        <v/>
      </c>
      <c r="T796" s="245" t="str">
        <f t="shared" si="105"/>
        <v/>
      </c>
      <c r="U796" s="246" t="str">
        <f t="shared" si="106"/>
        <v/>
      </c>
      <c r="V796" s="8"/>
      <c r="AR796" t="str">
        <f t="shared" si="107"/>
        <v/>
      </c>
      <c r="AS796" t="str">
        <f t="shared" si="102"/>
        <v/>
      </c>
    </row>
    <row r="797" spans="1:45" x14ac:dyDescent="0.3">
      <c r="A797" s="231"/>
      <c r="B797" s="235"/>
      <c r="C797" s="214"/>
      <c r="D797" s="214"/>
      <c r="E797" s="214"/>
      <c r="F797" s="214"/>
      <c r="G797" s="222"/>
      <c r="H797" s="221"/>
      <c r="I797" s="213"/>
      <c r="J797" s="213"/>
      <c r="K797" s="215"/>
      <c r="L797" s="216"/>
      <c r="M797" s="217"/>
      <c r="N797" s="176"/>
      <c r="O797" s="241" t="str">
        <f>IF(Q797 = "", "", COUNT(Q$4:$Q797))</f>
        <v/>
      </c>
      <c r="P797" s="241" t="str">
        <f t="shared" si="100"/>
        <v/>
      </c>
      <c r="Q797" s="242" t="str">
        <f t="shared" si="101"/>
        <v/>
      </c>
      <c r="R797" s="243" t="str">
        <f t="shared" si="103"/>
        <v/>
      </c>
      <c r="S797" s="244" t="str">
        <f t="shared" si="104"/>
        <v/>
      </c>
      <c r="T797" s="245" t="str">
        <f t="shared" si="105"/>
        <v/>
      </c>
      <c r="U797" s="246" t="str">
        <f t="shared" si="106"/>
        <v/>
      </c>
      <c r="V797" s="8"/>
      <c r="AR797" t="str">
        <f t="shared" si="107"/>
        <v/>
      </c>
      <c r="AS797" t="str">
        <f t="shared" si="102"/>
        <v/>
      </c>
    </row>
    <row r="798" spans="1:45" x14ac:dyDescent="0.3">
      <c r="A798" s="231"/>
      <c r="B798" s="235"/>
      <c r="C798" s="214"/>
      <c r="D798" s="214"/>
      <c r="E798" s="214"/>
      <c r="F798" s="214"/>
      <c r="G798" s="222"/>
      <c r="H798" s="221"/>
      <c r="I798" s="213"/>
      <c r="J798" s="213"/>
      <c r="K798" s="215"/>
      <c r="L798" s="216"/>
      <c r="M798" s="217"/>
      <c r="N798" s="176"/>
      <c r="O798" s="241" t="str">
        <f>IF(Q798 = "", "", COUNT(Q$4:$Q798))</f>
        <v/>
      </c>
      <c r="P798" s="241" t="str">
        <f t="shared" si="100"/>
        <v/>
      </c>
      <c r="Q798" s="242" t="str">
        <f t="shared" si="101"/>
        <v/>
      </c>
      <c r="R798" s="243" t="str">
        <f t="shared" si="103"/>
        <v/>
      </c>
      <c r="S798" s="244" t="str">
        <f t="shared" si="104"/>
        <v/>
      </c>
      <c r="T798" s="245" t="str">
        <f t="shared" si="105"/>
        <v/>
      </c>
      <c r="U798" s="246" t="str">
        <f t="shared" si="106"/>
        <v/>
      </c>
      <c r="V798" s="8"/>
      <c r="AR798" t="str">
        <f t="shared" si="107"/>
        <v/>
      </c>
      <c r="AS798" t="str">
        <f t="shared" si="102"/>
        <v/>
      </c>
    </row>
    <row r="799" spans="1:45" x14ac:dyDescent="0.3">
      <c r="A799" s="231"/>
      <c r="B799" s="235"/>
      <c r="C799" s="214"/>
      <c r="D799" s="214"/>
      <c r="E799" s="214"/>
      <c r="F799" s="214"/>
      <c r="G799" s="222"/>
      <c r="H799" s="221"/>
      <c r="I799" s="213"/>
      <c r="J799" s="213"/>
      <c r="K799" s="215"/>
      <c r="L799" s="216"/>
      <c r="M799" s="217"/>
      <c r="N799" s="176"/>
      <c r="O799" s="241" t="str">
        <f>IF(Q799 = "", "", COUNT(Q$4:$Q799))</f>
        <v/>
      </c>
      <c r="P799" s="241" t="str">
        <f t="shared" si="100"/>
        <v/>
      </c>
      <c r="Q799" s="242" t="str">
        <f t="shared" si="101"/>
        <v/>
      </c>
      <c r="R799" s="243" t="str">
        <f t="shared" si="103"/>
        <v/>
      </c>
      <c r="S799" s="244" t="str">
        <f t="shared" si="104"/>
        <v/>
      </c>
      <c r="T799" s="245" t="str">
        <f t="shared" si="105"/>
        <v/>
      </c>
      <c r="U799" s="246" t="str">
        <f t="shared" si="106"/>
        <v/>
      </c>
      <c r="V799" s="8"/>
      <c r="AR799" t="str">
        <f t="shared" si="107"/>
        <v/>
      </c>
      <c r="AS799" t="str">
        <f t="shared" si="102"/>
        <v/>
      </c>
    </row>
    <row r="800" spans="1:45" x14ac:dyDescent="0.3">
      <c r="A800" s="231"/>
      <c r="B800" s="235"/>
      <c r="C800" s="214"/>
      <c r="D800" s="214"/>
      <c r="E800" s="214"/>
      <c r="F800" s="214"/>
      <c r="G800" s="222"/>
      <c r="H800" s="221"/>
      <c r="I800" s="213"/>
      <c r="J800" s="213"/>
      <c r="K800" s="215"/>
      <c r="L800" s="216"/>
      <c r="M800" s="217"/>
      <c r="N800" s="176"/>
      <c r="O800" s="241" t="str">
        <f>IF(Q800 = "", "", COUNT(Q$4:$Q800))</f>
        <v/>
      </c>
      <c r="P800" s="241" t="str">
        <f t="shared" si="100"/>
        <v/>
      </c>
      <c r="Q800" s="242" t="str">
        <f t="shared" si="101"/>
        <v/>
      </c>
      <c r="R800" s="243" t="str">
        <f t="shared" si="103"/>
        <v/>
      </c>
      <c r="S800" s="244" t="str">
        <f t="shared" si="104"/>
        <v/>
      </c>
      <c r="T800" s="245" t="str">
        <f t="shared" si="105"/>
        <v/>
      </c>
      <c r="U800" s="246" t="str">
        <f t="shared" si="106"/>
        <v/>
      </c>
      <c r="V800" s="8"/>
      <c r="AR800" t="str">
        <f t="shared" si="107"/>
        <v/>
      </c>
      <c r="AS800" t="str">
        <f t="shared" si="102"/>
        <v/>
      </c>
    </row>
    <row r="801" spans="1:45" x14ac:dyDescent="0.3">
      <c r="A801" s="231"/>
      <c r="B801" s="235"/>
      <c r="C801" s="214"/>
      <c r="D801" s="214"/>
      <c r="E801" s="214"/>
      <c r="F801" s="214"/>
      <c r="G801" s="222"/>
      <c r="H801" s="221"/>
      <c r="I801" s="213"/>
      <c r="J801" s="213"/>
      <c r="K801" s="215"/>
      <c r="L801" s="216"/>
      <c r="M801" s="217"/>
      <c r="N801" s="176"/>
      <c r="O801" s="241" t="str">
        <f>IF(Q801 = "", "", COUNT(Q$4:$Q801))</f>
        <v/>
      </c>
      <c r="P801" s="241" t="str">
        <f t="shared" si="100"/>
        <v/>
      </c>
      <c r="Q801" s="242" t="str">
        <f t="shared" si="101"/>
        <v/>
      </c>
      <c r="R801" s="243" t="str">
        <f t="shared" si="103"/>
        <v/>
      </c>
      <c r="S801" s="244" t="str">
        <f t="shared" si="104"/>
        <v/>
      </c>
      <c r="T801" s="245" t="str">
        <f t="shared" si="105"/>
        <v/>
      </c>
      <c r="U801" s="246" t="str">
        <f t="shared" si="106"/>
        <v/>
      </c>
      <c r="V801" s="8"/>
      <c r="AR801" t="str">
        <f t="shared" si="107"/>
        <v/>
      </c>
      <c r="AS801" t="str">
        <f t="shared" si="102"/>
        <v/>
      </c>
    </row>
    <row r="802" spans="1:45" x14ac:dyDescent="0.3">
      <c r="A802" s="231"/>
      <c r="B802" s="235"/>
      <c r="C802" s="214"/>
      <c r="D802" s="214"/>
      <c r="E802" s="214"/>
      <c r="F802" s="214"/>
      <c r="G802" s="222"/>
      <c r="H802" s="221"/>
      <c r="I802" s="213"/>
      <c r="J802" s="213"/>
      <c r="K802" s="215"/>
      <c r="L802" s="216"/>
      <c r="M802" s="217"/>
      <c r="N802" s="176"/>
      <c r="O802" s="241" t="str">
        <f>IF(Q802 = "", "", COUNT(Q$4:$Q802))</f>
        <v/>
      </c>
      <c r="P802" s="241" t="str">
        <f t="shared" si="100"/>
        <v/>
      </c>
      <c r="Q802" s="242" t="str">
        <f t="shared" si="101"/>
        <v/>
      </c>
      <c r="R802" s="243" t="str">
        <f t="shared" si="103"/>
        <v/>
      </c>
      <c r="S802" s="244" t="str">
        <f t="shared" si="104"/>
        <v/>
      </c>
      <c r="T802" s="245" t="str">
        <f t="shared" si="105"/>
        <v/>
      </c>
      <c r="U802" s="246" t="str">
        <f t="shared" si="106"/>
        <v/>
      </c>
      <c r="V802" s="8"/>
      <c r="AR802" t="str">
        <f t="shared" si="107"/>
        <v/>
      </c>
      <c r="AS802" t="str">
        <f t="shared" si="102"/>
        <v/>
      </c>
    </row>
    <row r="803" spans="1:45" x14ac:dyDescent="0.3">
      <c r="A803" s="231"/>
      <c r="B803" s="235"/>
      <c r="C803" s="214"/>
      <c r="D803" s="214"/>
      <c r="E803" s="214"/>
      <c r="F803" s="214"/>
      <c r="G803" s="222"/>
      <c r="H803" s="221"/>
      <c r="I803" s="213"/>
      <c r="J803" s="213"/>
      <c r="K803" s="215"/>
      <c r="L803" s="216"/>
      <c r="M803" s="217"/>
      <c r="N803" s="176"/>
      <c r="O803" s="241" t="str">
        <f>IF(Q803 = "", "", COUNT(Q$4:$Q803))</f>
        <v/>
      </c>
      <c r="P803" s="241" t="str">
        <f t="shared" si="100"/>
        <v/>
      </c>
      <c r="Q803" s="242" t="str">
        <f t="shared" si="101"/>
        <v/>
      </c>
      <c r="R803" s="243" t="str">
        <f t="shared" si="103"/>
        <v/>
      </c>
      <c r="S803" s="244" t="str">
        <f t="shared" si="104"/>
        <v/>
      </c>
      <c r="T803" s="245" t="str">
        <f t="shared" si="105"/>
        <v/>
      </c>
      <c r="U803" s="246" t="str">
        <f t="shared" si="106"/>
        <v/>
      </c>
      <c r="V803" s="8"/>
      <c r="AR803" t="str">
        <f t="shared" si="107"/>
        <v/>
      </c>
      <c r="AS803" t="str">
        <f t="shared" si="102"/>
        <v/>
      </c>
    </row>
    <row r="804" spans="1:45" x14ac:dyDescent="0.3">
      <c r="A804" s="231"/>
      <c r="B804" s="235"/>
      <c r="C804" s="214"/>
      <c r="D804" s="214"/>
      <c r="E804" s="214"/>
      <c r="F804" s="214"/>
      <c r="G804" s="222"/>
      <c r="H804" s="221"/>
      <c r="I804" s="213"/>
      <c r="J804" s="213"/>
      <c r="K804" s="215"/>
      <c r="L804" s="216"/>
      <c r="M804" s="217"/>
      <c r="N804" s="176"/>
      <c r="O804" s="241" t="str">
        <f>IF(Q804 = "", "", COUNT(Q$4:$Q804))</f>
        <v/>
      </c>
      <c r="P804" s="241" t="str">
        <f t="shared" si="100"/>
        <v/>
      </c>
      <c r="Q804" s="242" t="str">
        <f t="shared" si="101"/>
        <v/>
      </c>
      <c r="R804" s="243" t="str">
        <f t="shared" si="103"/>
        <v/>
      </c>
      <c r="S804" s="244" t="str">
        <f t="shared" si="104"/>
        <v/>
      </c>
      <c r="T804" s="245" t="str">
        <f t="shared" si="105"/>
        <v/>
      </c>
      <c r="U804" s="246" t="str">
        <f t="shared" si="106"/>
        <v/>
      </c>
      <c r="V804" s="8"/>
      <c r="AR804" t="str">
        <f t="shared" si="107"/>
        <v/>
      </c>
      <c r="AS804" t="str">
        <f t="shared" si="102"/>
        <v/>
      </c>
    </row>
    <row r="805" spans="1:45" x14ac:dyDescent="0.3">
      <c r="A805" s="231"/>
      <c r="B805" s="235"/>
      <c r="C805" s="214"/>
      <c r="D805" s="214"/>
      <c r="E805" s="214"/>
      <c r="F805" s="214"/>
      <c r="G805" s="222"/>
      <c r="H805" s="221"/>
      <c r="I805" s="213"/>
      <c r="J805" s="213"/>
      <c r="K805" s="215"/>
      <c r="L805" s="216"/>
      <c r="M805" s="217"/>
      <c r="N805" s="176"/>
      <c r="O805" s="241" t="str">
        <f>IF(Q805 = "", "", COUNT(Q$4:$Q805))</f>
        <v/>
      </c>
      <c r="P805" s="241" t="str">
        <f t="shared" si="100"/>
        <v/>
      </c>
      <c r="Q805" s="242" t="str">
        <f t="shared" si="101"/>
        <v/>
      </c>
      <c r="R805" s="243" t="str">
        <f t="shared" si="103"/>
        <v/>
      </c>
      <c r="S805" s="244" t="str">
        <f t="shared" si="104"/>
        <v/>
      </c>
      <c r="T805" s="245" t="str">
        <f t="shared" si="105"/>
        <v/>
      </c>
      <c r="U805" s="246" t="str">
        <f t="shared" si="106"/>
        <v/>
      </c>
      <c r="V805" s="8"/>
      <c r="AR805" t="str">
        <f t="shared" si="107"/>
        <v/>
      </c>
      <c r="AS805" t="str">
        <f t="shared" si="102"/>
        <v/>
      </c>
    </row>
    <row r="806" spans="1:45" x14ac:dyDescent="0.3">
      <c r="A806" s="231"/>
      <c r="B806" s="235"/>
      <c r="C806" s="214"/>
      <c r="D806" s="214"/>
      <c r="E806" s="214"/>
      <c r="F806" s="214"/>
      <c r="G806" s="222"/>
      <c r="H806" s="221"/>
      <c r="I806" s="213"/>
      <c r="J806" s="213"/>
      <c r="K806" s="215"/>
      <c r="L806" s="216"/>
      <c r="M806" s="217"/>
      <c r="N806" s="176"/>
      <c r="O806" s="241" t="str">
        <f>IF(Q806 = "", "", COUNT(Q$4:$Q806))</f>
        <v/>
      </c>
      <c r="P806" s="241" t="str">
        <f t="shared" si="100"/>
        <v/>
      </c>
      <c r="Q806" s="242" t="str">
        <f t="shared" si="101"/>
        <v/>
      </c>
      <c r="R806" s="243" t="str">
        <f t="shared" si="103"/>
        <v/>
      </c>
      <c r="S806" s="244" t="str">
        <f t="shared" si="104"/>
        <v/>
      </c>
      <c r="T806" s="245" t="str">
        <f t="shared" si="105"/>
        <v/>
      </c>
      <c r="U806" s="246" t="str">
        <f t="shared" si="106"/>
        <v/>
      </c>
      <c r="V806" s="8"/>
      <c r="AR806" t="str">
        <f t="shared" si="107"/>
        <v/>
      </c>
      <c r="AS806" t="str">
        <f t="shared" si="102"/>
        <v/>
      </c>
    </row>
    <row r="807" spans="1:45" x14ac:dyDescent="0.3">
      <c r="A807" s="231"/>
      <c r="B807" s="235"/>
      <c r="C807" s="214"/>
      <c r="D807" s="214"/>
      <c r="E807" s="214"/>
      <c r="F807" s="214"/>
      <c r="G807" s="222"/>
      <c r="H807" s="221"/>
      <c r="I807" s="213"/>
      <c r="J807" s="213"/>
      <c r="K807" s="215"/>
      <c r="L807" s="216"/>
      <c r="M807" s="217"/>
      <c r="N807" s="176"/>
      <c r="O807" s="241" t="str">
        <f>IF(Q807 = "", "", COUNT(Q$4:$Q807))</f>
        <v/>
      </c>
      <c r="P807" s="241" t="str">
        <f t="shared" si="100"/>
        <v/>
      </c>
      <c r="Q807" s="242" t="str">
        <f t="shared" si="101"/>
        <v/>
      </c>
      <c r="R807" s="243" t="str">
        <f t="shared" si="103"/>
        <v/>
      </c>
      <c r="S807" s="244" t="str">
        <f t="shared" si="104"/>
        <v/>
      </c>
      <c r="T807" s="245" t="str">
        <f t="shared" si="105"/>
        <v/>
      </c>
      <c r="U807" s="246" t="str">
        <f t="shared" si="106"/>
        <v/>
      </c>
      <c r="V807" s="8"/>
      <c r="AR807" t="str">
        <f t="shared" si="107"/>
        <v/>
      </c>
      <c r="AS807" t="str">
        <f t="shared" si="102"/>
        <v/>
      </c>
    </row>
    <row r="808" spans="1:45" x14ac:dyDescent="0.3">
      <c r="A808" s="231"/>
      <c r="B808" s="235"/>
      <c r="C808" s="214"/>
      <c r="D808" s="214"/>
      <c r="E808" s="214"/>
      <c r="F808" s="214"/>
      <c r="G808" s="222"/>
      <c r="H808" s="221"/>
      <c r="I808" s="213"/>
      <c r="J808" s="213"/>
      <c r="K808" s="215"/>
      <c r="L808" s="216"/>
      <c r="M808" s="217"/>
      <c r="N808" s="176"/>
      <c r="O808" s="241" t="str">
        <f>IF(Q808 = "", "", COUNT(Q$4:$Q808))</f>
        <v/>
      </c>
      <c r="P808" s="241" t="str">
        <f t="shared" si="100"/>
        <v/>
      </c>
      <c r="Q808" s="242" t="str">
        <f t="shared" si="101"/>
        <v/>
      </c>
      <c r="R808" s="243" t="str">
        <f t="shared" si="103"/>
        <v/>
      </c>
      <c r="S808" s="244" t="str">
        <f t="shared" si="104"/>
        <v/>
      </c>
      <c r="T808" s="245" t="str">
        <f t="shared" si="105"/>
        <v/>
      </c>
      <c r="U808" s="246" t="str">
        <f t="shared" si="106"/>
        <v/>
      </c>
      <c r="V808" s="8"/>
      <c r="AR808" t="str">
        <f t="shared" si="107"/>
        <v/>
      </c>
      <c r="AS808" t="str">
        <f t="shared" si="102"/>
        <v/>
      </c>
    </row>
    <row r="809" spans="1:45" x14ac:dyDescent="0.3">
      <c r="A809" s="231"/>
      <c r="B809" s="235"/>
      <c r="C809" s="214"/>
      <c r="D809" s="214"/>
      <c r="E809" s="214"/>
      <c r="F809" s="214"/>
      <c r="G809" s="222"/>
      <c r="H809" s="221"/>
      <c r="I809" s="213"/>
      <c r="J809" s="213"/>
      <c r="K809" s="215"/>
      <c r="L809" s="216"/>
      <c r="M809" s="217"/>
      <c r="N809" s="176"/>
      <c r="O809" s="241" t="str">
        <f>IF(Q809 = "", "", COUNT(Q$4:$Q809))</f>
        <v/>
      </c>
      <c r="P809" s="241" t="str">
        <f t="shared" si="100"/>
        <v/>
      </c>
      <c r="Q809" s="242" t="str">
        <f t="shared" si="101"/>
        <v/>
      </c>
      <c r="R809" s="243" t="str">
        <f t="shared" si="103"/>
        <v/>
      </c>
      <c r="S809" s="244" t="str">
        <f t="shared" si="104"/>
        <v/>
      </c>
      <c r="T809" s="245" t="str">
        <f t="shared" si="105"/>
        <v/>
      </c>
      <c r="U809" s="246" t="str">
        <f t="shared" si="106"/>
        <v/>
      </c>
      <c r="V809" s="8"/>
      <c r="AR809" t="str">
        <f t="shared" si="107"/>
        <v/>
      </c>
      <c r="AS809" t="str">
        <f t="shared" si="102"/>
        <v/>
      </c>
    </row>
    <row r="810" spans="1:45" x14ac:dyDescent="0.3">
      <c r="A810" s="231"/>
      <c r="B810" s="235"/>
      <c r="C810" s="214"/>
      <c r="D810" s="214"/>
      <c r="E810" s="214"/>
      <c r="F810" s="214"/>
      <c r="G810" s="222"/>
      <c r="H810" s="221"/>
      <c r="I810" s="213"/>
      <c r="J810" s="213"/>
      <c r="K810" s="215"/>
      <c r="L810" s="216"/>
      <c r="M810" s="217"/>
      <c r="N810" s="176"/>
      <c r="O810" s="241" t="str">
        <f>IF(Q810 = "", "", COUNT(Q$4:$Q810))</f>
        <v/>
      </c>
      <c r="P810" s="241" t="str">
        <f t="shared" si="100"/>
        <v/>
      </c>
      <c r="Q810" s="242" t="str">
        <f t="shared" si="101"/>
        <v/>
      </c>
      <c r="R810" s="243" t="str">
        <f t="shared" si="103"/>
        <v/>
      </c>
      <c r="S810" s="244" t="str">
        <f t="shared" si="104"/>
        <v/>
      </c>
      <c r="T810" s="245" t="str">
        <f t="shared" si="105"/>
        <v/>
      </c>
      <c r="U810" s="246" t="str">
        <f t="shared" si="106"/>
        <v/>
      </c>
      <c r="V810" s="8"/>
      <c r="AR810" t="str">
        <f t="shared" si="107"/>
        <v/>
      </c>
      <c r="AS810" t="str">
        <f t="shared" si="102"/>
        <v/>
      </c>
    </row>
    <row r="811" spans="1:45" x14ac:dyDescent="0.3">
      <c r="A811" s="231"/>
      <c r="B811" s="235"/>
      <c r="C811" s="214"/>
      <c r="D811" s="214"/>
      <c r="E811" s="214"/>
      <c r="F811" s="214"/>
      <c r="G811" s="222"/>
      <c r="H811" s="221"/>
      <c r="I811" s="213"/>
      <c r="J811" s="213"/>
      <c r="K811" s="215"/>
      <c r="L811" s="216"/>
      <c r="M811" s="217"/>
      <c r="N811" s="176"/>
      <c r="O811" s="241" t="str">
        <f>IF(Q811 = "", "", COUNT(Q$4:$Q811))</f>
        <v/>
      </c>
      <c r="P811" s="241" t="str">
        <f t="shared" si="100"/>
        <v/>
      </c>
      <c r="Q811" s="242" t="str">
        <f t="shared" si="101"/>
        <v/>
      </c>
      <c r="R811" s="243" t="str">
        <f t="shared" si="103"/>
        <v/>
      </c>
      <c r="S811" s="244" t="str">
        <f t="shared" si="104"/>
        <v/>
      </c>
      <c r="T811" s="245" t="str">
        <f t="shared" si="105"/>
        <v/>
      </c>
      <c r="U811" s="246" t="str">
        <f t="shared" si="106"/>
        <v/>
      </c>
      <c r="V811" s="8"/>
      <c r="AR811" t="str">
        <f t="shared" si="107"/>
        <v/>
      </c>
      <c r="AS811" t="str">
        <f t="shared" si="102"/>
        <v/>
      </c>
    </row>
    <row r="812" spans="1:45" x14ac:dyDescent="0.3">
      <c r="A812" s="231"/>
      <c r="B812" s="235"/>
      <c r="C812" s="214"/>
      <c r="D812" s="214"/>
      <c r="E812" s="214"/>
      <c r="F812" s="214"/>
      <c r="G812" s="222"/>
      <c r="H812" s="221"/>
      <c r="I812" s="213"/>
      <c r="J812" s="213"/>
      <c r="K812" s="215"/>
      <c r="L812" s="216"/>
      <c r="M812" s="217"/>
      <c r="N812" s="176"/>
      <c r="O812" s="241" t="str">
        <f>IF(Q812 = "", "", COUNT(Q$4:$Q812))</f>
        <v/>
      </c>
      <c r="P812" s="241" t="str">
        <f t="shared" si="100"/>
        <v/>
      </c>
      <c r="Q812" s="242" t="str">
        <f t="shared" si="101"/>
        <v/>
      </c>
      <c r="R812" s="243" t="str">
        <f t="shared" si="103"/>
        <v/>
      </c>
      <c r="S812" s="244" t="str">
        <f t="shared" si="104"/>
        <v/>
      </c>
      <c r="T812" s="245" t="str">
        <f t="shared" si="105"/>
        <v/>
      </c>
      <c r="U812" s="246" t="str">
        <f t="shared" si="106"/>
        <v/>
      </c>
      <c r="V812" s="8"/>
      <c r="AR812" t="str">
        <f t="shared" si="107"/>
        <v/>
      </c>
      <c r="AS812" t="str">
        <f t="shared" si="102"/>
        <v/>
      </c>
    </row>
    <row r="813" spans="1:45" x14ac:dyDescent="0.3">
      <c r="A813" s="231"/>
      <c r="B813" s="235"/>
      <c r="C813" s="214"/>
      <c r="D813" s="214"/>
      <c r="E813" s="214"/>
      <c r="F813" s="214"/>
      <c r="G813" s="222"/>
      <c r="H813" s="221"/>
      <c r="I813" s="213"/>
      <c r="J813" s="213"/>
      <c r="K813" s="215"/>
      <c r="L813" s="216"/>
      <c r="M813" s="217"/>
      <c r="N813" s="176"/>
      <c r="O813" s="241" t="str">
        <f>IF(Q813 = "", "", COUNT(Q$4:$Q813))</f>
        <v/>
      </c>
      <c r="P813" s="241" t="str">
        <f t="shared" si="100"/>
        <v/>
      </c>
      <c r="Q813" s="242" t="str">
        <f t="shared" si="101"/>
        <v/>
      </c>
      <c r="R813" s="243" t="str">
        <f t="shared" si="103"/>
        <v/>
      </c>
      <c r="S813" s="244" t="str">
        <f t="shared" si="104"/>
        <v/>
      </c>
      <c r="T813" s="245" t="str">
        <f t="shared" si="105"/>
        <v/>
      </c>
      <c r="U813" s="246" t="str">
        <f t="shared" si="106"/>
        <v/>
      </c>
      <c r="V813" s="8"/>
      <c r="AR813" t="str">
        <f t="shared" si="107"/>
        <v/>
      </c>
      <c r="AS813" t="str">
        <f t="shared" si="102"/>
        <v/>
      </c>
    </row>
    <row r="814" spans="1:45" x14ac:dyDescent="0.3">
      <c r="A814" s="231"/>
      <c r="B814" s="235"/>
      <c r="C814" s="214"/>
      <c r="D814" s="214"/>
      <c r="E814" s="214"/>
      <c r="F814" s="214"/>
      <c r="G814" s="222"/>
      <c r="H814" s="221"/>
      <c r="I814" s="213"/>
      <c r="J814" s="213"/>
      <c r="K814" s="215"/>
      <c r="L814" s="216"/>
      <c r="M814" s="217"/>
      <c r="N814" s="176"/>
      <c r="O814" s="241" t="str">
        <f>IF(Q814 = "", "", COUNT(Q$4:$Q814))</f>
        <v/>
      </c>
      <c r="P814" s="241" t="str">
        <f t="shared" si="100"/>
        <v/>
      </c>
      <c r="Q814" s="242" t="str">
        <f t="shared" si="101"/>
        <v/>
      </c>
      <c r="R814" s="243" t="str">
        <f t="shared" si="103"/>
        <v/>
      </c>
      <c r="S814" s="244" t="str">
        <f t="shared" si="104"/>
        <v/>
      </c>
      <c r="T814" s="245" t="str">
        <f t="shared" si="105"/>
        <v/>
      </c>
      <c r="U814" s="246" t="str">
        <f t="shared" si="106"/>
        <v/>
      </c>
      <c r="V814" s="8"/>
      <c r="AR814" t="str">
        <f t="shared" si="107"/>
        <v/>
      </c>
      <c r="AS814" t="str">
        <f t="shared" si="102"/>
        <v/>
      </c>
    </row>
    <row r="815" spans="1:45" x14ac:dyDescent="0.3">
      <c r="A815" s="231"/>
      <c r="B815" s="235"/>
      <c r="C815" s="214"/>
      <c r="D815" s="214"/>
      <c r="E815" s="214"/>
      <c r="F815" s="214"/>
      <c r="G815" s="222"/>
      <c r="H815" s="221"/>
      <c r="I815" s="213"/>
      <c r="J815" s="213"/>
      <c r="K815" s="215"/>
      <c r="L815" s="216"/>
      <c r="M815" s="217"/>
      <c r="N815" s="176"/>
      <c r="O815" s="241" t="str">
        <f>IF(Q815 = "", "", COUNT(Q$4:$Q815))</f>
        <v/>
      </c>
      <c r="P815" s="241" t="str">
        <f t="shared" si="100"/>
        <v/>
      </c>
      <c r="Q815" s="242" t="str">
        <f t="shared" si="101"/>
        <v/>
      </c>
      <c r="R815" s="243" t="str">
        <f t="shared" si="103"/>
        <v/>
      </c>
      <c r="S815" s="244" t="str">
        <f t="shared" si="104"/>
        <v/>
      </c>
      <c r="T815" s="245" t="str">
        <f t="shared" si="105"/>
        <v/>
      </c>
      <c r="U815" s="246" t="str">
        <f t="shared" si="106"/>
        <v/>
      </c>
      <c r="V815" s="8"/>
      <c r="AR815" t="str">
        <f t="shared" si="107"/>
        <v/>
      </c>
      <c r="AS815" t="str">
        <f t="shared" si="102"/>
        <v/>
      </c>
    </row>
    <row r="816" spans="1:45" x14ac:dyDescent="0.3">
      <c r="A816" s="231"/>
      <c r="B816" s="235"/>
      <c r="C816" s="214"/>
      <c r="D816" s="214"/>
      <c r="E816" s="214"/>
      <c r="F816" s="214"/>
      <c r="G816" s="222"/>
      <c r="H816" s="221"/>
      <c r="I816" s="213"/>
      <c r="J816" s="213"/>
      <c r="K816" s="215"/>
      <c r="L816" s="216"/>
      <c r="M816" s="217"/>
      <c r="N816" s="176"/>
      <c r="O816" s="241" t="str">
        <f>IF(Q816 = "", "", COUNT(Q$4:$Q816))</f>
        <v/>
      </c>
      <c r="P816" s="241" t="str">
        <f t="shared" si="100"/>
        <v/>
      </c>
      <c r="Q816" s="242" t="str">
        <f t="shared" si="101"/>
        <v/>
      </c>
      <c r="R816" s="243" t="str">
        <f t="shared" si="103"/>
        <v/>
      </c>
      <c r="S816" s="244" t="str">
        <f t="shared" si="104"/>
        <v/>
      </c>
      <c r="T816" s="245" t="str">
        <f t="shared" si="105"/>
        <v/>
      </c>
      <c r="U816" s="246" t="str">
        <f t="shared" si="106"/>
        <v/>
      </c>
      <c r="V816" s="8"/>
      <c r="AR816" t="str">
        <f t="shared" si="107"/>
        <v/>
      </c>
      <c r="AS816" t="str">
        <f t="shared" si="102"/>
        <v/>
      </c>
    </row>
    <row r="817" spans="1:45" x14ac:dyDescent="0.3">
      <c r="A817" s="231"/>
      <c r="B817" s="235"/>
      <c r="C817" s="214"/>
      <c r="D817" s="214"/>
      <c r="E817" s="214"/>
      <c r="F817" s="214"/>
      <c r="G817" s="222"/>
      <c r="H817" s="221"/>
      <c r="I817" s="213"/>
      <c r="J817" s="213"/>
      <c r="K817" s="215"/>
      <c r="L817" s="216"/>
      <c r="M817" s="217"/>
      <c r="N817" s="176"/>
      <c r="O817" s="241" t="str">
        <f>IF(Q817 = "", "", COUNT(Q$4:$Q817))</f>
        <v/>
      </c>
      <c r="P817" s="241" t="str">
        <f t="shared" si="100"/>
        <v/>
      </c>
      <c r="Q817" s="242" t="str">
        <f t="shared" si="101"/>
        <v/>
      </c>
      <c r="R817" s="243" t="str">
        <f t="shared" si="103"/>
        <v/>
      </c>
      <c r="S817" s="244" t="str">
        <f t="shared" si="104"/>
        <v/>
      </c>
      <c r="T817" s="245" t="str">
        <f t="shared" si="105"/>
        <v/>
      </c>
      <c r="U817" s="246" t="str">
        <f t="shared" si="106"/>
        <v/>
      </c>
      <c r="V817" s="8"/>
      <c r="AR817" t="str">
        <f t="shared" si="107"/>
        <v/>
      </c>
      <c r="AS817" t="str">
        <f t="shared" si="102"/>
        <v/>
      </c>
    </row>
    <row r="818" spans="1:45" x14ac:dyDescent="0.3">
      <c r="A818" s="231"/>
      <c r="B818" s="235"/>
      <c r="C818" s="214"/>
      <c r="D818" s="214"/>
      <c r="E818" s="214"/>
      <c r="F818" s="214"/>
      <c r="G818" s="222"/>
      <c r="H818" s="221"/>
      <c r="I818" s="213"/>
      <c r="J818" s="213"/>
      <c r="K818" s="215"/>
      <c r="L818" s="216"/>
      <c r="M818" s="217"/>
      <c r="N818" s="176"/>
      <c r="O818" s="241" t="str">
        <f>IF(Q818 = "", "", COUNT(Q$4:$Q818))</f>
        <v/>
      </c>
      <c r="P818" s="241" t="str">
        <f t="shared" si="100"/>
        <v/>
      </c>
      <c r="Q818" s="242" t="str">
        <f t="shared" si="101"/>
        <v/>
      </c>
      <c r="R818" s="243" t="str">
        <f t="shared" si="103"/>
        <v/>
      </c>
      <c r="S818" s="244" t="str">
        <f t="shared" si="104"/>
        <v/>
      </c>
      <c r="T818" s="245" t="str">
        <f t="shared" si="105"/>
        <v/>
      </c>
      <c r="U818" s="246" t="str">
        <f t="shared" si="106"/>
        <v/>
      </c>
      <c r="V818" s="8"/>
      <c r="AR818" t="str">
        <f t="shared" si="107"/>
        <v/>
      </c>
      <c r="AS818" t="str">
        <f t="shared" si="102"/>
        <v/>
      </c>
    </row>
    <row r="819" spans="1:45" x14ac:dyDescent="0.3">
      <c r="A819" s="231"/>
      <c r="B819" s="235"/>
      <c r="C819" s="214"/>
      <c r="D819" s="214"/>
      <c r="E819" s="214"/>
      <c r="F819" s="214"/>
      <c r="G819" s="222"/>
      <c r="H819" s="221"/>
      <c r="I819" s="213"/>
      <c r="J819" s="213"/>
      <c r="K819" s="215"/>
      <c r="L819" s="216"/>
      <c r="M819" s="217"/>
      <c r="N819" s="176"/>
      <c r="O819" s="241" t="str">
        <f>IF(Q819 = "", "", COUNT(Q$4:$Q819))</f>
        <v/>
      </c>
      <c r="P819" s="241" t="str">
        <f t="shared" si="100"/>
        <v/>
      </c>
      <c r="Q819" s="242" t="str">
        <f t="shared" si="101"/>
        <v/>
      </c>
      <c r="R819" s="243" t="str">
        <f t="shared" si="103"/>
        <v/>
      </c>
      <c r="S819" s="244" t="str">
        <f t="shared" si="104"/>
        <v/>
      </c>
      <c r="T819" s="245" t="str">
        <f t="shared" si="105"/>
        <v/>
      </c>
      <c r="U819" s="246" t="str">
        <f t="shared" si="106"/>
        <v/>
      </c>
      <c r="V819" s="8"/>
      <c r="AR819" t="str">
        <f t="shared" si="107"/>
        <v/>
      </c>
      <c r="AS819" t="str">
        <f t="shared" si="102"/>
        <v/>
      </c>
    </row>
    <row r="820" spans="1:45" x14ac:dyDescent="0.3">
      <c r="A820" s="231"/>
      <c r="B820" s="235"/>
      <c r="C820" s="214"/>
      <c r="D820" s="214"/>
      <c r="E820" s="214"/>
      <c r="F820" s="214"/>
      <c r="G820" s="222"/>
      <c r="H820" s="221"/>
      <c r="I820" s="213"/>
      <c r="J820" s="213"/>
      <c r="K820" s="215"/>
      <c r="L820" s="216"/>
      <c r="M820" s="217"/>
      <c r="N820" s="176"/>
      <c r="O820" s="241" t="str">
        <f>IF(Q820 = "", "", COUNT(Q$4:$Q820))</f>
        <v/>
      </c>
      <c r="P820" s="241" t="str">
        <f t="shared" si="100"/>
        <v/>
      </c>
      <c r="Q820" s="242" t="str">
        <f t="shared" si="101"/>
        <v/>
      </c>
      <c r="R820" s="243" t="str">
        <f t="shared" si="103"/>
        <v/>
      </c>
      <c r="S820" s="244" t="str">
        <f t="shared" si="104"/>
        <v/>
      </c>
      <c r="T820" s="245" t="str">
        <f t="shared" si="105"/>
        <v/>
      </c>
      <c r="U820" s="246" t="str">
        <f t="shared" si="106"/>
        <v/>
      </c>
      <c r="V820" s="8"/>
      <c r="AR820" t="str">
        <f t="shared" si="107"/>
        <v/>
      </c>
      <c r="AS820" t="str">
        <f t="shared" si="102"/>
        <v/>
      </c>
    </row>
    <row r="821" spans="1:45" x14ac:dyDescent="0.3">
      <c r="A821" s="231"/>
      <c r="B821" s="235"/>
      <c r="C821" s="214"/>
      <c r="D821" s="214"/>
      <c r="E821" s="214"/>
      <c r="F821" s="214"/>
      <c r="G821" s="222"/>
      <c r="H821" s="221"/>
      <c r="I821" s="213"/>
      <c r="J821" s="213"/>
      <c r="K821" s="215"/>
      <c r="L821" s="216"/>
      <c r="M821" s="217"/>
      <c r="N821" s="176"/>
      <c r="O821" s="241" t="str">
        <f>IF(Q821 = "", "", COUNT(Q$4:$Q821))</f>
        <v/>
      </c>
      <c r="P821" s="241" t="str">
        <f t="shared" si="100"/>
        <v/>
      </c>
      <c r="Q821" s="242" t="str">
        <f t="shared" si="101"/>
        <v/>
      </c>
      <c r="R821" s="243" t="str">
        <f t="shared" si="103"/>
        <v/>
      </c>
      <c r="S821" s="244" t="str">
        <f t="shared" si="104"/>
        <v/>
      </c>
      <c r="T821" s="245" t="str">
        <f t="shared" si="105"/>
        <v/>
      </c>
      <c r="U821" s="246" t="str">
        <f t="shared" si="106"/>
        <v/>
      </c>
      <c r="V821" s="8"/>
      <c r="AR821" t="str">
        <f t="shared" si="107"/>
        <v/>
      </c>
      <c r="AS821" t="str">
        <f t="shared" si="102"/>
        <v/>
      </c>
    </row>
    <row r="822" spans="1:45" x14ac:dyDescent="0.3">
      <c r="A822" s="231"/>
      <c r="B822" s="235"/>
      <c r="C822" s="214"/>
      <c r="D822" s="214"/>
      <c r="E822" s="214"/>
      <c r="F822" s="214"/>
      <c r="G822" s="222"/>
      <c r="H822" s="221"/>
      <c r="I822" s="213"/>
      <c r="J822" s="213"/>
      <c r="K822" s="215"/>
      <c r="L822" s="216"/>
      <c r="M822" s="217"/>
      <c r="N822" s="176"/>
      <c r="O822" s="241" t="str">
        <f>IF(Q822 = "", "", COUNT(Q$4:$Q822))</f>
        <v/>
      </c>
      <c r="P822" s="241" t="str">
        <f t="shared" si="100"/>
        <v/>
      </c>
      <c r="Q822" s="242" t="str">
        <f t="shared" si="101"/>
        <v/>
      </c>
      <c r="R822" s="243" t="str">
        <f t="shared" si="103"/>
        <v/>
      </c>
      <c r="S822" s="244" t="str">
        <f t="shared" si="104"/>
        <v/>
      </c>
      <c r="T822" s="245" t="str">
        <f t="shared" si="105"/>
        <v/>
      </c>
      <c r="U822" s="246" t="str">
        <f t="shared" si="106"/>
        <v/>
      </c>
      <c r="V822" s="8"/>
      <c r="AR822" t="str">
        <f t="shared" si="107"/>
        <v/>
      </c>
      <c r="AS822" t="str">
        <f t="shared" si="102"/>
        <v/>
      </c>
    </row>
    <row r="823" spans="1:45" x14ac:dyDescent="0.3">
      <c r="A823" s="231"/>
      <c r="B823" s="235"/>
      <c r="C823" s="214"/>
      <c r="D823" s="214"/>
      <c r="E823" s="214"/>
      <c r="F823" s="214"/>
      <c r="G823" s="222"/>
      <c r="H823" s="221"/>
      <c r="I823" s="213"/>
      <c r="J823" s="213"/>
      <c r="K823" s="215"/>
      <c r="L823" s="216"/>
      <c r="M823" s="217"/>
      <c r="N823" s="176"/>
      <c r="O823" s="241" t="str">
        <f>IF(Q823 = "", "", COUNT(Q$4:$Q823))</f>
        <v/>
      </c>
      <c r="P823" s="241" t="str">
        <f t="shared" si="100"/>
        <v/>
      </c>
      <c r="Q823" s="242" t="str">
        <f t="shared" si="101"/>
        <v/>
      </c>
      <c r="R823" s="243" t="str">
        <f t="shared" si="103"/>
        <v/>
      </c>
      <c r="S823" s="244" t="str">
        <f t="shared" si="104"/>
        <v/>
      </c>
      <c r="T823" s="245" t="str">
        <f t="shared" si="105"/>
        <v/>
      </c>
      <c r="U823" s="246" t="str">
        <f t="shared" si="106"/>
        <v/>
      </c>
      <c r="V823" s="8"/>
      <c r="AR823" t="str">
        <f t="shared" si="107"/>
        <v/>
      </c>
      <c r="AS823" t="str">
        <f t="shared" si="102"/>
        <v/>
      </c>
    </row>
    <row r="824" spans="1:45" x14ac:dyDescent="0.3">
      <c r="A824" s="231"/>
      <c r="B824" s="235"/>
      <c r="C824" s="214"/>
      <c r="D824" s="214"/>
      <c r="E824" s="214"/>
      <c r="F824" s="214"/>
      <c r="G824" s="222"/>
      <c r="H824" s="221"/>
      <c r="I824" s="213"/>
      <c r="J824" s="213"/>
      <c r="K824" s="215"/>
      <c r="L824" s="216"/>
      <c r="M824" s="217"/>
      <c r="N824" s="176"/>
      <c r="O824" s="241" t="str">
        <f>IF(Q824 = "", "", COUNT(Q$4:$Q824))</f>
        <v/>
      </c>
      <c r="P824" s="241" t="str">
        <f t="shared" si="100"/>
        <v/>
      </c>
      <c r="Q824" s="242" t="str">
        <f t="shared" si="101"/>
        <v/>
      </c>
      <c r="R824" s="243" t="str">
        <f t="shared" si="103"/>
        <v/>
      </c>
      <c r="S824" s="244" t="str">
        <f t="shared" si="104"/>
        <v/>
      </c>
      <c r="T824" s="245" t="str">
        <f t="shared" si="105"/>
        <v/>
      </c>
      <c r="U824" s="246" t="str">
        <f t="shared" si="106"/>
        <v/>
      </c>
      <c r="V824" s="8"/>
      <c r="AR824" t="str">
        <f t="shared" si="107"/>
        <v/>
      </c>
      <c r="AS824" t="str">
        <f t="shared" si="102"/>
        <v/>
      </c>
    </row>
    <row r="825" spans="1:45" x14ac:dyDescent="0.3">
      <c r="A825" s="231"/>
      <c r="B825" s="235"/>
      <c r="C825" s="214"/>
      <c r="D825" s="214"/>
      <c r="E825" s="214"/>
      <c r="F825" s="214"/>
      <c r="G825" s="222"/>
      <c r="H825" s="221"/>
      <c r="I825" s="213"/>
      <c r="J825" s="213"/>
      <c r="K825" s="215"/>
      <c r="L825" s="216"/>
      <c r="M825" s="217"/>
      <c r="N825" s="176"/>
      <c r="O825" s="241" t="str">
        <f>IF(Q825 = "", "", COUNT(Q$4:$Q825))</f>
        <v/>
      </c>
      <c r="P825" s="241" t="str">
        <f t="shared" si="100"/>
        <v/>
      </c>
      <c r="Q825" s="242" t="str">
        <f t="shared" si="101"/>
        <v/>
      </c>
      <c r="R825" s="243" t="str">
        <f t="shared" si="103"/>
        <v/>
      </c>
      <c r="S825" s="244" t="str">
        <f t="shared" si="104"/>
        <v/>
      </c>
      <c r="T825" s="245" t="str">
        <f t="shared" si="105"/>
        <v/>
      </c>
      <c r="U825" s="246" t="str">
        <f t="shared" si="106"/>
        <v/>
      </c>
      <c r="V825" s="8"/>
      <c r="AR825" t="str">
        <f t="shared" si="107"/>
        <v/>
      </c>
      <c r="AS825" t="str">
        <f t="shared" si="102"/>
        <v/>
      </c>
    </row>
    <row r="826" spans="1:45" x14ac:dyDescent="0.3">
      <c r="A826" s="231"/>
      <c r="B826" s="235"/>
      <c r="C826" s="214"/>
      <c r="D826" s="214"/>
      <c r="E826" s="214"/>
      <c r="F826" s="214"/>
      <c r="G826" s="222"/>
      <c r="H826" s="221"/>
      <c r="I826" s="213"/>
      <c r="J826" s="213"/>
      <c r="K826" s="215"/>
      <c r="L826" s="216"/>
      <c r="M826" s="217"/>
      <c r="N826" s="176"/>
      <c r="O826" s="241" t="str">
        <f>IF(Q826 = "", "", COUNT(Q$4:$Q826))</f>
        <v/>
      </c>
      <c r="P826" s="241" t="str">
        <f t="shared" si="100"/>
        <v/>
      </c>
      <c r="Q826" s="242" t="str">
        <f t="shared" si="101"/>
        <v/>
      </c>
      <c r="R826" s="243" t="str">
        <f t="shared" si="103"/>
        <v/>
      </c>
      <c r="S826" s="244" t="str">
        <f t="shared" si="104"/>
        <v/>
      </c>
      <c r="T826" s="245" t="str">
        <f t="shared" si="105"/>
        <v/>
      </c>
      <c r="U826" s="246" t="str">
        <f t="shared" si="106"/>
        <v/>
      </c>
      <c r="V826" s="8"/>
      <c r="AR826" t="str">
        <f t="shared" si="107"/>
        <v/>
      </c>
      <c r="AS826" t="str">
        <f t="shared" si="102"/>
        <v/>
      </c>
    </row>
    <row r="827" spans="1:45" x14ac:dyDescent="0.3">
      <c r="A827" s="231"/>
      <c r="B827" s="235"/>
      <c r="C827" s="214"/>
      <c r="D827" s="214"/>
      <c r="E827" s="214"/>
      <c r="F827" s="214"/>
      <c r="G827" s="222"/>
      <c r="H827" s="221"/>
      <c r="I827" s="213"/>
      <c r="J827" s="213"/>
      <c r="K827" s="215"/>
      <c r="L827" s="216"/>
      <c r="M827" s="217"/>
      <c r="N827" s="176"/>
      <c r="O827" s="241" t="str">
        <f>IF(Q827 = "", "", COUNT(Q$4:$Q827))</f>
        <v/>
      </c>
      <c r="P827" s="241" t="str">
        <f t="shared" si="100"/>
        <v/>
      </c>
      <c r="Q827" s="242" t="str">
        <f t="shared" si="101"/>
        <v/>
      </c>
      <c r="R827" s="243" t="str">
        <f t="shared" si="103"/>
        <v/>
      </c>
      <c r="S827" s="244" t="str">
        <f t="shared" si="104"/>
        <v/>
      </c>
      <c r="T827" s="245" t="str">
        <f t="shared" si="105"/>
        <v/>
      </c>
      <c r="U827" s="246" t="str">
        <f t="shared" si="106"/>
        <v/>
      </c>
      <c r="V827" s="8"/>
      <c r="AR827" t="str">
        <f t="shared" si="107"/>
        <v/>
      </c>
      <c r="AS827" t="str">
        <f t="shared" si="102"/>
        <v/>
      </c>
    </row>
    <row r="828" spans="1:45" x14ac:dyDescent="0.3">
      <c r="A828" s="231"/>
      <c r="B828" s="235"/>
      <c r="C828" s="214"/>
      <c r="D828" s="214"/>
      <c r="E828" s="214"/>
      <c r="F828" s="214"/>
      <c r="G828" s="222"/>
      <c r="H828" s="221"/>
      <c r="I828" s="213"/>
      <c r="J828" s="213"/>
      <c r="K828" s="215"/>
      <c r="L828" s="216"/>
      <c r="M828" s="217"/>
      <c r="N828" s="176"/>
      <c r="O828" s="241" t="str">
        <f>IF(Q828 = "", "", COUNT(Q$4:$Q828))</f>
        <v/>
      </c>
      <c r="P828" s="241" t="str">
        <f t="shared" si="100"/>
        <v/>
      </c>
      <c r="Q828" s="242" t="str">
        <f t="shared" si="101"/>
        <v/>
      </c>
      <c r="R828" s="243" t="str">
        <f t="shared" si="103"/>
        <v/>
      </c>
      <c r="S828" s="244" t="str">
        <f t="shared" si="104"/>
        <v/>
      </c>
      <c r="T828" s="245" t="str">
        <f t="shared" si="105"/>
        <v/>
      </c>
      <c r="U828" s="246" t="str">
        <f t="shared" si="106"/>
        <v/>
      </c>
      <c r="V828" s="8"/>
      <c r="AR828" t="str">
        <f t="shared" si="107"/>
        <v/>
      </c>
      <c r="AS828" t="str">
        <f t="shared" si="102"/>
        <v/>
      </c>
    </row>
    <row r="829" spans="1:45" x14ac:dyDescent="0.3">
      <c r="A829" s="231"/>
      <c r="B829" s="235"/>
      <c r="C829" s="214"/>
      <c r="D829" s="214"/>
      <c r="E829" s="214"/>
      <c r="F829" s="214"/>
      <c r="G829" s="222"/>
      <c r="H829" s="221"/>
      <c r="I829" s="213"/>
      <c r="J829" s="213"/>
      <c r="K829" s="215"/>
      <c r="L829" s="216"/>
      <c r="M829" s="217"/>
      <c r="N829" s="176"/>
      <c r="O829" s="241" t="str">
        <f>IF(Q829 = "", "", COUNT(Q$4:$Q829))</f>
        <v/>
      </c>
      <c r="P829" s="241" t="str">
        <f t="shared" si="100"/>
        <v/>
      </c>
      <c r="Q829" s="242" t="str">
        <f t="shared" si="101"/>
        <v/>
      </c>
      <c r="R829" s="243" t="str">
        <f t="shared" si="103"/>
        <v/>
      </c>
      <c r="S829" s="244" t="str">
        <f t="shared" si="104"/>
        <v/>
      </c>
      <c r="T829" s="245" t="str">
        <f t="shared" si="105"/>
        <v/>
      </c>
      <c r="U829" s="246" t="str">
        <f t="shared" si="106"/>
        <v/>
      </c>
      <c r="V829" s="8"/>
      <c r="AR829" t="str">
        <f t="shared" si="107"/>
        <v/>
      </c>
      <c r="AS829" t="str">
        <f t="shared" si="102"/>
        <v/>
      </c>
    </row>
    <row r="830" spans="1:45" x14ac:dyDescent="0.3">
      <c r="A830" s="231"/>
      <c r="B830" s="235"/>
      <c r="C830" s="214"/>
      <c r="D830" s="214"/>
      <c r="E830" s="214"/>
      <c r="F830" s="214"/>
      <c r="G830" s="222"/>
      <c r="H830" s="221"/>
      <c r="I830" s="213"/>
      <c r="J830" s="213"/>
      <c r="K830" s="215"/>
      <c r="L830" s="216"/>
      <c r="M830" s="217"/>
      <c r="N830" s="176"/>
      <c r="O830" s="241" t="str">
        <f>IF(Q830 = "", "", COUNT(Q$4:$Q830))</f>
        <v/>
      </c>
      <c r="P830" s="241" t="str">
        <f t="shared" si="100"/>
        <v/>
      </c>
      <c r="Q830" s="242" t="str">
        <f t="shared" si="101"/>
        <v/>
      </c>
      <c r="R830" s="243" t="str">
        <f t="shared" si="103"/>
        <v/>
      </c>
      <c r="S830" s="244" t="str">
        <f t="shared" si="104"/>
        <v/>
      </c>
      <c r="T830" s="245" t="str">
        <f t="shared" si="105"/>
        <v/>
      </c>
      <c r="U830" s="246" t="str">
        <f t="shared" si="106"/>
        <v/>
      </c>
      <c r="V830" s="8"/>
      <c r="AR830" t="str">
        <f t="shared" si="107"/>
        <v/>
      </c>
      <c r="AS830" t="str">
        <f t="shared" si="102"/>
        <v/>
      </c>
    </row>
    <row r="831" spans="1:45" x14ac:dyDescent="0.3">
      <c r="A831" s="231"/>
      <c r="B831" s="235"/>
      <c r="C831" s="214"/>
      <c r="D831" s="214"/>
      <c r="E831" s="214"/>
      <c r="F831" s="214"/>
      <c r="G831" s="222"/>
      <c r="H831" s="221"/>
      <c r="I831" s="213"/>
      <c r="J831" s="213"/>
      <c r="K831" s="215"/>
      <c r="L831" s="216"/>
      <c r="M831" s="217"/>
      <c r="N831" s="176"/>
      <c r="O831" s="241" t="str">
        <f>IF(Q831 = "", "", COUNT(Q$4:$Q831))</f>
        <v/>
      </c>
      <c r="P831" s="241" t="str">
        <f t="shared" si="100"/>
        <v/>
      </c>
      <c r="Q831" s="242" t="str">
        <f t="shared" si="101"/>
        <v/>
      </c>
      <c r="R831" s="243" t="str">
        <f t="shared" si="103"/>
        <v/>
      </c>
      <c r="S831" s="244" t="str">
        <f t="shared" si="104"/>
        <v/>
      </c>
      <c r="T831" s="245" t="str">
        <f t="shared" si="105"/>
        <v/>
      </c>
      <c r="U831" s="246" t="str">
        <f t="shared" si="106"/>
        <v/>
      </c>
      <c r="V831" s="8"/>
      <c r="AR831" t="str">
        <f t="shared" si="107"/>
        <v/>
      </c>
      <c r="AS831" t="str">
        <f t="shared" si="102"/>
        <v/>
      </c>
    </row>
    <row r="832" spans="1:45" x14ac:dyDescent="0.3">
      <c r="A832" s="231"/>
      <c r="B832" s="235"/>
      <c r="C832" s="214"/>
      <c r="D832" s="214"/>
      <c r="E832" s="214"/>
      <c r="F832" s="214"/>
      <c r="G832" s="222"/>
      <c r="H832" s="221"/>
      <c r="I832" s="213"/>
      <c r="J832" s="213"/>
      <c r="K832" s="215"/>
      <c r="L832" s="216"/>
      <c r="M832" s="217"/>
      <c r="N832" s="176"/>
      <c r="O832" s="241" t="str">
        <f>IF(Q832 = "", "", COUNT(Q$4:$Q832))</f>
        <v/>
      </c>
      <c r="P832" s="241" t="str">
        <f t="shared" si="100"/>
        <v/>
      </c>
      <c r="Q832" s="242" t="str">
        <f t="shared" si="101"/>
        <v/>
      </c>
      <c r="R832" s="243" t="str">
        <f t="shared" si="103"/>
        <v/>
      </c>
      <c r="S832" s="244" t="str">
        <f t="shared" si="104"/>
        <v/>
      </c>
      <c r="T832" s="245" t="str">
        <f t="shared" si="105"/>
        <v/>
      </c>
      <c r="U832" s="246" t="str">
        <f t="shared" si="106"/>
        <v/>
      </c>
      <c r="V832" s="8"/>
      <c r="AR832" t="str">
        <f t="shared" si="107"/>
        <v/>
      </c>
      <c r="AS832" t="str">
        <f t="shared" si="102"/>
        <v/>
      </c>
    </row>
    <row r="833" spans="1:45" x14ac:dyDescent="0.3">
      <c r="A833" s="231"/>
      <c r="B833" s="235"/>
      <c r="C833" s="214"/>
      <c r="D833" s="214"/>
      <c r="E833" s="214"/>
      <c r="F833" s="214"/>
      <c r="G833" s="222"/>
      <c r="H833" s="221"/>
      <c r="I833" s="213"/>
      <c r="J833" s="213"/>
      <c r="K833" s="215"/>
      <c r="L833" s="216"/>
      <c r="M833" s="217"/>
      <c r="N833" s="176"/>
      <c r="O833" s="241" t="str">
        <f>IF(Q833 = "", "", COUNT(Q$4:$Q833))</f>
        <v/>
      </c>
      <c r="P833" s="241" t="str">
        <f t="shared" si="100"/>
        <v/>
      </c>
      <c r="Q833" s="242" t="str">
        <f t="shared" si="101"/>
        <v/>
      </c>
      <c r="R833" s="243" t="str">
        <f t="shared" si="103"/>
        <v/>
      </c>
      <c r="S833" s="244" t="str">
        <f t="shared" si="104"/>
        <v/>
      </c>
      <c r="T833" s="245" t="str">
        <f t="shared" si="105"/>
        <v/>
      </c>
      <c r="U833" s="246" t="str">
        <f t="shared" si="106"/>
        <v/>
      </c>
      <c r="V833" s="8"/>
      <c r="AR833" t="str">
        <f t="shared" si="107"/>
        <v/>
      </c>
      <c r="AS833" t="str">
        <f t="shared" si="102"/>
        <v/>
      </c>
    </row>
    <row r="834" spans="1:45" x14ac:dyDescent="0.3">
      <c r="A834" s="231"/>
      <c r="B834" s="235"/>
      <c r="C834" s="214"/>
      <c r="D834" s="214"/>
      <c r="E834" s="214"/>
      <c r="F834" s="214"/>
      <c r="G834" s="222"/>
      <c r="H834" s="221"/>
      <c r="I834" s="213"/>
      <c r="J834" s="213"/>
      <c r="K834" s="215"/>
      <c r="L834" s="216"/>
      <c r="M834" s="217"/>
      <c r="N834" s="176"/>
      <c r="O834" s="241" t="str">
        <f>IF(Q834 = "", "", COUNT(Q$4:$Q834))</f>
        <v/>
      </c>
      <c r="P834" s="241" t="str">
        <f t="shared" si="100"/>
        <v/>
      </c>
      <c r="Q834" s="242" t="str">
        <f t="shared" si="101"/>
        <v/>
      </c>
      <c r="R834" s="243" t="str">
        <f t="shared" si="103"/>
        <v/>
      </c>
      <c r="S834" s="244" t="str">
        <f t="shared" si="104"/>
        <v/>
      </c>
      <c r="T834" s="245" t="str">
        <f t="shared" si="105"/>
        <v/>
      </c>
      <c r="U834" s="246" t="str">
        <f t="shared" si="106"/>
        <v/>
      </c>
      <c r="V834" s="8"/>
      <c r="AR834" t="str">
        <f t="shared" si="107"/>
        <v/>
      </c>
      <c r="AS834" t="str">
        <f t="shared" si="102"/>
        <v/>
      </c>
    </row>
    <row r="835" spans="1:45" x14ac:dyDescent="0.3">
      <c r="A835" s="231"/>
      <c r="B835" s="235"/>
      <c r="C835" s="214"/>
      <c r="D835" s="214"/>
      <c r="E835" s="214"/>
      <c r="F835" s="214"/>
      <c r="G835" s="222"/>
      <c r="H835" s="221"/>
      <c r="I835" s="213"/>
      <c r="J835" s="213"/>
      <c r="K835" s="215"/>
      <c r="L835" s="216"/>
      <c r="M835" s="217"/>
      <c r="N835" s="176"/>
      <c r="O835" s="241" t="str">
        <f>IF(Q835 = "", "", COUNT(Q$4:$Q835))</f>
        <v/>
      </c>
      <c r="P835" s="241" t="str">
        <f t="shared" si="100"/>
        <v/>
      </c>
      <c r="Q835" s="242" t="str">
        <f t="shared" si="101"/>
        <v/>
      </c>
      <c r="R835" s="243" t="str">
        <f t="shared" si="103"/>
        <v/>
      </c>
      <c r="S835" s="244" t="str">
        <f t="shared" si="104"/>
        <v/>
      </c>
      <c r="T835" s="245" t="str">
        <f t="shared" si="105"/>
        <v/>
      </c>
      <c r="U835" s="246" t="str">
        <f t="shared" si="106"/>
        <v/>
      </c>
      <c r="V835" s="8"/>
      <c r="AR835" t="str">
        <f t="shared" si="107"/>
        <v/>
      </c>
      <c r="AS835" t="str">
        <f t="shared" si="102"/>
        <v/>
      </c>
    </row>
    <row r="836" spans="1:45" x14ac:dyDescent="0.3">
      <c r="A836" s="231"/>
      <c r="B836" s="235"/>
      <c r="C836" s="214"/>
      <c r="D836" s="214"/>
      <c r="E836" s="214"/>
      <c r="F836" s="214"/>
      <c r="G836" s="222"/>
      <c r="H836" s="221"/>
      <c r="I836" s="213"/>
      <c r="J836" s="213"/>
      <c r="K836" s="215"/>
      <c r="L836" s="216"/>
      <c r="M836" s="217"/>
      <c r="N836" s="176"/>
      <c r="O836" s="241" t="str">
        <f>IF(Q836 = "", "", COUNT(Q$4:$Q836))</f>
        <v/>
      </c>
      <c r="P836" s="241" t="str">
        <f t="shared" ref="P836:P899" si="108">IF(C836 &gt; 0, YEAR(B836), "")</f>
        <v/>
      </c>
      <c r="Q836" s="242" t="str">
        <f t="shared" ref="Q836:Q899" si="109">IF(A836="", "", IF(G836="",1,IF(G836="O",1,IF(G836="C",8.4,IF(G836="B",8.4,IF(G836="A",76.8,IF(G836="K",76.8,"ERR")))))))</f>
        <v/>
      </c>
      <c r="R836" s="243" t="str">
        <f t="shared" si="103"/>
        <v/>
      </c>
      <c r="S836" s="244" t="str">
        <f t="shared" si="104"/>
        <v/>
      </c>
      <c r="T836" s="245" t="str">
        <f t="shared" si="105"/>
        <v/>
      </c>
      <c r="U836" s="246" t="str">
        <f t="shared" si="106"/>
        <v/>
      </c>
      <c r="V836" s="8"/>
      <c r="AR836" t="str">
        <f t="shared" si="107"/>
        <v/>
      </c>
      <c r="AS836" t="str">
        <f t="shared" ref="AS836:AS899" si="110">IF(OR(L836="Y",M836="Y"),"Y","")</f>
        <v/>
      </c>
    </row>
    <row r="837" spans="1:45" x14ac:dyDescent="0.3">
      <c r="A837" s="231"/>
      <c r="B837" s="235"/>
      <c r="C837" s="214"/>
      <c r="D837" s="214"/>
      <c r="E837" s="214"/>
      <c r="F837" s="214"/>
      <c r="G837" s="222"/>
      <c r="H837" s="221"/>
      <c r="I837" s="213"/>
      <c r="J837" s="213"/>
      <c r="K837" s="215"/>
      <c r="L837" s="216"/>
      <c r="M837" s="217"/>
      <c r="N837" s="176"/>
      <c r="O837" s="241" t="str">
        <f>IF(Q837 = "", "", COUNT(Q$4:$Q837))</f>
        <v/>
      </c>
      <c r="P837" s="241" t="str">
        <f t="shared" si="108"/>
        <v/>
      </c>
      <c r="Q837" s="242" t="str">
        <f t="shared" si="109"/>
        <v/>
      </c>
      <c r="R837" s="243" t="str">
        <f t="shared" ref="R837:R900" si="111">IF(L837&lt;&gt;"",Q837,"")</f>
        <v/>
      </c>
      <c r="S837" s="244" t="str">
        <f t="shared" ref="S837:S900" si="112">IF(IF(L837&lt;&gt;"",G837,"")=0, "O", IF(L837&lt;&gt;"",G837,""))</f>
        <v/>
      </c>
      <c r="T837" s="245" t="str">
        <f t="shared" ref="T837:T900" si="113">IF(M837&lt;&gt;"",Q837,"")</f>
        <v/>
      </c>
      <c r="U837" s="246" t="str">
        <f t="shared" ref="U837:U900" si="114">IF(IF(M837&lt;&gt;"",G837,"")=0, "O", IF(M837&lt;&gt;"",G837,""))</f>
        <v/>
      </c>
      <c r="V837" s="8"/>
      <c r="AR837" t="str">
        <f t="shared" ref="AR837:AR900" si="115">IF(O837&gt;0, O837, "")</f>
        <v/>
      </c>
      <c r="AS837" t="str">
        <f t="shared" si="110"/>
        <v/>
      </c>
    </row>
    <row r="838" spans="1:45" x14ac:dyDescent="0.3">
      <c r="A838" s="231"/>
      <c r="B838" s="235"/>
      <c r="C838" s="214"/>
      <c r="D838" s="214"/>
      <c r="E838" s="214"/>
      <c r="F838" s="214"/>
      <c r="G838" s="222"/>
      <c r="H838" s="221"/>
      <c r="I838" s="213"/>
      <c r="J838" s="213"/>
      <c r="K838" s="215"/>
      <c r="L838" s="216"/>
      <c r="M838" s="217"/>
      <c r="N838" s="176"/>
      <c r="O838" s="241" t="str">
        <f>IF(Q838 = "", "", COUNT(Q$4:$Q838))</f>
        <v/>
      </c>
      <c r="P838" s="241" t="str">
        <f t="shared" si="108"/>
        <v/>
      </c>
      <c r="Q838" s="242" t="str">
        <f t="shared" si="109"/>
        <v/>
      </c>
      <c r="R838" s="243" t="str">
        <f t="shared" si="111"/>
        <v/>
      </c>
      <c r="S838" s="244" t="str">
        <f t="shared" si="112"/>
        <v/>
      </c>
      <c r="T838" s="245" t="str">
        <f t="shared" si="113"/>
        <v/>
      </c>
      <c r="U838" s="246" t="str">
        <f t="shared" si="114"/>
        <v/>
      </c>
      <c r="V838" s="8"/>
      <c r="AR838" t="str">
        <f t="shared" si="115"/>
        <v/>
      </c>
      <c r="AS838" t="str">
        <f t="shared" si="110"/>
        <v/>
      </c>
    </row>
    <row r="839" spans="1:45" x14ac:dyDescent="0.3">
      <c r="A839" s="231"/>
      <c r="B839" s="235"/>
      <c r="C839" s="214"/>
      <c r="D839" s="214"/>
      <c r="E839" s="214"/>
      <c r="F839" s="214"/>
      <c r="G839" s="222"/>
      <c r="H839" s="221"/>
      <c r="I839" s="213"/>
      <c r="J839" s="213"/>
      <c r="K839" s="215"/>
      <c r="L839" s="216"/>
      <c r="M839" s="217"/>
      <c r="N839" s="176"/>
      <c r="O839" s="241" t="str">
        <f>IF(Q839 = "", "", COUNT(Q$4:$Q839))</f>
        <v/>
      </c>
      <c r="P839" s="241" t="str">
        <f t="shared" si="108"/>
        <v/>
      </c>
      <c r="Q839" s="242" t="str">
        <f t="shared" si="109"/>
        <v/>
      </c>
      <c r="R839" s="243" t="str">
        <f t="shared" si="111"/>
        <v/>
      </c>
      <c r="S839" s="244" t="str">
        <f t="shared" si="112"/>
        <v/>
      </c>
      <c r="T839" s="245" t="str">
        <f t="shared" si="113"/>
        <v/>
      </c>
      <c r="U839" s="246" t="str">
        <f t="shared" si="114"/>
        <v/>
      </c>
      <c r="V839" s="8"/>
      <c r="AR839" t="str">
        <f t="shared" si="115"/>
        <v/>
      </c>
      <c r="AS839" t="str">
        <f t="shared" si="110"/>
        <v/>
      </c>
    </row>
    <row r="840" spans="1:45" x14ac:dyDescent="0.3">
      <c r="A840" s="231"/>
      <c r="B840" s="235"/>
      <c r="C840" s="214"/>
      <c r="D840" s="214"/>
      <c r="E840" s="214"/>
      <c r="F840" s="214"/>
      <c r="G840" s="222"/>
      <c r="H840" s="221"/>
      <c r="I840" s="213"/>
      <c r="J840" s="213"/>
      <c r="K840" s="215"/>
      <c r="L840" s="216"/>
      <c r="M840" s="217"/>
      <c r="N840" s="176"/>
      <c r="O840" s="241" t="str">
        <f>IF(Q840 = "", "", COUNT(Q$4:$Q840))</f>
        <v/>
      </c>
      <c r="P840" s="241" t="str">
        <f t="shared" si="108"/>
        <v/>
      </c>
      <c r="Q840" s="242" t="str">
        <f t="shared" si="109"/>
        <v/>
      </c>
      <c r="R840" s="243" t="str">
        <f t="shared" si="111"/>
        <v/>
      </c>
      <c r="S840" s="244" t="str">
        <f t="shared" si="112"/>
        <v/>
      </c>
      <c r="T840" s="245" t="str">
        <f t="shared" si="113"/>
        <v/>
      </c>
      <c r="U840" s="246" t="str">
        <f t="shared" si="114"/>
        <v/>
      </c>
      <c r="V840" s="8"/>
      <c r="AR840" t="str">
        <f t="shared" si="115"/>
        <v/>
      </c>
      <c r="AS840" t="str">
        <f t="shared" si="110"/>
        <v/>
      </c>
    </row>
    <row r="841" spans="1:45" x14ac:dyDescent="0.3">
      <c r="A841" s="231"/>
      <c r="B841" s="235"/>
      <c r="C841" s="214"/>
      <c r="D841" s="214"/>
      <c r="E841" s="214"/>
      <c r="F841" s="214"/>
      <c r="G841" s="222"/>
      <c r="H841" s="221"/>
      <c r="I841" s="213"/>
      <c r="J841" s="213"/>
      <c r="K841" s="215"/>
      <c r="L841" s="216"/>
      <c r="M841" s="217"/>
      <c r="N841" s="176"/>
      <c r="O841" s="241" t="str">
        <f>IF(Q841 = "", "", COUNT(Q$4:$Q841))</f>
        <v/>
      </c>
      <c r="P841" s="241" t="str">
        <f t="shared" si="108"/>
        <v/>
      </c>
      <c r="Q841" s="242" t="str">
        <f t="shared" si="109"/>
        <v/>
      </c>
      <c r="R841" s="243" t="str">
        <f t="shared" si="111"/>
        <v/>
      </c>
      <c r="S841" s="244" t="str">
        <f t="shared" si="112"/>
        <v/>
      </c>
      <c r="T841" s="245" t="str">
        <f t="shared" si="113"/>
        <v/>
      </c>
      <c r="U841" s="246" t="str">
        <f t="shared" si="114"/>
        <v/>
      </c>
      <c r="V841" s="8"/>
      <c r="AR841" t="str">
        <f t="shared" si="115"/>
        <v/>
      </c>
      <c r="AS841" t="str">
        <f t="shared" si="110"/>
        <v/>
      </c>
    </row>
    <row r="842" spans="1:45" x14ac:dyDescent="0.3">
      <c r="A842" s="231"/>
      <c r="B842" s="235"/>
      <c r="C842" s="214"/>
      <c r="D842" s="214"/>
      <c r="E842" s="214"/>
      <c r="F842" s="214"/>
      <c r="G842" s="222"/>
      <c r="H842" s="221"/>
      <c r="I842" s="213"/>
      <c r="J842" s="213"/>
      <c r="K842" s="215"/>
      <c r="L842" s="216"/>
      <c r="M842" s="217"/>
      <c r="N842" s="176"/>
      <c r="O842" s="241" t="str">
        <f>IF(Q842 = "", "", COUNT(Q$4:$Q842))</f>
        <v/>
      </c>
      <c r="P842" s="241" t="str">
        <f t="shared" si="108"/>
        <v/>
      </c>
      <c r="Q842" s="242" t="str">
        <f t="shared" si="109"/>
        <v/>
      </c>
      <c r="R842" s="243" t="str">
        <f t="shared" si="111"/>
        <v/>
      </c>
      <c r="S842" s="244" t="str">
        <f t="shared" si="112"/>
        <v/>
      </c>
      <c r="T842" s="245" t="str">
        <f t="shared" si="113"/>
        <v/>
      </c>
      <c r="U842" s="246" t="str">
        <f t="shared" si="114"/>
        <v/>
      </c>
      <c r="V842" s="8"/>
      <c r="AR842" t="str">
        <f t="shared" si="115"/>
        <v/>
      </c>
      <c r="AS842" t="str">
        <f t="shared" si="110"/>
        <v/>
      </c>
    </row>
    <row r="843" spans="1:45" x14ac:dyDescent="0.3">
      <c r="A843" s="231"/>
      <c r="B843" s="235"/>
      <c r="C843" s="214"/>
      <c r="D843" s="214"/>
      <c r="E843" s="214"/>
      <c r="F843" s="214"/>
      <c r="G843" s="222"/>
      <c r="H843" s="221"/>
      <c r="I843" s="213"/>
      <c r="J843" s="213"/>
      <c r="K843" s="215"/>
      <c r="L843" s="216"/>
      <c r="M843" s="217"/>
      <c r="N843" s="176"/>
      <c r="O843" s="241" t="str">
        <f>IF(Q843 = "", "", COUNT(Q$4:$Q843))</f>
        <v/>
      </c>
      <c r="P843" s="241" t="str">
        <f t="shared" si="108"/>
        <v/>
      </c>
      <c r="Q843" s="242" t="str">
        <f t="shared" si="109"/>
        <v/>
      </c>
      <c r="R843" s="243" t="str">
        <f t="shared" si="111"/>
        <v/>
      </c>
      <c r="S843" s="244" t="str">
        <f t="shared" si="112"/>
        <v/>
      </c>
      <c r="T843" s="245" t="str">
        <f t="shared" si="113"/>
        <v/>
      </c>
      <c r="U843" s="246" t="str">
        <f t="shared" si="114"/>
        <v/>
      </c>
      <c r="V843" s="8"/>
      <c r="AR843" t="str">
        <f t="shared" si="115"/>
        <v/>
      </c>
      <c r="AS843" t="str">
        <f t="shared" si="110"/>
        <v/>
      </c>
    </row>
    <row r="844" spans="1:45" x14ac:dyDescent="0.3">
      <c r="A844" s="231"/>
      <c r="B844" s="235"/>
      <c r="C844" s="214"/>
      <c r="D844" s="214"/>
      <c r="E844" s="214"/>
      <c r="F844" s="214"/>
      <c r="G844" s="222"/>
      <c r="H844" s="221"/>
      <c r="I844" s="213"/>
      <c r="J844" s="213"/>
      <c r="K844" s="215"/>
      <c r="L844" s="216"/>
      <c r="M844" s="217"/>
      <c r="N844" s="176"/>
      <c r="O844" s="241" t="str">
        <f>IF(Q844 = "", "", COUNT(Q$4:$Q844))</f>
        <v/>
      </c>
      <c r="P844" s="241" t="str">
        <f t="shared" si="108"/>
        <v/>
      </c>
      <c r="Q844" s="242" t="str">
        <f t="shared" si="109"/>
        <v/>
      </c>
      <c r="R844" s="243" t="str">
        <f t="shared" si="111"/>
        <v/>
      </c>
      <c r="S844" s="244" t="str">
        <f t="shared" si="112"/>
        <v/>
      </c>
      <c r="T844" s="245" t="str">
        <f t="shared" si="113"/>
        <v/>
      </c>
      <c r="U844" s="246" t="str">
        <f t="shared" si="114"/>
        <v/>
      </c>
      <c r="V844" s="8"/>
      <c r="AR844" t="str">
        <f t="shared" si="115"/>
        <v/>
      </c>
      <c r="AS844" t="str">
        <f t="shared" si="110"/>
        <v/>
      </c>
    </row>
    <row r="845" spans="1:45" x14ac:dyDescent="0.3">
      <c r="A845" s="231"/>
      <c r="B845" s="235"/>
      <c r="C845" s="214"/>
      <c r="D845" s="214"/>
      <c r="E845" s="214"/>
      <c r="F845" s="214"/>
      <c r="G845" s="222"/>
      <c r="H845" s="221"/>
      <c r="I845" s="213"/>
      <c r="J845" s="213"/>
      <c r="K845" s="215"/>
      <c r="L845" s="216"/>
      <c r="M845" s="217"/>
      <c r="N845" s="176"/>
      <c r="O845" s="241" t="str">
        <f>IF(Q845 = "", "", COUNT(Q$4:$Q845))</f>
        <v/>
      </c>
      <c r="P845" s="241" t="str">
        <f t="shared" si="108"/>
        <v/>
      </c>
      <c r="Q845" s="242" t="str">
        <f t="shared" si="109"/>
        <v/>
      </c>
      <c r="R845" s="243" t="str">
        <f t="shared" si="111"/>
        <v/>
      </c>
      <c r="S845" s="244" t="str">
        <f t="shared" si="112"/>
        <v/>
      </c>
      <c r="T845" s="245" t="str">
        <f t="shared" si="113"/>
        <v/>
      </c>
      <c r="U845" s="246" t="str">
        <f t="shared" si="114"/>
        <v/>
      </c>
      <c r="V845" s="8"/>
      <c r="AR845" t="str">
        <f t="shared" si="115"/>
        <v/>
      </c>
      <c r="AS845" t="str">
        <f t="shared" si="110"/>
        <v/>
      </c>
    </row>
    <row r="846" spans="1:45" x14ac:dyDescent="0.3">
      <c r="A846" s="231"/>
      <c r="B846" s="235"/>
      <c r="C846" s="214"/>
      <c r="D846" s="214"/>
      <c r="E846" s="214"/>
      <c r="F846" s="214"/>
      <c r="G846" s="222"/>
      <c r="H846" s="221"/>
      <c r="I846" s="213"/>
      <c r="J846" s="213"/>
      <c r="K846" s="215"/>
      <c r="L846" s="216"/>
      <c r="M846" s="217"/>
      <c r="N846" s="176"/>
      <c r="O846" s="241" t="str">
        <f>IF(Q846 = "", "", COUNT(Q$4:$Q846))</f>
        <v/>
      </c>
      <c r="P846" s="241" t="str">
        <f t="shared" si="108"/>
        <v/>
      </c>
      <c r="Q846" s="242" t="str">
        <f t="shared" si="109"/>
        <v/>
      </c>
      <c r="R846" s="243" t="str">
        <f t="shared" si="111"/>
        <v/>
      </c>
      <c r="S846" s="244" t="str">
        <f t="shared" si="112"/>
        <v/>
      </c>
      <c r="T846" s="245" t="str">
        <f t="shared" si="113"/>
        <v/>
      </c>
      <c r="U846" s="246" t="str">
        <f t="shared" si="114"/>
        <v/>
      </c>
      <c r="V846" s="8"/>
      <c r="AR846" t="str">
        <f t="shared" si="115"/>
        <v/>
      </c>
      <c r="AS846" t="str">
        <f t="shared" si="110"/>
        <v/>
      </c>
    </row>
    <row r="847" spans="1:45" x14ac:dyDescent="0.3">
      <c r="A847" s="231"/>
      <c r="B847" s="235"/>
      <c r="C847" s="214"/>
      <c r="D847" s="214"/>
      <c r="E847" s="214"/>
      <c r="F847" s="214"/>
      <c r="G847" s="222"/>
      <c r="H847" s="221"/>
      <c r="I847" s="213"/>
      <c r="J847" s="213"/>
      <c r="K847" s="215"/>
      <c r="L847" s="216"/>
      <c r="M847" s="217"/>
      <c r="N847" s="176"/>
      <c r="O847" s="241" t="str">
        <f>IF(Q847 = "", "", COUNT(Q$4:$Q847))</f>
        <v/>
      </c>
      <c r="P847" s="241" t="str">
        <f t="shared" si="108"/>
        <v/>
      </c>
      <c r="Q847" s="242" t="str">
        <f t="shared" si="109"/>
        <v/>
      </c>
      <c r="R847" s="243" t="str">
        <f t="shared" si="111"/>
        <v/>
      </c>
      <c r="S847" s="244" t="str">
        <f t="shared" si="112"/>
        <v/>
      </c>
      <c r="T847" s="245" t="str">
        <f t="shared" si="113"/>
        <v/>
      </c>
      <c r="U847" s="246" t="str">
        <f t="shared" si="114"/>
        <v/>
      </c>
      <c r="V847" s="8"/>
      <c r="AR847" t="str">
        <f t="shared" si="115"/>
        <v/>
      </c>
      <c r="AS847" t="str">
        <f t="shared" si="110"/>
        <v/>
      </c>
    </row>
    <row r="848" spans="1:45" x14ac:dyDescent="0.3">
      <c r="A848" s="231"/>
      <c r="B848" s="235"/>
      <c r="C848" s="214"/>
      <c r="D848" s="214"/>
      <c r="E848" s="214"/>
      <c r="F848" s="214"/>
      <c r="G848" s="222"/>
      <c r="H848" s="221"/>
      <c r="I848" s="213"/>
      <c r="J848" s="213"/>
      <c r="K848" s="215"/>
      <c r="L848" s="216"/>
      <c r="M848" s="217"/>
      <c r="N848" s="176"/>
      <c r="O848" s="241" t="str">
        <f>IF(Q848 = "", "", COUNT(Q$4:$Q848))</f>
        <v/>
      </c>
      <c r="P848" s="241" t="str">
        <f t="shared" si="108"/>
        <v/>
      </c>
      <c r="Q848" s="242" t="str">
        <f t="shared" si="109"/>
        <v/>
      </c>
      <c r="R848" s="243" t="str">
        <f t="shared" si="111"/>
        <v/>
      </c>
      <c r="S848" s="244" t="str">
        <f t="shared" si="112"/>
        <v/>
      </c>
      <c r="T848" s="245" t="str">
        <f t="shared" si="113"/>
        <v/>
      </c>
      <c r="U848" s="246" t="str">
        <f t="shared" si="114"/>
        <v/>
      </c>
      <c r="V848" s="8"/>
      <c r="AR848" t="str">
        <f t="shared" si="115"/>
        <v/>
      </c>
      <c r="AS848" t="str">
        <f t="shared" si="110"/>
        <v/>
      </c>
    </row>
    <row r="849" spans="1:45" x14ac:dyDescent="0.3">
      <c r="A849" s="231"/>
      <c r="B849" s="235"/>
      <c r="C849" s="214"/>
      <c r="D849" s="214"/>
      <c r="E849" s="214"/>
      <c r="F849" s="214"/>
      <c r="G849" s="222"/>
      <c r="H849" s="221"/>
      <c r="I849" s="213"/>
      <c r="J849" s="213"/>
      <c r="K849" s="215"/>
      <c r="L849" s="216"/>
      <c r="M849" s="217"/>
      <c r="N849" s="176"/>
      <c r="O849" s="241" t="str">
        <f>IF(Q849 = "", "", COUNT(Q$4:$Q849))</f>
        <v/>
      </c>
      <c r="P849" s="241" t="str">
        <f t="shared" si="108"/>
        <v/>
      </c>
      <c r="Q849" s="242" t="str">
        <f t="shared" si="109"/>
        <v/>
      </c>
      <c r="R849" s="243" t="str">
        <f t="shared" si="111"/>
        <v/>
      </c>
      <c r="S849" s="244" t="str">
        <f t="shared" si="112"/>
        <v/>
      </c>
      <c r="T849" s="245" t="str">
        <f t="shared" si="113"/>
        <v/>
      </c>
      <c r="U849" s="246" t="str">
        <f t="shared" si="114"/>
        <v/>
      </c>
      <c r="V849" s="8"/>
      <c r="AR849" t="str">
        <f t="shared" si="115"/>
        <v/>
      </c>
      <c r="AS849" t="str">
        <f t="shared" si="110"/>
        <v/>
      </c>
    </row>
    <row r="850" spans="1:45" x14ac:dyDescent="0.3">
      <c r="A850" s="231"/>
      <c r="B850" s="235"/>
      <c r="C850" s="214"/>
      <c r="D850" s="214"/>
      <c r="E850" s="214"/>
      <c r="F850" s="214"/>
      <c r="G850" s="222"/>
      <c r="H850" s="221"/>
      <c r="I850" s="213"/>
      <c r="J850" s="213"/>
      <c r="K850" s="215"/>
      <c r="L850" s="216"/>
      <c r="M850" s="217"/>
      <c r="N850" s="176"/>
      <c r="O850" s="241" t="str">
        <f>IF(Q850 = "", "", COUNT(Q$4:$Q850))</f>
        <v/>
      </c>
      <c r="P850" s="241" t="str">
        <f t="shared" si="108"/>
        <v/>
      </c>
      <c r="Q850" s="242" t="str">
        <f t="shared" si="109"/>
        <v/>
      </c>
      <c r="R850" s="243" t="str">
        <f t="shared" si="111"/>
        <v/>
      </c>
      <c r="S850" s="244" t="str">
        <f t="shared" si="112"/>
        <v/>
      </c>
      <c r="T850" s="245" t="str">
        <f t="shared" si="113"/>
        <v/>
      </c>
      <c r="U850" s="246" t="str">
        <f t="shared" si="114"/>
        <v/>
      </c>
      <c r="V850" s="8"/>
      <c r="AR850" t="str">
        <f t="shared" si="115"/>
        <v/>
      </c>
      <c r="AS850" t="str">
        <f t="shared" si="110"/>
        <v/>
      </c>
    </row>
    <row r="851" spans="1:45" x14ac:dyDescent="0.3">
      <c r="A851" s="231"/>
      <c r="B851" s="235"/>
      <c r="C851" s="214"/>
      <c r="D851" s="214"/>
      <c r="E851" s="214"/>
      <c r="F851" s="214"/>
      <c r="G851" s="222"/>
      <c r="H851" s="221"/>
      <c r="I851" s="213"/>
      <c r="J851" s="213"/>
      <c r="K851" s="215"/>
      <c r="L851" s="216"/>
      <c r="M851" s="217"/>
      <c r="N851" s="176"/>
      <c r="O851" s="241" t="str">
        <f>IF(Q851 = "", "", COUNT(Q$4:$Q851))</f>
        <v/>
      </c>
      <c r="P851" s="241" t="str">
        <f t="shared" si="108"/>
        <v/>
      </c>
      <c r="Q851" s="242" t="str">
        <f t="shared" si="109"/>
        <v/>
      </c>
      <c r="R851" s="243" t="str">
        <f t="shared" si="111"/>
        <v/>
      </c>
      <c r="S851" s="244" t="str">
        <f t="shared" si="112"/>
        <v/>
      </c>
      <c r="T851" s="245" t="str">
        <f t="shared" si="113"/>
        <v/>
      </c>
      <c r="U851" s="246" t="str">
        <f t="shared" si="114"/>
        <v/>
      </c>
      <c r="V851" s="8"/>
      <c r="AR851" t="str">
        <f t="shared" si="115"/>
        <v/>
      </c>
      <c r="AS851" t="str">
        <f t="shared" si="110"/>
        <v/>
      </c>
    </row>
    <row r="852" spans="1:45" x14ac:dyDescent="0.3">
      <c r="A852" s="231"/>
      <c r="B852" s="235"/>
      <c r="C852" s="214"/>
      <c r="D852" s="214"/>
      <c r="E852" s="214"/>
      <c r="F852" s="214"/>
      <c r="G852" s="222"/>
      <c r="H852" s="221"/>
      <c r="I852" s="213"/>
      <c r="J852" s="213"/>
      <c r="K852" s="215"/>
      <c r="L852" s="216"/>
      <c r="M852" s="217"/>
      <c r="N852" s="176"/>
      <c r="O852" s="241" t="str">
        <f>IF(Q852 = "", "", COUNT(Q$4:$Q852))</f>
        <v/>
      </c>
      <c r="P852" s="241" t="str">
        <f t="shared" si="108"/>
        <v/>
      </c>
      <c r="Q852" s="242" t="str">
        <f t="shared" si="109"/>
        <v/>
      </c>
      <c r="R852" s="243" t="str">
        <f t="shared" si="111"/>
        <v/>
      </c>
      <c r="S852" s="244" t="str">
        <f t="shared" si="112"/>
        <v/>
      </c>
      <c r="T852" s="245" t="str">
        <f t="shared" si="113"/>
        <v/>
      </c>
      <c r="U852" s="246" t="str">
        <f t="shared" si="114"/>
        <v/>
      </c>
      <c r="V852" s="8"/>
      <c r="AR852" t="str">
        <f t="shared" si="115"/>
        <v/>
      </c>
      <c r="AS852" t="str">
        <f t="shared" si="110"/>
        <v/>
      </c>
    </row>
    <row r="853" spans="1:45" x14ac:dyDescent="0.3">
      <c r="A853" s="231"/>
      <c r="B853" s="235"/>
      <c r="C853" s="214"/>
      <c r="D853" s="214"/>
      <c r="E853" s="214"/>
      <c r="F853" s="214"/>
      <c r="G853" s="222"/>
      <c r="H853" s="221"/>
      <c r="I853" s="213"/>
      <c r="J853" s="213"/>
      <c r="K853" s="215"/>
      <c r="L853" s="216"/>
      <c r="M853" s="217"/>
      <c r="N853" s="176"/>
      <c r="O853" s="241" t="str">
        <f>IF(Q853 = "", "", COUNT(Q$4:$Q853))</f>
        <v/>
      </c>
      <c r="P853" s="241" t="str">
        <f t="shared" si="108"/>
        <v/>
      </c>
      <c r="Q853" s="242" t="str">
        <f t="shared" si="109"/>
        <v/>
      </c>
      <c r="R853" s="243" t="str">
        <f t="shared" si="111"/>
        <v/>
      </c>
      <c r="S853" s="244" t="str">
        <f t="shared" si="112"/>
        <v/>
      </c>
      <c r="T853" s="245" t="str">
        <f t="shared" si="113"/>
        <v/>
      </c>
      <c r="U853" s="246" t="str">
        <f t="shared" si="114"/>
        <v/>
      </c>
      <c r="V853" s="8"/>
      <c r="AR853" t="str">
        <f t="shared" si="115"/>
        <v/>
      </c>
      <c r="AS853" t="str">
        <f t="shared" si="110"/>
        <v/>
      </c>
    </row>
    <row r="854" spans="1:45" x14ac:dyDescent="0.3">
      <c r="A854" s="231"/>
      <c r="B854" s="235"/>
      <c r="C854" s="214"/>
      <c r="D854" s="214"/>
      <c r="E854" s="214"/>
      <c r="F854" s="214"/>
      <c r="G854" s="222"/>
      <c r="H854" s="221"/>
      <c r="I854" s="213"/>
      <c r="J854" s="213"/>
      <c r="K854" s="215"/>
      <c r="L854" s="216"/>
      <c r="M854" s="217"/>
      <c r="N854" s="176"/>
      <c r="O854" s="241" t="str">
        <f>IF(Q854 = "", "", COUNT(Q$4:$Q854))</f>
        <v/>
      </c>
      <c r="P854" s="241" t="str">
        <f t="shared" si="108"/>
        <v/>
      </c>
      <c r="Q854" s="242" t="str">
        <f t="shared" si="109"/>
        <v/>
      </c>
      <c r="R854" s="243" t="str">
        <f t="shared" si="111"/>
        <v/>
      </c>
      <c r="S854" s="244" t="str">
        <f t="shared" si="112"/>
        <v/>
      </c>
      <c r="T854" s="245" t="str">
        <f t="shared" si="113"/>
        <v/>
      </c>
      <c r="U854" s="246" t="str">
        <f t="shared" si="114"/>
        <v/>
      </c>
      <c r="V854" s="8"/>
      <c r="AR854" t="str">
        <f t="shared" si="115"/>
        <v/>
      </c>
      <c r="AS854" t="str">
        <f t="shared" si="110"/>
        <v/>
      </c>
    </row>
    <row r="855" spans="1:45" x14ac:dyDescent="0.3">
      <c r="A855" s="231"/>
      <c r="B855" s="235"/>
      <c r="C855" s="214"/>
      <c r="D855" s="214"/>
      <c r="E855" s="214"/>
      <c r="F855" s="214"/>
      <c r="G855" s="222"/>
      <c r="H855" s="221"/>
      <c r="I855" s="213"/>
      <c r="J855" s="213"/>
      <c r="K855" s="215"/>
      <c r="L855" s="216"/>
      <c r="M855" s="217"/>
      <c r="N855" s="176"/>
      <c r="O855" s="241" t="str">
        <f>IF(Q855 = "", "", COUNT(Q$4:$Q855))</f>
        <v/>
      </c>
      <c r="P855" s="241" t="str">
        <f t="shared" si="108"/>
        <v/>
      </c>
      <c r="Q855" s="242" t="str">
        <f t="shared" si="109"/>
        <v/>
      </c>
      <c r="R855" s="243" t="str">
        <f t="shared" si="111"/>
        <v/>
      </c>
      <c r="S855" s="244" t="str">
        <f t="shared" si="112"/>
        <v/>
      </c>
      <c r="T855" s="245" t="str">
        <f t="shared" si="113"/>
        <v/>
      </c>
      <c r="U855" s="246" t="str">
        <f t="shared" si="114"/>
        <v/>
      </c>
      <c r="V855" s="8"/>
      <c r="AR855" t="str">
        <f t="shared" si="115"/>
        <v/>
      </c>
      <c r="AS855" t="str">
        <f t="shared" si="110"/>
        <v/>
      </c>
    </row>
    <row r="856" spans="1:45" x14ac:dyDescent="0.3">
      <c r="A856" s="231"/>
      <c r="B856" s="235"/>
      <c r="C856" s="214"/>
      <c r="D856" s="214"/>
      <c r="E856" s="214"/>
      <c r="F856" s="214"/>
      <c r="G856" s="222"/>
      <c r="H856" s="221"/>
      <c r="I856" s="213"/>
      <c r="J856" s="213"/>
      <c r="K856" s="215"/>
      <c r="L856" s="216"/>
      <c r="M856" s="217"/>
      <c r="N856" s="176"/>
      <c r="O856" s="241" t="str">
        <f>IF(Q856 = "", "", COUNT(Q$4:$Q856))</f>
        <v/>
      </c>
      <c r="P856" s="241" t="str">
        <f t="shared" si="108"/>
        <v/>
      </c>
      <c r="Q856" s="242" t="str">
        <f t="shared" si="109"/>
        <v/>
      </c>
      <c r="R856" s="243" t="str">
        <f t="shared" si="111"/>
        <v/>
      </c>
      <c r="S856" s="244" t="str">
        <f t="shared" si="112"/>
        <v/>
      </c>
      <c r="T856" s="245" t="str">
        <f t="shared" si="113"/>
        <v/>
      </c>
      <c r="U856" s="246" t="str">
        <f t="shared" si="114"/>
        <v/>
      </c>
      <c r="V856" s="8"/>
      <c r="AR856" t="str">
        <f t="shared" si="115"/>
        <v/>
      </c>
      <c r="AS856" t="str">
        <f t="shared" si="110"/>
        <v/>
      </c>
    </row>
    <row r="857" spans="1:45" x14ac:dyDescent="0.3">
      <c r="A857" s="231"/>
      <c r="B857" s="235"/>
      <c r="C857" s="214"/>
      <c r="D857" s="214"/>
      <c r="E857" s="214"/>
      <c r="F857" s="214"/>
      <c r="G857" s="222"/>
      <c r="H857" s="221"/>
      <c r="I857" s="213"/>
      <c r="J857" s="213"/>
      <c r="K857" s="215"/>
      <c r="L857" s="216"/>
      <c r="M857" s="217"/>
      <c r="N857" s="176"/>
      <c r="O857" s="241" t="str">
        <f>IF(Q857 = "", "", COUNT(Q$4:$Q857))</f>
        <v/>
      </c>
      <c r="P857" s="241" t="str">
        <f t="shared" si="108"/>
        <v/>
      </c>
      <c r="Q857" s="242" t="str">
        <f t="shared" si="109"/>
        <v/>
      </c>
      <c r="R857" s="243" t="str">
        <f t="shared" si="111"/>
        <v/>
      </c>
      <c r="S857" s="244" t="str">
        <f t="shared" si="112"/>
        <v/>
      </c>
      <c r="T857" s="245" t="str">
        <f t="shared" si="113"/>
        <v/>
      </c>
      <c r="U857" s="246" t="str">
        <f t="shared" si="114"/>
        <v/>
      </c>
      <c r="V857" s="8"/>
      <c r="AR857" t="str">
        <f t="shared" si="115"/>
        <v/>
      </c>
      <c r="AS857" t="str">
        <f t="shared" si="110"/>
        <v/>
      </c>
    </row>
    <row r="858" spans="1:45" x14ac:dyDescent="0.3">
      <c r="A858" s="231"/>
      <c r="B858" s="235"/>
      <c r="C858" s="214"/>
      <c r="D858" s="214"/>
      <c r="E858" s="214"/>
      <c r="F858" s="214"/>
      <c r="G858" s="222"/>
      <c r="H858" s="221"/>
      <c r="I858" s="213"/>
      <c r="J858" s="213"/>
      <c r="K858" s="215"/>
      <c r="L858" s="216"/>
      <c r="M858" s="217"/>
      <c r="N858" s="176"/>
      <c r="O858" s="241" t="str">
        <f>IF(Q858 = "", "", COUNT(Q$4:$Q858))</f>
        <v/>
      </c>
      <c r="P858" s="241" t="str">
        <f t="shared" si="108"/>
        <v/>
      </c>
      <c r="Q858" s="242" t="str">
        <f t="shared" si="109"/>
        <v/>
      </c>
      <c r="R858" s="243" t="str">
        <f t="shared" si="111"/>
        <v/>
      </c>
      <c r="S858" s="244" t="str">
        <f t="shared" si="112"/>
        <v/>
      </c>
      <c r="T858" s="245" t="str">
        <f t="shared" si="113"/>
        <v/>
      </c>
      <c r="U858" s="246" t="str">
        <f t="shared" si="114"/>
        <v/>
      </c>
      <c r="V858" s="8"/>
      <c r="AR858" t="str">
        <f t="shared" si="115"/>
        <v/>
      </c>
      <c r="AS858" t="str">
        <f t="shared" si="110"/>
        <v/>
      </c>
    </row>
    <row r="859" spans="1:45" x14ac:dyDescent="0.3">
      <c r="A859" s="231"/>
      <c r="B859" s="235"/>
      <c r="C859" s="214"/>
      <c r="D859" s="214"/>
      <c r="E859" s="214"/>
      <c r="F859" s="214"/>
      <c r="G859" s="222"/>
      <c r="H859" s="221"/>
      <c r="I859" s="213"/>
      <c r="J859" s="213"/>
      <c r="K859" s="215"/>
      <c r="L859" s="216"/>
      <c r="M859" s="217"/>
      <c r="N859" s="176"/>
      <c r="O859" s="241" t="str">
        <f>IF(Q859 = "", "", COUNT(Q$4:$Q859))</f>
        <v/>
      </c>
      <c r="P859" s="241" t="str">
        <f t="shared" si="108"/>
        <v/>
      </c>
      <c r="Q859" s="242" t="str">
        <f t="shared" si="109"/>
        <v/>
      </c>
      <c r="R859" s="243" t="str">
        <f t="shared" si="111"/>
        <v/>
      </c>
      <c r="S859" s="244" t="str">
        <f t="shared" si="112"/>
        <v/>
      </c>
      <c r="T859" s="245" t="str">
        <f t="shared" si="113"/>
        <v/>
      </c>
      <c r="U859" s="246" t="str">
        <f t="shared" si="114"/>
        <v/>
      </c>
      <c r="V859" s="8"/>
      <c r="AR859" t="str">
        <f t="shared" si="115"/>
        <v/>
      </c>
      <c r="AS859" t="str">
        <f t="shared" si="110"/>
        <v/>
      </c>
    </row>
    <row r="860" spans="1:45" x14ac:dyDescent="0.3">
      <c r="A860" s="231"/>
      <c r="B860" s="235"/>
      <c r="C860" s="214"/>
      <c r="D860" s="214"/>
      <c r="E860" s="214"/>
      <c r="F860" s="214"/>
      <c r="G860" s="222"/>
      <c r="H860" s="221"/>
      <c r="I860" s="213"/>
      <c r="J860" s="213"/>
      <c r="K860" s="215"/>
      <c r="L860" s="216"/>
      <c r="M860" s="217"/>
      <c r="N860" s="176"/>
      <c r="O860" s="241" t="str">
        <f>IF(Q860 = "", "", COUNT(Q$4:$Q860))</f>
        <v/>
      </c>
      <c r="P860" s="241" t="str">
        <f t="shared" si="108"/>
        <v/>
      </c>
      <c r="Q860" s="242" t="str">
        <f t="shared" si="109"/>
        <v/>
      </c>
      <c r="R860" s="243" t="str">
        <f t="shared" si="111"/>
        <v/>
      </c>
      <c r="S860" s="244" t="str">
        <f t="shared" si="112"/>
        <v/>
      </c>
      <c r="T860" s="245" t="str">
        <f t="shared" si="113"/>
        <v/>
      </c>
      <c r="U860" s="246" t="str">
        <f t="shared" si="114"/>
        <v/>
      </c>
      <c r="V860" s="8"/>
      <c r="AR860" t="str">
        <f t="shared" si="115"/>
        <v/>
      </c>
      <c r="AS860" t="str">
        <f t="shared" si="110"/>
        <v/>
      </c>
    </row>
    <row r="861" spans="1:45" x14ac:dyDescent="0.3">
      <c r="A861" s="231"/>
      <c r="B861" s="235"/>
      <c r="C861" s="214"/>
      <c r="D861" s="214"/>
      <c r="E861" s="214"/>
      <c r="F861" s="214"/>
      <c r="G861" s="222"/>
      <c r="H861" s="221"/>
      <c r="I861" s="213"/>
      <c r="J861" s="213"/>
      <c r="K861" s="215"/>
      <c r="L861" s="216"/>
      <c r="M861" s="217"/>
      <c r="N861" s="176"/>
      <c r="O861" s="241" t="str">
        <f>IF(Q861 = "", "", COUNT(Q$4:$Q861))</f>
        <v/>
      </c>
      <c r="P861" s="241" t="str">
        <f t="shared" si="108"/>
        <v/>
      </c>
      <c r="Q861" s="242" t="str">
        <f t="shared" si="109"/>
        <v/>
      </c>
      <c r="R861" s="243" t="str">
        <f t="shared" si="111"/>
        <v/>
      </c>
      <c r="S861" s="244" t="str">
        <f t="shared" si="112"/>
        <v/>
      </c>
      <c r="T861" s="245" t="str">
        <f t="shared" si="113"/>
        <v/>
      </c>
      <c r="U861" s="246" t="str">
        <f t="shared" si="114"/>
        <v/>
      </c>
      <c r="V861" s="8"/>
      <c r="AR861" t="str">
        <f t="shared" si="115"/>
        <v/>
      </c>
      <c r="AS861" t="str">
        <f t="shared" si="110"/>
        <v/>
      </c>
    </row>
    <row r="862" spans="1:45" x14ac:dyDescent="0.3">
      <c r="A862" s="231"/>
      <c r="B862" s="235"/>
      <c r="C862" s="214"/>
      <c r="D862" s="214"/>
      <c r="E862" s="214"/>
      <c r="F862" s="214"/>
      <c r="G862" s="222"/>
      <c r="H862" s="221"/>
      <c r="I862" s="213"/>
      <c r="J862" s="213"/>
      <c r="K862" s="215"/>
      <c r="L862" s="216"/>
      <c r="M862" s="217"/>
      <c r="N862" s="176"/>
      <c r="O862" s="241" t="str">
        <f>IF(Q862 = "", "", COUNT(Q$4:$Q862))</f>
        <v/>
      </c>
      <c r="P862" s="241" t="str">
        <f t="shared" si="108"/>
        <v/>
      </c>
      <c r="Q862" s="242" t="str">
        <f t="shared" si="109"/>
        <v/>
      </c>
      <c r="R862" s="243" t="str">
        <f t="shared" si="111"/>
        <v/>
      </c>
      <c r="S862" s="244" t="str">
        <f t="shared" si="112"/>
        <v/>
      </c>
      <c r="T862" s="245" t="str">
        <f t="shared" si="113"/>
        <v/>
      </c>
      <c r="U862" s="246" t="str">
        <f t="shared" si="114"/>
        <v/>
      </c>
      <c r="V862" s="8"/>
      <c r="AR862" t="str">
        <f t="shared" si="115"/>
        <v/>
      </c>
      <c r="AS862" t="str">
        <f t="shared" si="110"/>
        <v/>
      </c>
    </row>
    <row r="863" spans="1:45" x14ac:dyDescent="0.3">
      <c r="A863" s="231"/>
      <c r="B863" s="235"/>
      <c r="C863" s="214"/>
      <c r="D863" s="214"/>
      <c r="E863" s="214"/>
      <c r="F863" s="214"/>
      <c r="G863" s="222"/>
      <c r="H863" s="221"/>
      <c r="I863" s="213"/>
      <c r="J863" s="213"/>
      <c r="K863" s="215"/>
      <c r="L863" s="216"/>
      <c r="M863" s="217"/>
      <c r="N863" s="176"/>
      <c r="O863" s="241" t="str">
        <f>IF(Q863 = "", "", COUNT(Q$4:$Q863))</f>
        <v/>
      </c>
      <c r="P863" s="241" t="str">
        <f t="shared" si="108"/>
        <v/>
      </c>
      <c r="Q863" s="242" t="str">
        <f t="shared" si="109"/>
        <v/>
      </c>
      <c r="R863" s="243" t="str">
        <f t="shared" si="111"/>
        <v/>
      </c>
      <c r="S863" s="244" t="str">
        <f t="shared" si="112"/>
        <v/>
      </c>
      <c r="T863" s="245" t="str">
        <f t="shared" si="113"/>
        <v/>
      </c>
      <c r="U863" s="246" t="str">
        <f t="shared" si="114"/>
        <v/>
      </c>
      <c r="V863" s="8"/>
      <c r="AR863" t="str">
        <f t="shared" si="115"/>
        <v/>
      </c>
      <c r="AS863" t="str">
        <f t="shared" si="110"/>
        <v/>
      </c>
    </row>
    <row r="864" spans="1:45" x14ac:dyDescent="0.3">
      <c r="A864" s="231"/>
      <c r="B864" s="235"/>
      <c r="C864" s="214"/>
      <c r="D864" s="214"/>
      <c r="E864" s="214"/>
      <c r="F864" s="214"/>
      <c r="G864" s="222"/>
      <c r="H864" s="221"/>
      <c r="I864" s="213"/>
      <c r="J864" s="213"/>
      <c r="K864" s="215"/>
      <c r="L864" s="216"/>
      <c r="M864" s="217"/>
      <c r="N864" s="176"/>
      <c r="O864" s="241" t="str">
        <f>IF(Q864 = "", "", COUNT(Q$4:$Q864))</f>
        <v/>
      </c>
      <c r="P864" s="241" t="str">
        <f t="shared" si="108"/>
        <v/>
      </c>
      <c r="Q864" s="242" t="str">
        <f t="shared" si="109"/>
        <v/>
      </c>
      <c r="R864" s="243" t="str">
        <f t="shared" si="111"/>
        <v/>
      </c>
      <c r="S864" s="244" t="str">
        <f t="shared" si="112"/>
        <v/>
      </c>
      <c r="T864" s="245" t="str">
        <f t="shared" si="113"/>
        <v/>
      </c>
      <c r="U864" s="246" t="str">
        <f t="shared" si="114"/>
        <v/>
      </c>
      <c r="V864" s="8"/>
      <c r="AR864" t="str">
        <f t="shared" si="115"/>
        <v/>
      </c>
      <c r="AS864" t="str">
        <f t="shared" si="110"/>
        <v/>
      </c>
    </row>
    <row r="865" spans="1:45" x14ac:dyDescent="0.3">
      <c r="A865" s="231"/>
      <c r="B865" s="235"/>
      <c r="C865" s="214"/>
      <c r="D865" s="214"/>
      <c r="E865" s="214"/>
      <c r="F865" s="214"/>
      <c r="G865" s="222"/>
      <c r="H865" s="221"/>
      <c r="I865" s="213"/>
      <c r="J865" s="213"/>
      <c r="K865" s="215"/>
      <c r="L865" s="216"/>
      <c r="M865" s="217"/>
      <c r="N865" s="176"/>
      <c r="O865" s="241" t="str">
        <f>IF(Q865 = "", "", COUNT(Q$4:$Q865))</f>
        <v/>
      </c>
      <c r="P865" s="241" t="str">
        <f t="shared" si="108"/>
        <v/>
      </c>
      <c r="Q865" s="242" t="str">
        <f t="shared" si="109"/>
        <v/>
      </c>
      <c r="R865" s="243" t="str">
        <f t="shared" si="111"/>
        <v/>
      </c>
      <c r="S865" s="244" t="str">
        <f t="shared" si="112"/>
        <v/>
      </c>
      <c r="T865" s="245" t="str">
        <f t="shared" si="113"/>
        <v/>
      </c>
      <c r="U865" s="246" t="str">
        <f t="shared" si="114"/>
        <v/>
      </c>
      <c r="V865" s="8"/>
      <c r="AR865" t="str">
        <f t="shared" si="115"/>
        <v/>
      </c>
      <c r="AS865" t="str">
        <f t="shared" si="110"/>
        <v/>
      </c>
    </row>
    <row r="866" spans="1:45" x14ac:dyDescent="0.3">
      <c r="A866" s="231"/>
      <c r="B866" s="235"/>
      <c r="C866" s="214"/>
      <c r="D866" s="214"/>
      <c r="E866" s="214"/>
      <c r="F866" s="214"/>
      <c r="G866" s="222"/>
      <c r="H866" s="221"/>
      <c r="I866" s="213"/>
      <c r="J866" s="213"/>
      <c r="K866" s="215"/>
      <c r="L866" s="216"/>
      <c r="M866" s="217"/>
      <c r="N866" s="176"/>
      <c r="O866" s="241" t="str">
        <f>IF(Q866 = "", "", COUNT(Q$4:$Q866))</f>
        <v/>
      </c>
      <c r="P866" s="241" t="str">
        <f t="shared" si="108"/>
        <v/>
      </c>
      <c r="Q866" s="242" t="str">
        <f t="shared" si="109"/>
        <v/>
      </c>
      <c r="R866" s="243" t="str">
        <f t="shared" si="111"/>
        <v/>
      </c>
      <c r="S866" s="244" t="str">
        <f t="shared" si="112"/>
        <v/>
      </c>
      <c r="T866" s="245" t="str">
        <f t="shared" si="113"/>
        <v/>
      </c>
      <c r="U866" s="246" t="str">
        <f t="shared" si="114"/>
        <v/>
      </c>
      <c r="V866" s="8"/>
      <c r="AR866" t="str">
        <f t="shared" si="115"/>
        <v/>
      </c>
      <c r="AS866" t="str">
        <f t="shared" si="110"/>
        <v/>
      </c>
    </row>
    <row r="867" spans="1:45" x14ac:dyDescent="0.3">
      <c r="A867" s="231"/>
      <c r="B867" s="235"/>
      <c r="C867" s="214"/>
      <c r="D867" s="214"/>
      <c r="E867" s="214"/>
      <c r="F867" s="214"/>
      <c r="G867" s="222"/>
      <c r="H867" s="221"/>
      <c r="I867" s="213"/>
      <c r="J867" s="213"/>
      <c r="K867" s="215"/>
      <c r="L867" s="216"/>
      <c r="M867" s="217"/>
      <c r="N867" s="176"/>
      <c r="O867" s="241" t="str">
        <f>IF(Q867 = "", "", COUNT(Q$4:$Q867))</f>
        <v/>
      </c>
      <c r="P867" s="241" t="str">
        <f t="shared" si="108"/>
        <v/>
      </c>
      <c r="Q867" s="242" t="str">
        <f t="shared" si="109"/>
        <v/>
      </c>
      <c r="R867" s="243" t="str">
        <f t="shared" si="111"/>
        <v/>
      </c>
      <c r="S867" s="244" t="str">
        <f t="shared" si="112"/>
        <v/>
      </c>
      <c r="T867" s="245" t="str">
        <f t="shared" si="113"/>
        <v/>
      </c>
      <c r="U867" s="246" t="str">
        <f t="shared" si="114"/>
        <v/>
      </c>
      <c r="V867" s="8"/>
      <c r="AR867" t="str">
        <f t="shared" si="115"/>
        <v/>
      </c>
      <c r="AS867" t="str">
        <f t="shared" si="110"/>
        <v/>
      </c>
    </row>
    <row r="868" spans="1:45" x14ac:dyDescent="0.3">
      <c r="A868" s="231"/>
      <c r="B868" s="235"/>
      <c r="C868" s="214"/>
      <c r="D868" s="214"/>
      <c r="E868" s="214"/>
      <c r="F868" s="214"/>
      <c r="G868" s="222"/>
      <c r="H868" s="221"/>
      <c r="I868" s="213"/>
      <c r="J868" s="213"/>
      <c r="K868" s="215"/>
      <c r="L868" s="216"/>
      <c r="M868" s="217"/>
      <c r="N868" s="176"/>
      <c r="O868" s="241" t="str">
        <f>IF(Q868 = "", "", COUNT(Q$4:$Q868))</f>
        <v/>
      </c>
      <c r="P868" s="241" t="str">
        <f t="shared" si="108"/>
        <v/>
      </c>
      <c r="Q868" s="242" t="str">
        <f t="shared" si="109"/>
        <v/>
      </c>
      <c r="R868" s="243" t="str">
        <f t="shared" si="111"/>
        <v/>
      </c>
      <c r="S868" s="244" t="str">
        <f t="shared" si="112"/>
        <v/>
      </c>
      <c r="T868" s="245" t="str">
        <f t="shared" si="113"/>
        <v/>
      </c>
      <c r="U868" s="246" t="str">
        <f t="shared" si="114"/>
        <v/>
      </c>
      <c r="V868" s="8"/>
      <c r="AR868" t="str">
        <f t="shared" si="115"/>
        <v/>
      </c>
      <c r="AS868" t="str">
        <f t="shared" si="110"/>
        <v/>
      </c>
    </row>
    <row r="869" spans="1:45" x14ac:dyDescent="0.3">
      <c r="A869" s="231"/>
      <c r="B869" s="235"/>
      <c r="C869" s="214"/>
      <c r="D869" s="214"/>
      <c r="E869" s="214"/>
      <c r="F869" s="214"/>
      <c r="G869" s="222"/>
      <c r="H869" s="221"/>
      <c r="I869" s="213"/>
      <c r="J869" s="213"/>
      <c r="K869" s="215"/>
      <c r="L869" s="216"/>
      <c r="M869" s="217"/>
      <c r="N869" s="176"/>
      <c r="O869" s="241" t="str">
        <f>IF(Q869 = "", "", COUNT(Q$4:$Q869))</f>
        <v/>
      </c>
      <c r="P869" s="241" t="str">
        <f t="shared" si="108"/>
        <v/>
      </c>
      <c r="Q869" s="242" t="str">
        <f t="shared" si="109"/>
        <v/>
      </c>
      <c r="R869" s="243" t="str">
        <f t="shared" si="111"/>
        <v/>
      </c>
      <c r="S869" s="244" t="str">
        <f t="shared" si="112"/>
        <v/>
      </c>
      <c r="T869" s="245" t="str">
        <f t="shared" si="113"/>
        <v/>
      </c>
      <c r="U869" s="246" t="str">
        <f t="shared" si="114"/>
        <v/>
      </c>
      <c r="V869" s="8"/>
      <c r="AR869" t="str">
        <f t="shared" si="115"/>
        <v/>
      </c>
      <c r="AS869" t="str">
        <f t="shared" si="110"/>
        <v/>
      </c>
    </row>
    <row r="870" spans="1:45" x14ac:dyDescent="0.3">
      <c r="A870" s="231"/>
      <c r="B870" s="235"/>
      <c r="C870" s="214"/>
      <c r="D870" s="214"/>
      <c r="E870" s="214"/>
      <c r="F870" s="214"/>
      <c r="G870" s="222"/>
      <c r="H870" s="221"/>
      <c r="I870" s="213"/>
      <c r="J870" s="213"/>
      <c r="K870" s="215"/>
      <c r="L870" s="216"/>
      <c r="M870" s="217"/>
      <c r="N870" s="176"/>
      <c r="O870" s="241" t="str">
        <f>IF(Q870 = "", "", COUNT(Q$4:$Q870))</f>
        <v/>
      </c>
      <c r="P870" s="241" t="str">
        <f t="shared" si="108"/>
        <v/>
      </c>
      <c r="Q870" s="242" t="str">
        <f t="shared" si="109"/>
        <v/>
      </c>
      <c r="R870" s="243" t="str">
        <f t="shared" si="111"/>
        <v/>
      </c>
      <c r="S870" s="244" t="str">
        <f t="shared" si="112"/>
        <v/>
      </c>
      <c r="T870" s="245" t="str">
        <f t="shared" si="113"/>
        <v/>
      </c>
      <c r="U870" s="246" t="str">
        <f t="shared" si="114"/>
        <v/>
      </c>
      <c r="V870" s="8"/>
      <c r="AR870" t="str">
        <f t="shared" si="115"/>
        <v/>
      </c>
      <c r="AS870" t="str">
        <f t="shared" si="110"/>
        <v/>
      </c>
    </row>
    <row r="871" spans="1:45" x14ac:dyDescent="0.3">
      <c r="A871" s="231"/>
      <c r="B871" s="235"/>
      <c r="C871" s="214"/>
      <c r="D871" s="214"/>
      <c r="E871" s="214"/>
      <c r="F871" s="214"/>
      <c r="G871" s="222"/>
      <c r="H871" s="221"/>
      <c r="I871" s="213"/>
      <c r="J871" s="213"/>
      <c r="K871" s="215"/>
      <c r="L871" s="216"/>
      <c r="M871" s="217"/>
      <c r="N871" s="176"/>
      <c r="O871" s="241" t="str">
        <f>IF(Q871 = "", "", COUNT(Q$4:$Q871))</f>
        <v/>
      </c>
      <c r="P871" s="241" t="str">
        <f t="shared" si="108"/>
        <v/>
      </c>
      <c r="Q871" s="242" t="str">
        <f t="shared" si="109"/>
        <v/>
      </c>
      <c r="R871" s="243" t="str">
        <f t="shared" si="111"/>
        <v/>
      </c>
      <c r="S871" s="244" t="str">
        <f t="shared" si="112"/>
        <v/>
      </c>
      <c r="T871" s="245" t="str">
        <f t="shared" si="113"/>
        <v/>
      </c>
      <c r="U871" s="246" t="str">
        <f t="shared" si="114"/>
        <v/>
      </c>
      <c r="V871" s="8"/>
      <c r="AR871" t="str">
        <f t="shared" si="115"/>
        <v/>
      </c>
      <c r="AS871" t="str">
        <f t="shared" si="110"/>
        <v/>
      </c>
    </row>
    <row r="872" spans="1:45" x14ac:dyDescent="0.3">
      <c r="A872" s="231"/>
      <c r="B872" s="235"/>
      <c r="C872" s="214"/>
      <c r="D872" s="214"/>
      <c r="E872" s="214"/>
      <c r="F872" s="214"/>
      <c r="G872" s="222"/>
      <c r="H872" s="221"/>
      <c r="I872" s="213"/>
      <c r="J872" s="213"/>
      <c r="K872" s="215"/>
      <c r="L872" s="216"/>
      <c r="M872" s="217"/>
      <c r="N872" s="176"/>
      <c r="O872" s="241" t="str">
        <f>IF(Q872 = "", "", COUNT(Q$4:$Q872))</f>
        <v/>
      </c>
      <c r="P872" s="241" t="str">
        <f t="shared" si="108"/>
        <v/>
      </c>
      <c r="Q872" s="242" t="str">
        <f t="shared" si="109"/>
        <v/>
      </c>
      <c r="R872" s="243" t="str">
        <f t="shared" si="111"/>
        <v/>
      </c>
      <c r="S872" s="244" t="str">
        <f t="shared" si="112"/>
        <v/>
      </c>
      <c r="T872" s="245" t="str">
        <f t="shared" si="113"/>
        <v/>
      </c>
      <c r="U872" s="246" t="str">
        <f t="shared" si="114"/>
        <v/>
      </c>
      <c r="V872" s="8"/>
      <c r="AR872" t="str">
        <f t="shared" si="115"/>
        <v/>
      </c>
      <c r="AS872" t="str">
        <f t="shared" si="110"/>
        <v/>
      </c>
    </row>
    <row r="873" spans="1:45" x14ac:dyDescent="0.3">
      <c r="A873" s="231"/>
      <c r="B873" s="235"/>
      <c r="C873" s="214"/>
      <c r="D873" s="214"/>
      <c r="E873" s="214"/>
      <c r="F873" s="214"/>
      <c r="G873" s="222"/>
      <c r="H873" s="221"/>
      <c r="I873" s="213"/>
      <c r="J873" s="213"/>
      <c r="K873" s="215"/>
      <c r="L873" s="216"/>
      <c r="M873" s="217"/>
      <c r="N873" s="176"/>
      <c r="O873" s="241" t="str">
        <f>IF(Q873 = "", "", COUNT(Q$4:$Q873))</f>
        <v/>
      </c>
      <c r="P873" s="241" t="str">
        <f t="shared" si="108"/>
        <v/>
      </c>
      <c r="Q873" s="242" t="str">
        <f t="shared" si="109"/>
        <v/>
      </c>
      <c r="R873" s="243" t="str">
        <f t="shared" si="111"/>
        <v/>
      </c>
      <c r="S873" s="244" t="str">
        <f t="shared" si="112"/>
        <v/>
      </c>
      <c r="T873" s="245" t="str">
        <f t="shared" si="113"/>
        <v/>
      </c>
      <c r="U873" s="246" t="str">
        <f t="shared" si="114"/>
        <v/>
      </c>
      <c r="V873" s="8"/>
      <c r="AR873" t="str">
        <f t="shared" si="115"/>
        <v/>
      </c>
      <c r="AS873" t="str">
        <f t="shared" si="110"/>
        <v/>
      </c>
    </row>
    <row r="874" spans="1:45" x14ac:dyDescent="0.3">
      <c r="A874" s="231"/>
      <c r="B874" s="235"/>
      <c r="C874" s="214"/>
      <c r="D874" s="214"/>
      <c r="E874" s="214"/>
      <c r="F874" s="214"/>
      <c r="G874" s="222"/>
      <c r="H874" s="221"/>
      <c r="I874" s="213"/>
      <c r="J874" s="213"/>
      <c r="K874" s="215"/>
      <c r="L874" s="216"/>
      <c r="M874" s="217"/>
      <c r="N874" s="176"/>
      <c r="O874" s="241" t="str">
        <f>IF(Q874 = "", "", COUNT(Q$4:$Q874))</f>
        <v/>
      </c>
      <c r="P874" s="241" t="str">
        <f t="shared" si="108"/>
        <v/>
      </c>
      <c r="Q874" s="242" t="str">
        <f t="shared" si="109"/>
        <v/>
      </c>
      <c r="R874" s="243" t="str">
        <f t="shared" si="111"/>
        <v/>
      </c>
      <c r="S874" s="244" t="str">
        <f t="shared" si="112"/>
        <v/>
      </c>
      <c r="T874" s="245" t="str">
        <f t="shared" si="113"/>
        <v/>
      </c>
      <c r="U874" s="246" t="str">
        <f t="shared" si="114"/>
        <v/>
      </c>
      <c r="V874" s="8"/>
      <c r="AR874" t="str">
        <f t="shared" si="115"/>
        <v/>
      </c>
      <c r="AS874" t="str">
        <f t="shared" si="110"/>
        <v/>
      </c>
    </row>
    <row r="875" spans="1:45" x14ac:dyDescent="0.3">
      <c r="A875" s="231"/>
      <c r="B875" s="235"/>
      <c r="C875" s="214"/>
      <c r="D875" s="214"/>
      <c r="E875" s="214"/>
      <c r="F875" s="214"/>
      <c r="G875" s="222"/>
      <c r="H875" s="221"/>
      <c r="I875" s="213"/>
      <c r="J875" s="213"/>
      <c r="K875" s="215"/>
      <c r="L875" s="216"/>
      <c r="M875" s="217"/>
      <c r="N875" s="176"/>
      <c r="O875" s="241" t="str">
        <f>IF(Q875 = "", "", COUNT(Q$4:$Q875))</f>
        <v/>
      </c>
      <c r="P875" s="241" t="str">
        <f t="shared" si="108"/>
        <v/>
      </c>
      <c r="Q875" s="242" t="str">
        <f t="shared" si="109"/>
        <v/>
      </c>
      <c r="R875" s="243" t="str">
        <f t="shared" si="111"/>
        <v/>
      </c>
      <c r="S875" s="244" t="str">
        <f t="shared" si="112"/>
        <v/>
      </c>
      <c r="T875" s="245" t="str">
        <f t="shared" si="113"/>
        <v/>
      </c>
      <c r="U875" s="246" t="str">
        <f t="shared" si="114"/>
        <v/>
      </c>
      <c r="V875" s="8"/>
      <c r="AR875" t="str">
        <f t="shared" si="115"/>
        <v/>
      </c>
      <c r="AS875" t="str">
        <f t="shared" si="110"/>
        <v/>
      </c>
    </row>
    <row r="876" spans="1:45" x14ac:dyDescent="0.3">
      <c r="A876" s="231"/>
      <c r="B876" s="235"/>
      <c r="C876" s="214"/>
      <c r="D876" s="214"/>
      <c r="E876" s="214"/>
      <c r="F876" s="214"/>
      <c r="G876" s="222"/>
      <c r="H876" s="221"/>
      <c r="I876" s="213"/>
      <c r="J876" s="213"/>
      <c r="K876" s="215"/>
      <c r="L876" s="216"/>
      <c r="M876" s="217"/>
      <c r="N876" s="176"/>
      <c r="O876" s="241" t="str">
        <f>IF(Q876 = "", "", COUNT(Q$4:$Q876))</f>
        <v/>
      </c>
      <c r="P876" s="241" t="str">
        <f t="shared" si="108"/>
        <v/>
      </c>
      <c r="Q876" s="242" t="str">
        <f t="shared" si="109"/>
        <v/>
      </c>
      <c r="R876" s="243" t="str">
        <f t="shared" si="111"/>
        <v/>
      </c>
      <c r="S876" s="244" t="str">
        <f t="shared" si="112"/>
        <v/>
      </c>
      <c r="T876" s="245" t="str">
        <f t="shared" si="113"/>
        <v/>
      </c>
      <c r="U876" s="246" t="str">
        <f t="shared" si="114"/>
        <v/>
      </c>
      <c r="V876" s="8"/>
      <c r="AR876" t="str">
        <f t="shared" si="115"/>
        <v/>
      </c>
      <c r="AS876" t="str">
        <f t="shared" si="110"/>
        <v/>
      </c>
    </row>
    <row r="877" spans="1:45" x14ac:dyDescent="0.3">
      <c r="A877" s="231"/>
      <c r="B877" s="235"/>
      <c r="C877" s="214"/>
      <c r="D877" s="214"/>
      <c r="E877" s="214"/>
      <c r="F877" s="214"/>
      <c r="G877" s="222"/>
      <c r="H877" s="221"/>
      <c r="I877" s="213"/>
      <c r="J877" s="213"/>
      <c r="K877" s="215"/>
      <c r="L877" s="216"/>
      <c r="M877" s="217"/>
      <c r="N877" s="176"/>
      <c r="O877" s="241" t="str">
        <f>IF(Q877 = "", "", COUNT(Q$4:$Q877))</f>
        <v/>
      </c>
      <c r="P877" s="241" t="str">
        <f t="shared" si="108"/>
        <v/>
      </c>
      <c r="Q877" s="242" t="str">
        <f t="shared" si="109"/>
        <v/>
      </c>
      <c r="R877" s="243" t="str">
        <f t="shared" si="111"/>
        <v/>
      </c>
      <c r="S877" s="244" t="str">
        <f t="shared" si="112"/>
        <v/>
      </c>
      <c r="T877" s="245" t="str">
        <f t="shared" si="113"/>
        <v/>
      </c>
      <c r="U877" s="246" t="str">
        <f t="shared" si="114"/>
        <v/>
      </c>
      <c r="V877" s="8"/>
      <c r="AR877" t="str">
        <f t="shared" si="115"/>
        <v/>
      </c>
      <c r="AS877" t="str">
        <f t="shared" si="110"/>
        <v/>
      </c>
    </row>
    <row r="878" spans="1:45" x14ac:dyDescent="0.3">
      <c r="A878" s="231"/>
      <c r="B878" s="235"/>
      <c r="C878" s="214"/>
      <c r="D878" s="214"/>
      <c r="E878" s="214"/>
      <c r="F878" s="214"/>
      <c r="G878" s="222"/>
      <c r="H878" s="221"/>
      <c r="I878" s="213"/>
      <c r="J878" s="213"/>
      <c r="K878" s="215"/>
      <c r="L878" s="216"/>
      <c r="M878" s="217"/>
      <c r="N878" s="176"/>
      <c r="O878" s="241" t="str">
        <f>IF(Q878 = "", "", COUNT(Q$4:$Q878))</f>
        <v/>
      </c>
      <c r="P878" s="241" t="str">
        <f t="shared" si="108"/>
        <v/>
      </c>
      <c r="Q878" s="242" t="str">
        <f t="shared" si="109"/>
        <v/>
      </c>
      <c r="R878" s="243" t="str">
        <f t="shared" si="111"/>
        <v/>
      </c>
      <c r="S878" s="244" t="str">
        <f t="shared" si="112"/>
        <v/>
      </c>
      <c r="T878" s="245" t="str">
        <f t="shared" si="113"/>
        <v/>
      </c>
      <c r="U878" s="246" t="str">
        <f t="shared" si="114"/>
        <v/>
      </c>
      <c r="V878" s="8"/>
      <c r="AR878" t="str">
        <f t="shared" si="115"/>
        <v/>
      </c>
      <c r="AS878" t="str">
        <f t="shared" si="110"/>
        <v/>
      </c>
    </row>
    <row r="879" spans="1:45" x14ac:dyDescent="0.3">
      <c r="A879" s="231"/>
      <c r="B879" s="235"/>
      <c r="C879" s="214"/>
      <c r="D879" s="214"/>
      <c r="E879" s="214"/>
      <c r="F879" s="214"/>
      <c r="G879" s="222"/>
      <c r="H879" s="221"/>
      <c r="I879" s="213"/>
      <c r="J879" s="213"/>
      <c r="K879" s="215"/>
      <c r="L879" s="216"/>
      <c r="M879" s="217"/>
      <c r="N879" s="176"/>
      <c r="O879" s="241" t="str">
        <f>IF(Q879 = "", "", COUNT(Q$4:$Q879))</f>
        <v/>
      </c>
      <c r="P879" s="241" t="str">
        <f t="shared" si="108"/>
        <v/>
      </c>
      <c r="Q879" s="242" t="str">
        <f t="shared" si="109"/>
        <v/>
      </c>
      <c r="R879" s="243" t="str">
        <f t="shared" si="111"/>
        <v/>
      </c>
      <c r="S879" s="244" t="str">
        <f t="shared" si="112"/>
        <v/>
      </c>
      <c r="T879" s="245" t="str">
        <f t="shared" si="113"/>
        <v/>
      </c>
      <c r="U879" s="246" t="str">
        <f t="shared" si="114"/>
        <v/>
      </c>
      <c r="V879" s="8"/>
      <c r="AR879" t="str">
        <f t="shared" si="115"/>
        <v/>
      </c>
      <c r="AS879" t="str">
        <f t="shared" si="110"/>
        <v/>
      </c>
    </row>
    <row r="880" spans="1:45" x14ac:dyDescent="0.3">
      <c r="A880" s="231"/>
      <c r="B880" s="235"/>
      <c r="C880" s="214"/>
      <c r="D880" s="214"/>
      <c r="E880" s="214"/>
      <c r="F880" s="214"/>
      <c r="G880" s="222"/>
      <c r="H880" s="221"/>
      <c r="I880" s="213"/>
      <c r="J880" s="213"/>
      <c r="K880" s="215"/>
      <c r="L880" s="216"/>
      <c r="M880" s="217"/>
      <c r="N880" s="176"/>
      <c r="O880" s="241" t="str">
        <f>IF(Q880 = "", "", COUNT(Q$4:$Q880))</f>
        <v/>
      </c>
      <c r="P880" s="241" t="str">
        <f t="shared" si="108"/>
        <v/>
      </c>
      <c r="Q880" s="242" t="str">
        <f t="shared" si="109"/>
        <v/>
      </c>
      <c r="R880" s="243" t="str">
        <f t="shared" si="111"/>
        <v/>
      </c>
      <c r="S880" s="244" t="str">
        <f t="shared" si="112"/>
        <v/>
      </c>
      <c r="T880" s="245" t="str">
        <f t="shared" si="113"/>
        <v/>
      </c>
      <c r="U880" s="246" t="str">
        <f t="shared" si="114"/>
        <v/>
      </c>
      <c r="V880" s="8"/>
      <c r="AR880" t="str">
        <f t="shared" si="115"/>
        <v/>
      </c>
      <c r="AS880" t="str">
        <f t="shared" si="110"/>
        <v/>
      </c>
    </row>
    <row r="881" spans="1:45" x14ac:dyDescent="0.3">
      <c r="A881" s="231"/>
      <c r="B881" s="235"/>
      <c r="C881" s="214"/>
      <c r="D881" s="214"/>
      <c r="E881" s="214"/>
      <c r="F881" s="214"/>
      <c r="G881" s="222"/>
      <c r="H881" s="221"/>
      <c r="I881" s="213"/>
      <c r="J881" s="213"/>
      <c r="K881" s="215"/>
      <c r="L881" s="216"/>
      <c r="M881" s="217"/>
      <c r="N881" s="176"/>
      <c r="O881" s="241" t="str">
        <f>IF(Q881 = "", "", COUNT(Q$4:$Q881))</f>
        <v/>
      </c>
      <c r="P881" s="241" t="str">
        <f t="shared" si="108"/>
        <v/>
      </c>
      <c r="Q881" s="242" t="str">
        <f t="shared" si="109"/>
        <v/>
      </c>
      <c r="R881" s="243" t="str">
        <f t="shared" si="111"/>
        <v/>
      </c>
      <c r="S881" s="244" t="str">
        <f t="shared" si="112"/>
        <v/>
      </c>
      <c r="T881" s="245" t="str">
        <f t="shared" si="113"/>
        <v/>
      </c>
      <c r="U881" s="246" t="str">
        <f t="shared" si="114"/>
        <v/>
      </c>
      <c r="V881" s="8"/>
      <c r="AR881" t="str">
        <f t="shared" si="115"/>
        <v/>
      </c>
      <c r="AS881" t="str">
        <f t="shared" si="110"/>
        <v/>
      </c>
    </row>
    <row r="882" spans="1:45" x14ac:dyDescent="0.3">
      <c r="A882" s="231"/>
      <c r="B882" s="235"/>
      <c r="C882" s="214"/>
      <c r="D882" s="214"/>
      <c r="E882" s="214"/>
      <c r="F882" s="214"/>
      <c r="G882" s="222"/>
      <c r="H882" s="221"/>
      <c r="I882" s="213"/>
      <c r="J882" s="213"/>
      <c r="K882" s="215"/>
      <c r="L882" s="216"/>
      <c r="M882" s="217"/>
      <c r="N882" s="176"/>
      <c r="O882" s="241" t="str">
        <f>IF(Q882 = "", "", COUNT(Q$4:$Q882))</f>
        <v/>
      </c>
      <c r="P882" s="241" t="str">
        <f t="shared" si="108"/>
        <v/>
      </c>
      <c r="Q882" s="242" t="str">
        <f t="shared" si="109"/>
        <v/>
      </c>
      <c r="R882" s="243" t="str">
        <f t="shared" si="111"/>
        <v/>
      </c>
      <c r="S882" s="244" t="str">
        <f t="shared" si="112"/>
        <v/>
      </c>
      <c r="T882" s="245" t="str">
        <f t="shared" si="113"/>
        <v/>
      </c>
      <c r="U882" s="246" t="str">
        <f t="shared" si="114"/>
        <v/>
      </c>
      <c r="V882" s="8"/>
      <c r="AR882" t="str">
        <f t="shared" si="115"/>
        <v/>
      </c>
      <c r="AS882" t="str">
        <f t="shared" si="110"/>
        <v/>
      </c>
    </row>
    <row r="883" spans="1:45" x14ac:dyDescent="0.3">
      <c r="A883" s="231"/>
      <c r="B883" s="235"/>
      <c r="C883" s="214"/>
      <c r="D883" s="214"/>
      <c r="E883" s="214"/>
      <c r="F883" s="214"/>
      <c r="G883" s="222"/>
      <c r="H883" s="221"/>
      <c r="I883" s="213"/>
      <c r="J883" s="213"/>
      <c r="K883" s="215"/>
      <c r="L883" s="216"/>
      <c r="M883" s="217"/>
      <c r="N883" s="176"/>
      <c r="O883" s="241" t="str">
        <f>IF(Q883 = "", "", COUNT(Q$4:$Q883))</f>
        <v/>
      </c>
      <c r="P883" s="241" t="str">
        <f t="shared" si="108"/>
        <v/>
      </c>
      <c r="Q883" s="242" t="str">
        <f t="shared" si="109"/>
        <v/>
      </c>
      <c r="R883" s="243" t="str">
        <f t="shared" si="111"/>
        <v/>
      </c>
      <c r="S883" s="244" t="str">
        <f t="shared" si="112"/>
        <v/>
      </c>
      <c r="T883" s="245" t="str">
        <f t="shared" si="113"/>
        <v/>
      </c>
      <c r="U883" s="246" t="str">
        <f t="shared" si="114"/>
        <v/>
      </c>
      <c r="V883" s="8"/>
      <c r="AR883" t="str">
        <f t="shared" si="115"/>
        <v/>
      </c>
      <c r="AS883" t="str">
        <f t="shared" si="110"/>
        <v/>
      </c>
    </row>
    <row r="884" spans="1:45" x14ac:dyDescent="0.3">
      <c r="A884" s="231"/>
      <c r="B884" s="235"/>
      <c r="C884" s="214"/>
      <c r="D884" s="214"/>
      <c r="E884" s="214"/>
      <c r="F884" s="214"/>
      <c r="G884" s="222"/>
      <c r="H884" s="221"/>
      <c r="I884" s="213"/>
      <c r="J884" s="213"/>
      <c r="K884" s="215"/>
      <c r="L884" s="216"/>
      <c r="M884" s="217"/>
      <c r="N884" s="176"/>
      <c r="O884" s="241" t="str">
        <f>IF(Q884 = "", "", COUNT(Q$4:$Q884))</f>
        <v/>
      </c>
      <c r="P884" s="241" t="str">
        <f t="shared" si="108"/>
        <v/>
      </c>
      <c r="Q884" s="242" t="str">
        <f t="shared" si="109"/>
        <v/>
      </c>
      <c r="R884" s="243" t="str">
        <f t="shared" si="111"/>
        <v/>
      </c>
      <c r="S884" s="244" t="str">
        <f t="shared" si="112"/>
        <v/>
      </c>
      <c r="T884" s="245" t="str">
        <f t="shared" si="113"/>
        <v/>
      </c>
      <c r="U884" s="246" t="str">
        <f t="shared" si="114"/>
        <v/>
      </c>
      <c r="V884" s="8"/>
      <c r="AR884" t="str">
        <f t="shared" si="115"/>
        <v/>
      </c>
      <c r="AS884" t="str">
        <f t="shared" si="110"/>
        <v/>
      </c>
    </row>
    <row r="885" spans="1:45" x14ac:dyDescent="0.3">
      <c r="A885" s="231"/>
      <c r="B885" s="235"/>
      <c r="C885" s="214"/>
      <c r="D885" s="214"/>
      <c r="E885" s="214"/>
      <c r="F885" s="214"/>
      <c r="G885" s="222"/>
      <c r="H885" s="221"/>
      <c r="I885" s="213"/>
      <c r="J885" s="213"/>
      <c r="K885" s="215"/>
      <c r="L885" s="216"/>
      <c r="M885" s="217"/>
      <c r="N885" s="176"/>
      <c r="O885" s="241" t="str">
        <f>IF(Q885 = "", "", COUNT(Q$4:$Q885))</f>
        <v/>
      </c>
      <c r="P885" s="241" t="str">
        <f t="shared" si="108"/>
        <v/>
      </c>
      <c r="Q885" s="242" t="str">
        <f t="shared" si="109"/>
        <v/>
      </c>
      <c r="R885" s="243" t="str">
        <f t="shared" si="111"/>
        <v/>
      </c>
      <c r="S885" s="244" t="str">
        <f t="shared" si="112"/>
        <v/>
      </c>
      <c r="T885" s="245" t="str">
        <f t="shared" si="113"/>
        <v/>
      </c>
      <c r="U885" s="246" t="str">
        <f t="shared" si="114"/>
        <v/>
      </c>
      <c r="V885" s="8"/>
      <c r="AR885" t="str">
        <f t="shared" si="115"/>
        <v/>
      </c>
      <c r="AS885" t="str">
        <f t="shared" si="110"/>
        <v/>
      </c>
    </row>
    <row r="886" spans="1:45" x14ac:dyDescent="0.3">
      <c r="A886" s="231"/>
      <c r="B886" s="235"/>
      <c r="C886" s="214"/>
      <c r="D886" s="214"/>
      <c r="E886" s="214"/>
      <c r="F886" s="214"/>
      <c r="G886" s="222"/>
      <c r="H886" s="221"/>
      <c r="I886" s="213"/>
      <c r="J886" s="213"/>
      <c r="K886" s="215"/>
      <c r="L886" s="216"/>
      <c r="M886" s="217"/>
      <c r="N886" s="176"/>
      <c r="O886" s="241" t="str">
        <f>IF(Q886 = "", "", COUNT(Q$4:$Q886))</f>
        <v/>
      </c>
      <c r="P886" s="241" t="str">
        <f t="shared" si="108"/>
        <v/>
      </c>
      <c r="Q886" s="242" t="str">
        <f t="shared" si="109"/>
        <v/>
      </c>
      <c r="R886" s="243" t="str">
        <f t="shared" si="111"/>
        <v/>
      </c>
      <c r="S886" s="244" t="str">
        <f t="shared" si="112"/>
        <v/>
      </c>
      <c r="T886" s="245" t="str">
        <f t="shared" si="113"/>
        <v/>
      </c>
      <c r="U886" s="246" t="str">
        <f t="shared" si="114"/>
        <v/>
      </c>
      <c r="V886" s="8"/>
      <c r="AR886" t="str">
        <f t="shared" si="115"/>
        <v/>
      </c>
      <c r="AS886" t="str">
        <f t="shared" si="110"/>
        <v/>
      </c>
    </row>
    <row r="887" spans="1:45" x14ac:dyDescent="0.3">
      <c r="A887" s="231"/>
      <c r="B887" s="235"/>
      <c r="C887" s="214"/>
      <c r="D887" s="214"/>
      <c r="E887" s="214"/>
      <c r="F887" s="214"/>
      <c r="G887" s="222"/>
      <c r="H887" s="221"/>
      <c r="I887" s="213"/>
      <c r="J887" s="213"/>
      <c r="K887" s="215"/>
      <c r="L887" s="216"/>
      <c r="M887" s="217"/>
      <c r="N887" s="176"/>
      <c r="O887" s="241" t="str">
        <f>IF(Q887 = "", "", COUNT(Q$4:$Q887))</f>
        <v/>
      </c>
      <c r="P887" s="241" t="str">
        <f t="shared" si="108"/>
        <v/>
      </c>
      <c r="Q887" s="242" t="str">
        <f t="shared" si="109"/>
        <v/>
      </c>
      <c r="R887" s="243" t="str">
        <f t="shared" si="111"/>
        <v/>
      </c>
      <c r="S887" s="244" t="str">
        <f t="shared" si="112"/>
        <v/>
      </c>
      <c r="T887" s="245" t="str">
        <f t="shared" si="113"/>
        <v/>
      </c>
      <c r="U887" s="246" t="str">
        <f t="shared" si="114"/>
        <v/>
      </c>
      <c r="V887" s="8"/>
      <c r="AR887" t="str">
        <f t="shared" si="115"/>
        <v/>
      </c>
      <c r="AS887" t="str">
        <f t="shared" si="110"/>
        <v/>
      </c>
    </row>
    <row r="888" spans="1:45" x14ac:dyDescent="0.3">
      <c r="A888" s="231"/>
      <c r="B888" s="235"/>
      <c r="C888" s="214"/>
      <c r="D888" s="214"/>
      <c r="E888" s="214"/>
      <c r="F888" s="214"/>
      <c r="G888" s="222"/>
      <c r="H888" s="221"/>
      <c r="I888" s="213"/>
      <c r="J888" s="213"/>
      <c r="K888" s="215"/>
      <c r="L888" s="216"/>
      <c r="M888" s="217"/>
      <c r="N888" s="176"/>
      <c r="O888" s="241" t="str">
        <f>IF(Q888 = "", "", COUNT(Q$4:$Q888))</f>
        <v/>
      </c>
      <c r="P888" s="241" t="str">
        <f t="shared" si="108"/>
        <v/>
      </c>
      <c r="Q888" s="242" t="str">
        <f t="shared" si="109"/>
        <v/>
      </c>
      <c r="R888" s="243" t="str">
        <f t="shared" si="111"/>
        <v/>
      </c>
      <c r="S888" s="244" t="str">
        <f t="shared" si="112"/>
        <v/>
      </c>
      <c r="T888" s="245" t="str">
        <f t="shared" si="113"/>
        <v/>
      </c>
      <c r="U888" s="246" t="str">
        <f t="shared" si="114"/>
        <v/>
      </c>
      <c r="V888" s="8"/>
      <c r="AR888" t="str">
        <f t="shared" si="115"/>
        <v/>
      </c>
      <c r="AS888" t="str">
        <f t="shared" si="110"/>
        <v/>
      </c>
    </row>
    <row r="889" spans="1:45" x14ac:dyDescent="0.3">
      <c r="A889" s="231"/>
      <c r="B889" s="235"/>
      <c r="C889" s="214"/>
      <c r="D889" s="214"/>
      <c r="E889" s="214"/>
      <c r="F889" s="214"/>
      <c r="G889" s="222"/>
      <c r="H889" s="221"/>
      <c r="I889" s="213"/>
      <c r="J889" s="213"/>
      <c r="K889" s="215"/>
      <c r="L889" s="216"/>
      <c r="M889" s="217"/>
      <c r="N889" s="176"/>
      <c r="O889" s="241" t="str">
        <f>IF(Q889 = "", "", COUNT(Q$4:$Q889))</f>
        <v/>
      </c>
      <c r="P889" s="241" t="str">
        <f t="shared" si="108"/>
        <v/>
      </c>
      <c r="Q889" s="242" t="str">
        <f t="shared" si="109"/>
        <v/>
      </c>
      <c r="R889" s="243" t="str">
        <f t="shared" si="111"/>
        <v/>
      </c>
      <c r="S889" s="244" t="str">
        <f t="shared" si="112"/>
        <v/>
      </c>
      <c r="T889" s="245" t="str">
        <f t="shared" si="113"/>
        <v/>
      </c>
      <c r="U889" s="246" t="str">
        <f t="shared" si="114"/>
        <v/>
      </c>
      <c r="V889" s="8"/>
      <c r="AR889" t="str">
        <f t="shared" si="115"/>
        <v/>
      </c>
      <c r="AS889" t="str">
        <f t="shared" si="110"/>
        <v/>
      </c>
    </row>
    <row r="890" spans="1:45" x14ac:dyDescent="0.3">
      <c r="A890" s="231"/>
      <c r="B890" s="235"/>
      <c r="C890" s="214"/>
      <c r="D890" s="214"/>
      <c r="E890" s="214"/>
      <c r="F890" s="214"/>
      <c r="G890" s="222"/>
      <c r="H890" s="221"/>
      <c r="I890" s="213"/>
      <c r="J890" s="213"/>
      <c r="K890" s="215"/>
      <c r="L890" s="216"/>
      <c r="M890" s="217"/>
      <c r="N890" s="176"/>
      <c r="O890" s="241" t="str">
        <f>IF(Q890 = "", "", COUNT(Q$4:$Q890))</f>
        <v/>
      </c>
      <c r="P890" s="241" t="str">
        <f t="shared" si="108"/>
        <v/>
      </c>
      <c r="Q890" s="242" t="str">
        <f t="shared" si="109"/>
        <v/>
      </c>
      <c r="R890" s="243" t="str">
        <f t="shared" si="111"/>
        <v/>
      </c>
      <c r="S890" s="244" t="str">
        <f t="shared" si="112"/>
        <v/>
      </c>
      <c r="T890" s="245" t="str">
        <f t="shared" si="113"/>
        <v/>
      </c>
      <c r="U890" s="246" t="str">
        <f t="shared" si="114"/>
        <v/>
      </c>
      <c r="V890" s="8"/>
      <c r="AR890" t="str">
        <f t="shared" si="115"/>
        <v/>
      </c>
      <c r="AS890" t="str">
        <f t="shared" si="110"/>
        <v/>
      </c>
    </row>
    <row r="891" spans="1:45" x14ac:dyDescent="0.3">
      <c r="A891" s="231"/>
      <c r="B891" s="235"/>
      <c r="C891" s="214"/>
      <c r="D891" s="214"/>
      <c r="E891" s="214"/>
      <c r="F891" s="214"/>
      <c r="G891" s="222"/>
      <c r="H891" s="221"/>
      <c r="I891" s="213"/>
      <c r="J891" s="213"/>
      <c r="K891" s="215"/>
      <c r="L891" s="216"/>
      <c r="M891" s="217"/>
      <c r="N891" s="176"/>
      <c r="O891" s="241" t="str">
        <f>IF(Q891 = "", "", COUNT(Q$4:$Q891))</f>
        <v/>
      </c>
      <c r="P891" s="241" t="str">
        <f t="shared" si="108"/>
        <v/>
      </c>
      <c r="Q891" s="242" t="str">
        <f t="shared" si="109"/>
        <v/>
      </c>
      <c r="R891" s="243" t="str">
        <f t="shared" si="111"/>
        <v/>
      </c>
      <c r="S891" s="244" t="str">
        <f t="shared" si="112"/>
        <v/>
      </c>
      <c r="T891" s="245" t="str">
        <f t="shared" si="113"/>
        <v/>
      </c>
      <c r="U891" s="246" t="str">
        <f t="shared" si="114"/>
        <v/>
      </c>
      <c r="V891" s="8"/>
      <c r="AR891" t="str">
        <f t="shared" si="115"/>
        <v/>
      </c>
      <c r="AS891" t="str">
        <f t="shared" si="110"/>
        <v/>
      </c>
    </row>
    <row r="892" spans="1:45" x14ac:dyDescent="0.3">
      <c r="A892" s="231"/>
      <c r="B892" s="235"/>
      <c r="C892" s="214"/>
      <c r="D892" s="214"/>
      <c r="E892" s="214"/>
      <c r="F892" s="214"/>
      <c r="G892" s="222"/>
      <c r="H892" s="221"/>
      <c r="I892" s="213"/>
      <c r="J892" s="213"/>
      <c r="K892" s="215"/>
      <c r="L892" s="216"/>
      <c r="M892" s="217"/>
      <c r="N892" s="176"/>
      <c r="O892" s="241" t="str">
        <f>IF(Q892 = "", "", COUNT(Q$4:$Q892))</f>
        <v/>
      </c>
      <c r="P892" s="241" t="str">
        <f t="shared" si="108"/>
        <v/>
      </c>
      <c r="Q892" s="242" t="str">
        <f t="shared" si="109"/>
        <v/>
      </c>
      <c r="R892" s="243" t="str">
        <f t="shared" si="111"/>
        <v/>
      </c>
      <c r="S892" s="244" t="str">
        <f t="shared" si="112"/>
        <v/>
      </c>
      <c r="T892" s="245" t="str">
        <f t="shared" si="113"/>
        <v/>
      </c>
      <c r="U892" s="246" t="str">
        <f t="shared" si="114"/>
        <v/>
      </c>
      <c r="V892" s="8"/>
      <c r="AR892" t="str">
        <f t="shared" si="115"/>
        <v/>
      </c>
      <c r="AS892" t="str">
        <f t="shared" si="110"/>
        <v/>
      </c>
    </row>
    <row r="893" spans="1:45" x14ac:dyDescent="0.3">
      <c r="A893" s="231"/>
      <c r="B893" s="235"/>
      <c r="C893" s="214"/>
      <c r="D893" s="214"/>
      <c r="E893" s="214"/>
      <c r="F893" s="214"/>
      <c r="G893" s="222"/>
      <c r="H893" s="221"/>
      <c r="I893" s="213"/>
      <c r="J893" s="213"/>
      <c r="K893" s="215"/>
      <c r="L893" s="216"/>
      <c r="M893" s="217"/>
      <c r="N893" s="176"/>
      <c r="O893" s="241" t="str">
        <f>IF(Q893 = "", "", COUNT(Q$4:$Q893))</f>
        <v/>
      </c>
      <c r="P893" s="241" t="str">
        <f t="shared" si="108"/>
        <v/>
      </c>
      <c r="Q893" s="242" t="str">
        <f t="shared" si="109"/>
        <v/>
      </c>
      <c r="R893" s="243" t="str">
        <f t="shared" si="111"/>
        <v/>
      </c>
      <c r="S893" s="244" t="str">
        <f t="shared" si="112"/>
        <v/>
      </c>
      <c r="T893" s="245" t="str">
        <f t="shared" si="113"/>
        <v/>
      </c>
      <c r="U893" s="246" t="str">
        <f t="shared" si="114"/>
        <v/>
      </c>
      <c r="V893" s="8"/>
      <c r="AR893" t="str">
        <f t="shared" si="115"/>
        <v/>
      </c>
      <c r="AS893" t="str">
        <f t="shared" si="110"/>
        <v/>
      </c>
    </row>
    <row r="894" spans="1:45" x14ac:dyDescent="0.3">
      <c r="A894" s="231"/>
      <c r="B894" s="235"/>
      <c r="C894" s="214"/>
      <c r="D894" s="214"/>
      <c r="E894" s="214"/>
      <c r="F894" s="214"/>
      <c r="G894" s="222"/>
      <c r="H894" s="221"/>
      <c r="I894" s="213"/>
      <c r="J894" s="213"/>
      <c r="K894" s="215"/>
      <c r="L894" s="216"/>
      <c r="M894" s="217"/>
      <c r="N894" s="176"/>
      <c r="O894" s="241" t="str">
        <f>IF(Q894 = "", "", COUNT(Q$4:$Q894))</f>
        <v/>
      </c>
      <c r="P894" s="241" t="str">
        <f t="shared" si="108"/>
        <v/>
      </c>
      <c r="Q894" s="242" t="str">
        <f t="shared" si="109"/>
        <v/>
      </c>
      <c r="R894" s="243" t="str">
        <f t="shared" si="111"/>
        <v/>
      </c>
      <c r="S894" s="244" t="str">
        <f t="shared" si="112"/>
        <v/>
      </c>
      <c r="T894" s="245" t="str">
        <f t="shared" si="113"/>
        <v/>
      </c>
      <c r="U894" s="246" t="str">
        <f t="shared" si="114"/>
        <v/>
      </c>
      <c r="V894" s="8"/>
      <c r="AR894" t="str">
        <f t="shared" si="115"/>
        <v/>
      </c>
      <c r="AS894" t="str">
        <f t="shared" si="110"/>
        <v/>
      </c>
    </row>
    <row r="895" spans="1:45" x14ac:dyDescent="0.3">
      <c r="A895" s="231"/>
      <c r="B895" s="235"/>
      <c r="C895" s="214"/>
      <c r="D895" s="214"/>
      <c r="E895" s="214"/>
      <c r="F895" s="214"/>
      <c r="G895" s="222"/>
      <c r="H895" s="221"/>
      <c r="I895" s="213"/>
      <c r="J895" s="213"/>
      <c r="K895" s="215"/>
      <c r="L895" s="216"/>
      <c r="M895" s="217"/>
      <c r="N895" s="176"/>
      <c r="O895" s="241" t="str">
        <f>IF(Q895 = "", "", COUNT(Q$4:$Q895))</f>
        <v/>
      </c>
      <c r="P895" s="241" t="str">
        <f t="shared" si="108"/>
        <v/>
      </c>
      <c r="Q895" s="242" t="str">
        <f t="shared" si="109"/>
        <v/>
      </c>
      <c r="R895" s="243" t="str">
        <f t="shared" si="111"/>
        <v/>
      </c>
      <c r="S895" s="244" t="str">
        <f t="shared" si="112"/>
        <v/>
      </c>
      <c r="T895" s="245" t="str">
        <f t="shared" si="113"/>
        <v/>
      </c>
      <c r="U895" s="246" t="str">
        <f t="shared" si="114"/>
        <v/>
      </c>
      <c r="V895" s="8"/>
      <c r="AR895" t="str">
        <f t="shared" si="115"/>
        <v/>
      </c>
      <c r="AS895" t="str">
        <f t="shared" si="110"/>
        <v/>
      </c>
    </row>
    <row r="896" spans="1:45" x14ac:dyDescent="0.3">
      <c r="A896" s="231"/>
      <c r="B896" s="235"/>
      <c r="C896" s="214"/>
      <c r="D896" s="214"/>
      <c r="E896" s="214"/>
      <c r="F896" s="214"/>
      <c r="G896" s="222"/>
      <c r="H896" s="221"/>
      <c r="I896" s="213"/>
      <c r="J896" s="213"/>
      <c r="K896" s="215"/>
      <c r="L896" s="216"/>
      <c r="M896" s="217"/>
      <c r="N896" s="176"/>
      <c r="O896" s="241" t="str">
        <f>IF(Q896 = "", "", COUNT(Q$4:$Q896))</f>
        <v/>
      </c>
      <c r="P896" s="241" t="str">
        <f t="shared" si="108"/>
        <v/>
      </c>
      <c r="Q896" s="242" t="str">
        <f t="shared" si="109"/>
        <v/>
      </c>
      <c r="R896" s="243" t="str">
        <f t="shared" si="111"/>
        <v/>
      </c>
      <c r="S896" s="244" t="str">
        <f t="shared" si="112"/>
        <v/>
      </c>
      <c r="T896" s="245" t="str">
        <f t="shared" si="113"/>
        <v/>
      </c>
      <c r="U896" s="246" t="str">
        <f t="shared" si="114"/>
        <v/>
      </c>
      <c r="V896" s="8"/>
      <c r="AR896" t="str">
        <f t="shared" si="115"/>
        <v/>
      </c>
      <c r="AS896" t="str">
        <f t="shared" si="110"/>
        <v/>
      </c>
    </row>
    <row r="897" spans="1:45" x14ac:dyDescent="0.3">
      <c r="A897" s="231"/>
      <c r="B897" s="235"/>
      <c r="C897" s="214"/>
      <c r="D897" s="214"/>
      <c r="E897" s="214"/>
      <c r="F897" s="214"/>
      <c r="G897" s="222"/>
      <c r="H897" s="221"/>
      <c r="I897" s="213"/>
      <c r="J897" s="213"/>
      <c r="K897" s="215"/>
      <c r="L897" s="216"/>
      <c r="M897" s="217"/>
      <c r="N897" s="176"/>
      <c r="O897" s="241" t="str">
        <f>IF(Q897 = "", "", COUNT(Q$4:$Q897))</f>
        <v/>
      </c>
      <c r="P897" s="241" t="str">
        <f t="shared" si="108"/>
        <v/>
      </c>
      <c r="Q897" s="242" t="str">
        <f t="shared" si="109"/>
        <v/>
      </c>
      <c r="R897" s="243" t="str">
        <f t="shared" si="111"/>
        <v/>
      </c>
      <c r="S897" s="244" t="str">
        <f t="shared" si="112"/>
        <v/>
      </c>
      <c r="T897" s="245" t="str">
        <f t="shared" si="113"/>
        <v/>
      </c>
      <c r="U897" s="246" t="str">
        <f t="shared" si="114"/>
        <v/>
      </c>
      <c r="V897" s="8"/>
      <c r="AR897" t="str">
        <f t="shared" si="115"/>
        <v/>
      </c>
      <c r="AS897" t="str">
        <f t="shared" si="110"/>
        <v/>
      </c>
    </row>
    <row r="898" spans="1:45" x14ac:dyDescent="0.3">
      <c r="A898" s="231"/>
      <c r="B898" s="235"/>
      <c r="C898" s="214"/>
      <c r="D898" s="214"/>
      <c r="E898" s="214"/>
      <c r="F898" s="214"/>
      <c r="G898" s="222"/>
      <c r="H898" s="221"/>
      <c r="I898" s="213"/>
      <c r="J898" s="213"/>
      <c r="K898" s="215"/>
      <c r="L898" s="216"/>
      <c r="M898" s="217"/>
      <c r="N898" s="176"/>
      <c r="O898" s="241" t="str">
        <f>IF(Q898 = "", "", COUNT(Q$4:$Q898))</f>
        <v/>
      </c>
      <c r="P898" s="241" t="str">
        <f t="shared" si="108"/>
        <v/>
      </c>
      <c r="Q898" s="242" t="str">
        <f t="shared" si="109"/>
        <v/>
      </c>
      <c r="R898" s="243" t="str">
        <f t="shared" si="111"/>
        <v/>
      </c>
      <c r="S898" s="244" t="str">
        <f t="shared" si="112"/>
        <v/>
      </c>
      <c r="T898" s="245" t="str">
        <f t="shared" si="113"/>
        <v/>
      </c>
      <c r="U898" s="246" t="str">
        <f t="shared" si="114"/>
        <v/>
      </c>
      <c r="V898" s="8"/>
      <c r="AR898" t="str">
        <f t="shared" si="115"/>
        <v/>
      </c>
      <c r="AS898" t="str">
        <f t="shared" si="110"/>
        <v/>
      </c>
    </row>
    <row r="899" spans="1:45" x14ac:dyDescent="0.3">
      <c r="A899" s="231"/>
      <c r="B899" s="235"/>
      <c r="C899" s="214"/>
      <c r="D899" s="214"/>
      <c r="E899" s="214"/>
      <c r="F899" s="214"/>
      <c r="G899" s="222"/>
      <c r="H899" s="221"/>
      <c r="I899" s="213"/>
      <c r="J899" s="213"/>
      <c r="K899" s="215"/>
      <c r="L899" s="216"/>
      <c r="M899" s="217"/>
      <c r="N899" s="176"/>
      <c r="O899" s="241" t="str">
        <f>IF(Q899 = "", "", COUNT(Q$4:$Q899))</f>
        <v/>
      </c>
      <c r="P899" s="241" t="str">
        <f t="shared" si="108"/>
        <v/>
      </c>
      <c r="Q899" s="242" t="str">
        <f t="shared" si="109"/>
        <v/>
      </c>
      <c r="R899" s="243" t="str">
        <f t="shared" si="111"/>
        <v/>
      </c>
      <c r="S899" s="244" t="str">
        <f t="shared" si="112"/>
        <v/>
      </c>
      <c r="T899" s="245" t="str">
        <f t="shared" si="113"/>
        <v/>
      </c>
      <c r="U899" s="246" t="str">
        <f t="shared" si="114"/>
        <v/>
      </c>
      <c r="V899" s="8"/>
      <c r="AR899" t="str">
        <f t="shared" si="115"/>
        <v/>
      </c>
      <c r="AS899" t="str">
        <f t="shared" si="110"/>
        <v/>
      </c>
    </row>
    <row r="900" spans="1:45" x14ac:dyDescent="0.3">
      <c r="A900" s="231"/>
      <c r="B900" s="235"/>
      <c r="C900" s="214"/>
      <c r="D900" s="214"/>
      <c r="E900" s="214"/>
      <c r="F900" s="214"/>
      <c r="G900" s="222"/>
      <c r="H900" s="221"/>
      <c r="I900" s="213"/>
      <c r="J900" s="213"/>
      <c r="K900" s="215"/>
      <c r="L900" s="216"/>
      <c r="M900" s="217"/>
      <c r="N900" s="176"/>
      <c r="O900" s="241" t="str">
        <f>IF(Q900 = "", "", COUNT(Q$4:$Q900))</f>
        <v/>
      </c>
      <c r="P900" s="241" t="str">
        <f t="shared" ref="P900:P963" si="116">IF(C900 &gt; 0, YEAR(B900), "")</f>
        <v/>
      </c>
      <c r="Q900" s="242" t="str">
        <f t="shared" ref="Q900:Q963" si="117">IF(A900="", "", IF(G900="",1,IF(G900="O",1,IF(G900="C",8.4,IF(G900="B",8.4,IF(G900="A",76.8,IF(G900="K",76.8,"ERR")))))))</f>
        <v/>
      </c>
      <c r="R900" s="243" t="str">
        <f t="shared" si="111"/>
        <v/>
      </c>
      <c r="S900" s="244" t="str">
        <f t="shared" si="112"/>
        <v/>
      </c>
      <c r="T900" s="245" t="str">
        <f t="shared" si="113"/>
        <v/>
      </c>
      <c r="U900" s="246" t="str">
        <f t="shared" si="114"/>
        <v/>
      </c>
      <c r="V900" s="8"/>
      <c r="AR900" t="str">
        <f t="shared" si="115"/>
        <v/>
      </c>
      <c r="AS900" t="str">
        <f t="shared" ref="AS900:AS963" si="118">IF(OR(L900="Y",M900="Y"),"Y","")</f>
        <v/>
      </c>
    </row>
    <row r="901" spans="1:45" x14ac:dyDescent="0.3">
      <c r="A901" s="231"/>
      <c r="B901" s="235"/>
      <c r="C901" s="214"/>
      <c r="D901" s="214"/>
      <c r="E901" s="214"/>
      <c r="F901" s="214"/>
      <c r="G901" s="222"/>
      <c r="H901" s="221"/>
      <c r="I901" s="213"/>
      <c r="J901" s="213"/>
      <c r="K901" s="215"/>
      <c r="L901" s="216"/>
      <c r="M901" s="217"/>
      <c r="N901" s="176"/>
      <c r="O901" s="241" t="str">
        <f>IF(Q901 = "", "", COUNT(Q$4:$Q901))</f>
        <v/>
      </c>
      <c r="P901" s="241" t="str">
        <f t="shared" si="116"/>
        <v/>
      </c>
      <c r="Q901" s="242" t="str">
        <f t="shared" si="117"/>
        <v/>
      </c>
      <c r="R901" s="243" t="str">
        <f t="shared" ref="R901:R964" si="119">IF(L901&lt;&gt;"",Q901,"")</f>
        <v/>
      </c>
      <c r="S901" s="244" t="str">
        <f t="shared" ref="S901:S964" si="120">IF(IF(L901&lt;&gt;"",G901,"")=0, "O", IF(L901&lt;&gt;"",G901,""))</f>
        <v/>
      </c>
      <c r="T901" s="245" t="str">
        <f t="shared" ref="T901:T964" si="121">IF(M901&lt;&gt;"",Q901,"")</f>
        <v/>
      </c>
      <c r="U901" s="246" t="str">
        <f t="shared" ref="U901:U964" si="122">IF(IF(M901&lt;&gt;"",G901,"")=0, "O", IF(M901&lt;&gt;"",G901,""))</f>
        <v/>
      </c>
      <c r="V901" s="8"/>
      <c r="AR901" t="str">
        <f t="shared" ref="AR901:AR964" si="123">IF(O901&gt;0, O901, "")</f>
        <v/>
      </c>
      <c r="AS901" t="str">
        <f t="shared" si="118"/>
        <v/>
      </c>
    </row>
    <row r="902" spans="1:45" x14ac:dyDescent="0.3">
      <c r="A902" s="231"/>
      <c r="B902" s="235"/>
      <c r="C902" s="214"/>
      <c r="D902" s="214"/>
      <c r="E902" s="214"/>
      <c r="F902" s="214"/>
      <c r="G902" s="222"/>
      <c r="H902" s="221"/>
      <c r="I902" s="213"/>
      <c r="J902" s="213"/>
      <c r="K902" s="215"/>
      <c r="L902" s="216"/>
      <c r="M902" s="217"/>
      <c r="N902" s="176"/>
      <c r="O902" s="241" t="str">
        <f>IF(Q902 = "", "", COUNT(Q$4:$Q902))</f>
        <v/>
      </c>
      <c r="P902" s="241" t="str">
        <f t="shared" si="116"/>
        <v/>
      </c>
      <c r="Q902" s="242" t="str">
        <f t="shared" si="117"/>
        <v/>
      </c>
      <c r="R902" s="243" t="str">
        <f t="shared" si="119"/>
        <v/>
      </c>
      <c r="S902" s="244" t="str">
        <f t="shared" si="120"/>
        <v/>
      </c>
      <c r="T902" s="245" t="str">
        <f t="shared" si="121"/>
        <v/>
      </c>
      <c r="U902" s="246" t="str">
        <f t="shared" si="122"/>
        <v/>
      </c>
      <c r="V902" s="8"/>
      <c r="AR902" t="str">
        <f t="shared" si="123"/>
        <v/>
      </c>
      <c r="AS902" t="str">
        <f t="shared" si="118"/>
        <v/>
      </c>
    </row>
    <row r="903" spans="1:45" x14ac:dyDescent="0.3">
      <c r="A903" s="231"/>
      <c r="B903" s="235"/>
      <c r="C903" s="214"/>
      <c r="D903" s="214"/>
      <c r="E903" s="214"/>
      <c r="F903" s="214"/>
      <c r="G903" s="222"/>
      <c r="H903" s="221"/>
      <c r="I903" s="213"/>
      <c r="J903" s="213"/>
      <c r="K903" s="215"/>
      <c r="L903" s="216"/>
      <c r="M903" s="217"/>
      <c r="N903" s="176"/>
      <c r="O903" s="241" t="str">
        <f>IF(Q903 = "", "", COUNT(Q$4:$Q903))</f>
        <v/>
      </c>
      <c r="P903" s="241" t="str">
        <f t="shared" si="116"/>
        <v/>
      </c>
      <c r="Q903" s="242" t="str">
        <f t="shared" si="117"/>
        <v/>
      </c>
      <c r="R903" s="243" t="str">
        <f t="shared" si="119"/>
        <v/>
      </c>
      <c r="S903" s="244" t="str">
        <f t="shared" si="120"/>
        <v/>
      </c>
      <c r="T903" s="245" t="str">
        <f t="shared" si="121"/>
        <v/>
      </c>
      <c r="U903" s="246" t="str">
        <f t="shared" si="122"/>
        <v/>
      </c>
      <c r="V903" s="8"/>
      <c r="AR903" t="str">
        <f t="shared" si="123"/>
        <v/>
      </c>
      <c r="AS903" t="str">
        <f t="shared" si="118"/>
        <v/>
      </c>
    </row>
    <row r="904" spans="1:45" x14ac:dyDescent="0.3">
      <c r="A904" s="231"/>
      <c r="B904" s="235"/>
      <c r="C904" s="214"/>
      <c r="D904" s="214"/>
      <c r="E904" s="214"/>
      <c r="F904" s="214"/>
      <c r="G904" s="222"/>
      <c r="H904" s="221"/>
      <c r="I904" s="213"/>
      <c r="J904" s="213"/>
      <c r="K904" s="215"/>
      <c r="L904" s="216"/>
      <c r="M904" s="217"/>
      <c r="N904" s="176"/>
      <c r="O904" s="241" t="str">
        <f>IF(Q904 = "", "", COUNT(Q$4:$Q904))</f>
        <v/>
      </c>
      <c r="P904" s="241" t="str">
        <f t="shared" si="116"/>
        <v/>
      </c>
      <c r="Q904" s="242" t="str">
        <f t="shared" si="117"/>
        <v/>
      </c>
      <c r="R904" s="243" t="str">
        <f t="shared" si="119"/>
        <v/>
      </c>
      <c r="S904" s="244" t="str">
        <f t="shared" si="120"/>
        <v/>
      </c>
      <c r="T904" s="245" t="str">
        <f t="shared" si="121"/>
        <v/>
      </c>
      <c r="U904" s="246" t="str">
        <f t="shared" si="122"/>
        <v/>
      </c>
      <c r="V904" s="8"/>
      <c r="AR904" t="str">
        <f t="shared" si="123"/>
        <v/>
      </c>
      <c r="AS904" t="str">
        <f t="shared" si="118"/>
        <v/>
      </c>
    </row>
    <row r="905" spans="1:45" x14ac:dyDescent="0.3">
      <c r="A905" s="231"/>
      <c r="B905" s="235"/>
      <c r="C905" s="214"/>
      <c r="D905" s="214"/>
      <c r="E905" s="214"/>
      <c r="F905" s="214"/>
      <c r="G905" s="222"/>
      <c r="H905" s="221"/>
      <c r="I905" s="213"/>
      <c r="J905" s="213"/>
      <c r="K905" s="215"/>
      <c r="L905" s="216"/>
      <c r="M905" s="217"/>
      <c r="N905" s="176"/>
      <c r="O905" s="241" t="str">
        <f>IF(Q905 = "", "", COUNT(Q$4:$Q905))</f>
        <v/>
      </c>
      <c r="P905" s="241" t="str">
        <f t="shared" si="116"/>
        <v/>
      </c>
      <c r="Q905" s="242" t="str">
        <f t="shared" si="117"/>
        <v/>
      </c>
      <c r="R905" s="243" t="str">
        <f t="shared" si="119"/>
        <v/>
      </c>
      <c r="S905" s="244" t="str">
        <f t="shared" si="120"/>
        <v/>
      </c>
      <c r="T905" s="245" t="str">
        <f t="shared" si="121"/>
        <v/>
      </c>
      <c r="U905" s="246" t="str">
        <f t="shared" si="122"/>
        <v/>
      </c>
      <c r="V905" s="8"/>
      <c r="AR905" t="str">
        <f t="shared" si="123"/>
        <v/>
      </c>
      <c r="AS905" t="str">
        <f t="shared" si="118"/>
        <v/>
      </c>
    </row>
    <row r="906" spans="1:45" x14ac:dyDescent="0.3">
      <c r="A906" s="231"/>
      <c r="B906" s="235"/>
      <c r="C906" s="214"/>
      <c r="D906" s="214"/>
      <c r="E906" s="214"/>
      <c r="F906" s="214"/>
      <c r="G906" s="222"/>
      <c r="H906" s="221"/>
      <c r="I906" s="213"/>
      <c r="J906" s="213"/>
      <c r="K906" s="215"/>
      <c r="L906" s="216"/>
      <c r="M906" s="217"/>
      <c r="N906" s="176"/>
      <c r="O906" s="241" t="str">
        <f>IF(Q906 = "", "", COUNT(Q$4:$Q906))</f>
        <v/>
      </c>
      <c r="P906" s="241" t="str">
        <f t="shared" si="116"/>
        <v/>
      </c>
      <c r="Q906" s="242" t="str">
        <f t="shared" si="117"/>
        <v/>
      </c>
      <c r="R906" s="243" t="str">
        <f t="shared" si="119"/>
        <v/>
      </c>
      <c r="S906" s="244" t="str">
        <f t="shared" si="120"/>
        <v/>
      </c>
      <c r="T906" s="245" t="str">
        <f t="shared" si="121"/>
        <v/>
      </c>
      <c r="U906" s="246" t="str">
        <f t="shared" si="122"/>
        <v/>
      </c>
      <c r="V906" s="8"/>
      <c r="AR906" t="str">
        <f t="shared" si="123"/>
        <v/>
      </c>
      <c r="AS906" t="str">
        <f t="shared" si="118"/>
        <v/>
      </c>
    </row>
    <row r="907" spans="1:45" x14ac:dyDescent="0.3">
      <c r="A907" s="231"/>
      <c r="B907" s="235"/>
      <c r="C907" s="214"/>
      <c r="D907" s="214"/>
      <c r="E907" s="214"/>
      <c r="F907" s="214"/>
      <c r="G907" s="222"/>
      <c r="H907" s="221"/>
      <c r="I907" s="213"/>
      <c r="J907" s="213"/>
      <c r="K907" s="215"/>
      <c r="L907" s="216"/>
      <c r="M907" s="217"/>
      <c r="N907" s="176"/>
      <c r="O907" s="241" t="str">
        <f>IF(Q907 = "", "", COUNT(Q$4:$Q907))</f>
        <v/>
      </c>
      <c r="P907" s="241" t="str">
        <f t="shared" si="116"/>
        <v/>
      </c>
      <c r="Q907" s="242" t="str">
        <f t="shared" si="117"/>
        <v/>
      </c>
      <c r="R907" s="243" t="str">
        <f t="shared" si="119"/>
        <v/>
      </c>
      <c r="S907" s="244" t="str">
        <f t="shared" si="120"/>
        <v/>
      </c>
      <c r="T907" s="245" t="str">
        <f t="shared" si="121"/>
        <v/>
      </c>
      <c r="U907" s="246" t="str">
        <f t="shared" si="122"/>
        <v/>
      </c>
      <c r="V907" s="8"/>
      <c r="AR907" t="str">
        <f t="shared" si="123"/>
        <v/>
      </c>
      <c r="AS907" t="str">
        <f t="shared" si="118"/>
        <v/>
      </c>
    </row>
    <row r="908" spans="1:45" x14ac:dyDescent="0.3">
      <c r="A908" s="231"/>
      <c r="B908" s="235"/>
      <c r="C908" s="214"/>
      <c r="D908" s="214"/>
      <c r="E908" s="214"/>
      <c r="F908" s="214"/>
      <c r="G908" s="222"/>
      <c r="H908" s="221"/>
      <c r="I908" s="213"/>
      <c r="J908" s="213"/>
      <c r="K908" s="215"/>
      <c r="L908" s="216"/>
      <c r="M908" s="217"/>
      <c r="N908" s="176"/>
      <c r="O908" s="241" t="str">
        <f>IF(Q908 = "", "", COUNT(Q$4:$Q908))</f>
        <v/>
      </c>
      <c r="P908" s="241" t="str">
        <f t="shared" si="116"/>
        <v/>
      </c>
      <c r="Q908" s="242" t="str">
        <f t="shared" si="117"/>
        <v/>
      </c>
      <c r="R908" s="243" t="str">
        <f t="shared" si="119"/>
        <v/>
      </c>
      <c r="S908" s="244" t="str">
        <f t="shared" si="120"/>
        <v/>
      </c>
      <c r="T908" s="245" t="str">
        <f t="shared" si="121"/>
        <v/>
      </c>
      <c r="U908" s="246" t="str">
        <f t="shared" si="122"/>
        <v/>
      </c>
      <c r="V908" s="8"/>
      <c r="AR908" t="str">
        <f t="shared" si="123"/>
        <v/>
      </c>
      <c r="AS908" t="str">
        <f t="shared" si="118"/>
        <v/>
      </c>
    </row>
    <row r="909" spans="1:45" x14ac:dyDescent="0.3">
      <c r="A909" s="231"/>
      <c r="B909" s="235"/>
      <c r="C909" s="214"/>
      <c r="D909" s="214"/>
      <c r="E909" s="214"/>
      <c r="F909" s="214"/>
      <c r="G909" s="222"/>
      <c r="H909" s="221"/>
      <c r="I909" s="213"/>
      <c r="J909" s="213"/>
      <c r="K909" s="215"/>
      <c r="L909" s="216"/>
      <c r="M909" s="217"/>
      <c r="N909" s="176"/>
      <c r="O909" s="241" t="str">
        <f>IF(Q909 = "", "", COUNT(Q$4:$Q909))</f>
        <v/>
      </c>
      <c r="P909" s="241" t="str">
        <f t="shared" si="116"/>
        <v/>
      </c>
      <c r="Q909" s="242" t="str">
        <f t="shared" si="117"/>
        <v/>
      </c>
      <c r="R909" s="243" t="str">
        <f t="shared" si="119"/>
        <v/>
      </c>
      <c r="S909" s="244" t="str">
        <f t="shared" si="120"/>
        <v/>
      </c>
      <c r="T909" s="245" t="str">
        <f t="shared" si="121"/>
        <v/>
      </c>
      <c r="U909" s="246" t="str">
        <f t="shared" si="122"/>
        <v/>
      </c>
      <c r="V909" s="8"/>
      <c r="AR909" t="str">
        <f t="shared" si="123"/>
        <v/>
      </c>
      <c r="AS909" t="str">
        <f t="shared" si="118"/>
        <v/>
      </c>
    </row>
    <row r="910" spans="1:45" x14ac:dyDescent="0.3">
      <c r="A910" s="231"/>
      <c r="B910" s="235"/>
      <c r="C910" s="214"/>
      <c r="D910" s="214"/>
      <c r="E910" s="214"/>
      <c r="F910" s="214"/>
      <c r="G910" s="222"/>
      <c r="H910" s="221"/>
      <c r="I910" s="213"/>
      <c r="J910" s="213"/>
      <c r="K910" s="215"/>
      <c r="L910" s="216"/>
      <c r="M910" s="217"/>
      <c r="N910" s="176"/>
      <c r="O910" s="241" t="str">
        <f>IF(Q910 = "", "", COUNT(Q$4:$Q910))</f>
        <v/>
      </c>
      <c r="P910" s="241" t="str">
        <f t="shared" si="116"/>
        <v/>
      </c>
      <c r="Q910" s="242" t="str">
        <f t="shared" si="117"/>
        <v/>
      </c>
      <c r="R910" s="243" t="str">
        <f t="shared" si="119"/>
        <v/>
      </c>
      <c r="S910" s="244" t="str">
        <f t="shared" si="120"/>
        <v/>
      </c>
      <c r="T910" s="245" t="str">
        <f t="shared" si="121"/>
        <v/>
      </c>
      <c r="U910" s="246" t="str">
        <f t="shared" si="122"/>
        <v/>
      </c>
      <c r="V910" s="8"/>
      <c r="AR910" t="str">
        <f t="shared" si="123"/>
        <v/>
      </c>
      <c r="AS910" t="str">
        <f t="shared" si="118"/>
        <v/>
      </c>
    </row>
    <row r="911" spans="1:45" x14ac:dyDescent="0.3">
      <c r="A911" s="231"/>
      <c r="B911" s="235"/>
      <c r="C911" s="214"/>
      <c r="D911" s="214"/>
      <c r="E911" s="214"/>
      <c r="F911" s="214"/>
      <c r="G911" s="222"/>
      <c r="H911" s="221"/>
      <c r="I911" s="213"/>
      <c r="J911" s="213"/>
      <c r="K911" s="215"/>
      <c r="L911" s="216"/>
      <c r="M911" s="217"/>
      <c r="N911" s="176"/>
      <c r="O911" s="241" t="str">
        <f>IF(Q911 = "", "", COUNT(Q$4:$Q911))</f>
        <v/>
      </c>
      <c r="P911" s="241" t="str">
        <f t="shared" si="116"/>
        <v/>
      </c>
      <c r="Q911" s="242" t="str">
        <f t="shared" si="117"/>
        <v/>
      </c>
      <c r="R911" s="243" t="str">
        <f t="shared" si="119"/>
        <v/>
      </c>
      <c r="S911" s="244" t="str">
        <f t="shared" si="120"/>
        <v/>
      </c>
      <c r="T911" s="245" t="str">
        <f t="shared" si="121"/>
        <v/>
      </c>
      <c r="U911" s="246" t="str">
        <f t="shared" si="122"/>
        <v/>
      </c>
      <c r="V911" s="8"/>
      <c r="AR911" t="str">
        <f t="shared" si="123"/>
        <v/>
      </c>
      <c r="AS911" t="str">
        <f t="shared" si="118"/>
        <v/>
      </c>
    </row>
    <row r="912" spans="1:45" x14ac:dyDescent="0.3">
      <c r="A912" s="231"/>
      <c r="B912" s="235"/>
      <c r="C912" s="214"/>
      <c r="D912" s="214"/>
      <c r="E912" s="214"/>
      <c r="F912" s="214"/>
      <c r="G912" s="222"/>
      <c r="H912" s="221"/>
      <c r="I912" s="213"/>
      <c r="J912" s="213"/>
      <c r="K912" s="215"/>
      <c r="L912" s="216"/>
      <c r="M912" s="217"/>
      <c r="N912" s="176"/>
      <c r="O912" s="241" t="str">
        <f>IF(Q912 = "", "", COUNT(Q$4:$Q912))</f>
        <v/>
      </c>
      <c r="P912" s="241" t="str">
        <f t="shared" si="116"/>
        <v/>
      </c>
      <c r="Q912" s="242" t="str">
        <f t="shared" si="117"/>
        <v/>
      </c>
      <c r="R912" s="243" t="str">
        <f t="shared" si="119"/>
        <v/>
      </c>
      <c r="S912" s="244" t="str">
        <f t="shared" si="120"/>
        <v/>
      </c>
      <c r="T912" s="245" t="str">
        <f t="shared" si="121"/>
        <v/>
      </c>
      <c r="U912" s="246" t="str">
        <f t="shared" si="122"/>
        <v/>
      </c>
      <c r="V912" s="8"/>
      <c r="AR912" t="str">
        <f t="shared" si="123"/>
        <v/>
      </c>
      <c r="AS912" t="str">
        <f t="shared" si="118"/>
        <v/>
      </c>
    </row>
    <row r="913" spans="1:45" x14ac:dyDescent="0.3">
      <c r="A913" s="231"/>
      <c r="B913" s="235"/>
      <c r="C913" s="214"/>
      <c r="D913" s="214"/>
      <c r="E913" s="214"/>
      <c r="F913" s="214"/>
      <c r="G913" s="222"/>
      <c r="H913" s="221"/>
      <c r="I913" s="213"/>
      <c r="J913" s="213"/>
      <c r="K913" s="215"/>
      <c r="L913" s="216"/>
      <c r="M913" s="217"/>
      <c r="N913" s="176"/>
      <c r="O913" s="241" t="str">
        <f>IF(Q913 = "", "", COUNT(Q$4:$Q913))</f>
        <v/>
      </c>
      <c r="P913" s="241" t="str">
        <f t="shared" si="116"/>
        <v/>
      </c>
      <c r="Q913" s="242" t="str">
        <f t="shared" si="117"/>
        <v/>
      </c>
      <c r="R913" s="243" t="str">
        <f t="shared" si="119"/>
        <v/>
      </c>
      <c r="S913" s="244" t="str">
        <f t="shared" si="120"/>
        <v/>
      </c>
      <c r="T913" s="245" t="str">
        <f t="shared" si="121"/>
        <v/>
      </c>
      <c r="U913" s="246" t="str">
        <f t="shared" si="122"/>
        <v/>
      </c>
      <c r="V913" s="8"/>
      <c r="AR913" t="str">
        <f t="shared" si="123"/>
        <v/>
      </c>
      <c r="AS913" t="str">
        <f t="shared" si="118"/>
        <v/>
      </c>
    </row>
    <row r="914" spans="1:45" x14ac:dyDescent="0.3">
      <c r="A914" s="231"/>
      <c r="B914" s="235"/>
      <c r="C914" s="214"/>
      <c r="D914" s="214"/>
      <c r="E914" s="214"/>
      <c r="F914" s="214"/>
      <c r="G914" s="222"/>
      <c r="H914" s="221"/>
      <c r="I914" s="213"/>
      <c r="J914" s="213"/>
      <c r="K914" s="215"/>
      <c r="L914" s="216"/>
      <c r="M914" s="217"/>
      <c r="N914" s="176"/>
      <c r="O914" s="241" t="str">
        <f>IF(Q914 = "", "", COUNT(Q$4:$Q914))</f>
        <v/>
      </c>
      <c r="P914" s="241" t="str">
        <f t="shared" si="116"/>
        <v/>
      </c>
      <c r="Q914" s="242" t="str">
        <f t="shared" si="117"/>
        <v/>
      </c>
      <c r="R914" s="243" t="str">
        <f t="shared" si="119"/>
        <v/>
      </c>
      <c r="S914" s="244" t="str">
        <f t="shared" si="120"/>
        <v/>
      </c>
      <c r="T914" s="245" t="str">
        <f t="shared" si="121"/>
        <v/>
      </c>
      <c r="U914" s="246" t="str">
        <f t="shared" si="122"/>
        <v/>
      </c>
      <c r="V914" s="8"/>
      <c r="AR914" t="str">
        <f t="shared" si="123"/>
        <v/>
      </c>
      <c r="AS914" t="str">
        <f t="shared" si="118"/>
        <v/>
      </c>
    </row>
    <row r="915" spans="1:45" x14ac:dyDescent="0.3">
      <c r="A915" s="231"/>
      <c r="B915" s="235"/>
      <c r="C915" s="214"/>
      <c r="D915" s="214"/>
      <c r="E915" s="214"/>
      <c r="F915" s="214"/>
      <c r="G915" s="222"/>
      <c r="H915" s="221"/>
      <c r="I915" s="213"/>
      <c r="J915" s="213"/>
      <c r="K915" s="215"/>
      <c r="L915" s="216"/>
      <c r="M915" s="217"/>
      <c r="N915" s="176"/>
      <c r="O915" s="241" t="str">
        <f>IF(Q915 = "", "", COUNT(Q$4:$Q915))</f>
        <v/>
      </c>
      <c r="P915" s="241" t="str">
        <f t="shared" si="116"/>
        <v/>
      </c>
      <c r="Q915" s="242" t="str">
        <f t="shared" si="117"/>
        <v/>
      </c>
      <c r="R915" s="243" t="str">
        <f t="shared" si="119"/>
        <v/>
      </c>
      <c r="S915" s="244" t="str">
        <f t="shared" si="120"/>
        <v/>
      </c>
      <c r="T915" s="245" t="str">
        <f t="shared" si="121"/>
        <v/>
      </c>
      <c r="U915" s="246" t="str">
        <f t="shared" si="122"/>
        <v/>
      </c>
      <c r="V915" s="8"/>
      <c r="AR915" t="str">
        <f t="shared" si="123"/>
        <v/>
      </c>
      <c r="AS915" t="str">
        <f t="shared" si="118"/>
        <v/>
      </c>
    </row>
    <row r="916" spans="1:45" x14ac:dyDescent="0.3">
      <c r="A916" s="231"/>
      <c r="B916" s="235"/>
      <c r="C916" s="214"/>
      <c r="D916" s="214"/>
      <c r="E916" s="214"/>
      <c r="F916" s="214"/>
      <c r="G916" s="222"/>
      <c r="H916" s="221"/>
      <c r="I916" s="213"/>
      <c r="J916" s="213"/>
      <c r="K916" s="215"/>
      <c r="L916" s="216"/>
      <c r="M916" s="217"/>
      <c r="N916" s="176"/>
      <c r="O916" s="241" t="str">
        <f>IF(Q916 = "", "", COUNT(Q$4:$Q916))</f>
        <v/>
      </c>
      <c r="P916" s="241" t="str">
        <f t="shared" si="116"/>
        <v/>
      </c>
      <c r="Q916" s="242" t="str">
        <f t="shared" si="117"/>
        <v/>
      </c>
      <c r="R916" s="243" t="str">
        <f t="shared" si="119"/>
        <v/>
      </c>
      <c r="S916" s="244" t="str">
        <f t="shared" si="120"/>
        <v/>
      </c>
      <c r="T916" s="245" t="str">
        <f t="shared" si="121"/>
        <v/>
      </c>
      <c r="U916" s="246" t="str">
        <f t="shared" si="122"/>
        <v/>
      </c>
      <c r="V916" s="8"/>
      <c r="AR916" t="str">
        <f t="shared" si="123"/>
        <v/>
      </c>
      <c r="AS916" t="str">
        <f t="shared" si="118"/>
        <v/>
      </c>
    </row>
    <row r="917" spans="1:45" x14ac:dyDescent="0.3">
      <c r="A917" s="231"/>
      <c r="B917" s="235"/>
      <c r="C917" s="214"/>
      <c r="D917" s="214"/>
      <c r="E917" s="214"/>
      <c r="F917" s="214"/>
      <c r="G917" s="222"/>
      <c r="H917" s="221"/>
      <c r="I917" s="213"/>
      <c r="J917" s="213"/>
      <c r="K917" s="215"/>
      <c r="L917" s="216"/>
      <c r="M917" s="217"/>
      <c r="N917" s="176"/>
      <c r="O917" s="241" t="str">
        <f>IF(Q917 = "", "", COUNT(Q$4:$Q917))</f>
        <v/>
      </c>
      <c r="P917" s="241" t="str">
        <f t="shared" si="116"/>
        <v/>
      </c>
      <c r="Q917" s="242" t="str">
        <f t="shared" si="117"/>
        <v/>
      </c>
      <c r="R917" s="243" t="str">
        <f t="shared" si="119"/>
        <v/>
      </c>
      <c r="S917" s="244" t="str">
        <f t="shared" si="120"/>
        <v/>
      </c>
      <c r="T917" s="245" t="str">
        <f t="shared" si="121"/>
        <v/>
      </c>
      <c r="U917" s="246" t="str">
        <f t="shared" si="122"/>
        <v/>
      </c>
      <c r="V917" s="8"/>
      <c r="AR917" t="str">
        <f t="shared" si="123"/>
        <v/>
      </c>
      <c r="AS917" t="str">
        <f t="shared" si="118"/>
        <v/>
      </c>
    </row>
    <row r="918" spans="1:45" x14ac:dyDescent="0.3">
      <c r="A918" s="231"/>
      <c r="B918" s="235"/>
      <c r="C918" s="214"/>
      <c r="D918" s="214"/>
      <c r="E918" s="214"/>
      <c r="F918" s="214"/>
      <c r="G918" s="222"/>
      <c r="H918" s="221"/>
      <c r="I918" s="213"/>
      <c r="J918" s="213"/>
      <c r="K918" s="215"/>
      <c r="L918" s="216"/>
      <c r="M918" s="217"/>
      <c r="N918" s="176"/>
      <c r="O918" s="241" t="str">
        <f>IF(Q918 = "", "", COUNT(Q$4:$Q918))</f>
        <v/>
      </c>
      <c r="P918" s="241" t="str">
        <f t="shared" si="116"/>
        <v/>
      </c>
      <c r="Q918" s="242" t="str">
        <f t="shared" si="117"/>
        <v/>
      </c>
      <c r="R918" s="243" t="str">
        <f t="shared" si="119"/>
        <v/>
      </c>
      <c r="S918" s="244" t="str">
        <f t="shared" si="120"/>
        <v/>
      </c>
      <c r="T918" s="245" t="str">
        <f t="shared" si="121"/>
        <v/>
      </c>
      <c r="U918" s="246" t="str">
        <f t="shared" si="122"/>
        <v/>
      </c>
      <c r="V918" s="8"/>
      <c r="AR918" t="str">
        <f t="shared" si="123"/>
        <v/>
      </c>
      <c r="AS918" t="str">
        <f t="shared" si="118"/>
        <v/>
      </c>
    </row>
    <row r="919" spans="1:45" x14ac:dyDescent="0.3">
      <c r="A919" s="231"/>
      <c r="B919" s="235"/>
      <c r="C919" s="214"/>
      <c r="D919" s="214"/>
      <c r="E919" s="214"/>
      <c r="F919" s="214"/>
      <c r="G919" s="222"/>
      <c r="H919" s="221"/>
      <c r="I919" s="213"/>
      <c r="J919" s="213"/>
      <c r="K919" s="215"/>
      <c r="L919" s="216"/>
      <c r="M919" s="217"/>
      <c r="N919" s="176"/>
      <c r="O919" s="241" t="str">
        <f>IF(Q919 = "", "", COUNT(Q$4:$Q919))</f>
        <v/>
      </c>
      <c r="P919" s="241" t="str">
        <f t="shared" si="116"/>
        <v/>
      </c>
      <c r="Q919" s="242" t="str">
        <f t="shared" si="117"/>
        <v/>
      </c>
      <c r="R919" s="243" t="str">
        <f t="shared" si="119"/>
        <v/>
      </c>
      <c r="S919" s="244" t="str">
        <f t="shared" si="120"/>
        <v/>
      </c>
      <c r="T919" s="245" t="str">
        <f t="shared" si="121"/>
        <v/>
      </c>
      <c r="U919" s="246" t="str">
        <f t="shared" si="122"/>
        <v/>
      </c>
      <c r="V919" s="8"/>
      <c r="AR919" t="str">
        <f t="shared" si="123"/>
        <v/>
      </c>
      <c r="AS919" t="str">
        <f t="shared" si="118"/>
        <v/>
      </c>
    </row>
    <row r="920" spans="1:45" x14ac:dyDescent="0.3">
      <c r="A920" s="231"/>
      <c r="B920" s="235"/>
      <c r="C920" s="214"/>
      <c r="D920" s="214"/>
      <c r="E920" s="214"/>
      <c r="F920" s="214"/>
      <c r="G920" s="222"/>
      <c r="H920" s="221"/>
      <c r="I920" s="213"/>
      <c r="J920" s="213"/>
      <c r="K920" s="215"/>
      <c r="L920" s="216"/>
      <c r="M920" s="217"/>
      <c r="N920" s="176"/>
      <c r="O920" s="241" t="str">
        <f>IF(Q920 = "", "", COUNT(Q$4:$Q920))</f>
        <v/>
      </c>
      <c r="P920" s="241" t="str">
        <f t="shared" si="116"/>
        <v/>
      </c>
      <c r="Q920" s="242" t="str">
        <f t="shared" si="117"/>
        <v/>
      </c>
      <c r="R920" s="243" t="str">
        <f t="shared" si="119"/>
        <v/>
      </c>
      <c r="S920" s="244" t="str">
        <f t="shared" si="120"/>
        <v/>
      </c>
      <c r="T920" s="245" t="str">
        <f t="shared" si="121"/>
        <v/>
      </c>
      <c r="U920" s="246" t="str">
        <f t="shared" si="122"/>
        <v/>
      </c>
      <c r="V920" s="8"/>
      <c r="AR920" t="str">
        <f t="shared" si="123"/>
        <v/>
      </c>
      <c r="AS920" t="str">
        <f t="shared" si="118"/>
        <v/>
      </c>
    </row>
    <row r="921" spans="1:45" x14ac:dyDescent="0.3">
      <c r="A921" s="231"/>
      <c r="B921" s="235"/>
      <c r="C921" s="214"/>
      <c r="D921" s="214"/>
      <c r="E921" s="214"/>
      <c r="F921" s="214"/>
      <c r="G921" s="222"/>
      <c r="H921" s="221"/>
      <c r="I921" s="213"/>
      <c r="J921" s="213"/>
      <c r="K921" s="215"/>
      <c r="L921" s="216"/>
      <c r="M921" s="217"/>
      <c r="N921" s="176"/>
      <c r="O921" s="241" t="str">
        <f>IF(Q921 = "", "", COUNT(Q$4:$Q921))</f>
        <v/>
      </c>
      <c r="P921" s="241" t="str">
        <f t="shared" si="116"/>
        <v/>
      </c>
      <c r="Q921" s="242" t="str">
        <f t="shared" si="117"/>
        <v/>
      </c>
      <c r="R921" s="243" t="str">
        <f t="shared" si="119"/>
        <v/>
      </c>
      <c r="S921" s="244" t="str">
        <f t="shared" si="120"/>
        <v/>
      </c>
      <c r="T921" s="245" t="str">
        <f t="shared" si="121"/>
        <v/>
      </c>
      <c r="U921" s="246" t="str">
        <f t="shared" si="122"/>
        <v/>
      </c>
      <c r="V921" s="8"/>
      <c r="AR921" t="str">
        <f t="shared" si="123"/>
        <v/>
      </c>
      <c r="AS921" t="str">
        <f t="shared" si="118"/>
        <v/>
      </c>
    </row>
    <row r="922" spans="1:45" x14ac:dyDescent="0.3">
      <c r="A922" s="231"/>
      <c r="B922" s="235"/>
      <c r="C922" s="214"/>
      <c r="D922" s="214"/>
      <c r="E922" s="214"/>
      <c r="F922" s="214"/>
      <c r="G922" s="222"/>
      <c r="H922" s="221"/>
      <c r="I922" s="213"/>
      <c r="J922" s="213"/>
      <c r="K922" s="215"/>
      <c r="L922" s="216"/>
      <c r="M922" s="217"/>
      <c r="N922" s="176"/>
      <c r="O922" s="241" t="str">
        <f>IF(Q922 = "", "", COUNT(Q$4:$Q922))</f>
        <v/>
      </c>
      <c r="P922" s="241" t="str">
        <f t="shared" si="116"/>
        <v/>
      </c>
      <c r="Q922" s="242" t="str">
        <f t="shared" si="117"/>
        <v/>
      </c>
      <c r="R922" s="243" t="str">
        <f t="shared" si="119"/>
        <v/>
      </c>
      <c r="S922" s="244" t="str">
        <f t="shared" si="120"/>
        <v/>
      </c>
      <c r="T922" s="245" t="str">
        <f t="shared" si="121"/>
        <v/>
      </c>
      <c r="U922" s="246" t="str">
        <f t="shared" si="122"/>
        <v/>
      </c>
      <c r="V922" s="8"/>
      <c r="AR922" t="str">
        <f t="shared" si="123"/>
        <v/>
      </c>
      <c r="AS922" t="str">
        <f t="shared" si="118"/>
        <v/>
      </c>
    </row>
    <row r="923" spans="1:45" x14ac:dyDescent="0.3">
      <c r="A923" s="231"/>
      <c r="B923" s="235"/>
      <c r="C923" s="214"/>
      <c r="D923" s="214"/>
      <c r="E923" s="214"/>
      <c r="F923" s="214"/>
      <c r="G923" s="222"/>
      <c r="H923" s="221"/>
      <c r="I923" s="213"/>
      <c r="J923" s="213"/>
      <c r="K923" s="215"/>
      <c r="L923" s="216"/>
      <c r="M923" s="217"/>
      <c r="N923" s="176"/>
      <c r="O923" s="241" t="str">
        <f>IF(Q923 = "", "", COUNT(Q$4:$Q923))</f>
        <v/>
      </c>
      <c r="P923" s="241" t="str">
        <f t="shared" si="116"/>
        <v/>
      </c>
      <c r="Q923" s="242" t="str">
        <f t="shared" si="117"/>
        <v/>
      </c>
      <c r="R923" s="243" t="str">
        <f t="shared" si="119"/>
        <v/>
      </c>
      <c r="S923" s="244" t="str">
        <f t="shared" si="120"/>
        <v/>
      </c>
      <c r="T923" s="245" t="str">
        <f t="shared" si="121"/>
        <v/>
      </c>
      <c r="U923" s="246" t="str">
        <f t="shared" si="122"/>
        <v/>
      </c>
      <c r="V923" s="8"/>
      <c r="AR923" t="str">
        <f t="shared" si="123"/>
        <v/>
      </c>
      <c r="AS923" t="str">
        <f t="shared" si="118"/>
        <v/>
      </c>
    </row>
    <row r="924" spans="1:45" x14ac:dyDescent="0.3">
      <c r="A924" s="231"/>
      <c r="B924" s="235"/>
      <c r="C924" s="214"/>
      <c r="D924" s="214"/>
      <c r="E924" s="214"/>
      <c r="F924" s="214"/>
      <c r="G924" s="222"/>
      <c r="H924" s="221"/>
      <c r="I924" s="213"/>
      <c r="J924" s="213"/>
      <c r="K924" s="215"/>
      <c r="L924" s="216"/>
      <c r="M924" s="217"/>
      <c r="N924" s="176"/>
      <c r="O924" s="241" t="str">
        <f>IF(Q924 = "", "", COUNT(Q$4:$Q924))</f>
        <v/>
      </c>
      <c r="P924" s="241" t="str">
        <f t="shared" si="116"/>
        <v/>
      </c>
      <c r="Q924" s="242" t="str">
        <f t="shared" si="117"/>
        <v/>
      </c>
      <c r="R924" s="243" t="str">
        <f t="shared" si="119"/>
        <v/>
      </c>
      <c r="S924" s="244" t="str">
        <f t="shared" si="120"/>
        <v/>
      </c>
      <c r="T924" s="245" t="str">
        <f t="shared" si="121"/>
        <v/>
      </c>
      <c r="U924" s="246" t="str">
        <f t="shared" si="122"/>
        <v/>
      </c>
      <c r="V924" s="8"/>
      <c r="AR924" t="str">
        <f t="shared" si="123"/>
        <v/>
      </c>
      <c r="AS924" t="str">
        <f t="shared" si="118"/>
        <v/>
      </c>
    </row>
    <row r="925" spans="1:45" x14ac:dyDescent="0.3">
      <c r="A925" s="231"/>
      <c r="B925" s="235"/>
      <c r="C925" s="214"/>
      <c r="D925" s="214"/>
      <c r="E925" s="214"/>
      <c r="F925" s="214"/>
      <c r="G925" s="222"/>
      <c r="H925" s="221"/>
      <c r="I925" s="213"/>
      <c r="J925" s="213"/>
      <c r="K925" s="215"/>
      <c r="L925" s="216"/>
      <c r="M925" s="217"/>
      <c r="N925" s="176"/>
      <c r="O925" s="241" t="str">
        <f>IF(Q925 = "", "", COUNT(Q$4:$Q925))</f>
        <v/>
      </c>
      <c r="P925" s="241" t="str">
        <f t="shared" si="116"/>
        <v/>
      </c>
      <c r="Q925" s="242" t="str">
        <f t="shared" si="117"/>
        <v/>
      </c>
      <c r="R925" s="243" t="str">
        <f t="shared" si="119"/>
        <v/>
      </c>
      <c r="S925" s="244" t="str">
        <f t="shared" si="120"/>
        <v/>
      </c>
      <c r="T925" s="245" t="str">
        <f t="shared" si="121"/>
        <v/>
      </c>
      <c r="U925" s="246" t="str">
        <f t="shared" si="122"/>
        <v/>
      </c>
      <c r="V925" s="8"/>
      <c r="AR925" t="str">
        <f t="shared" si="123"/>
        <v/>
      </c>
      <c r="AS925" t="str">
        <f t="shared" si="118"/>
        <v/>
      </c>
    </row>
    <row r="926" spans="1:45" x14ac:dyDescent="0.3">
      <c r="A926" s="231"/>
      <c r="B926" s="235"/>
      <c r="C926" s="214"/>
      <c r="D926" s="214"/>
      <c r="E926" s="214"/>
      <c r="F926" s="214"/>
      <c r="G926" s="222"/>
      <c r="H926" s="221"/>
      <c r="I926" s="213"/>
      <c r="J926" s="213"/>
      <c r="K926" s="215"/>
      <c r="L926" s="216"/>
      <c r="M926" s="217"/>
      <c r="N926" s="176"/>
      <c r="O926" s="241" t="str">
        <f>IF(Q926 = "", "", COUNT(Q$4:$Q926))</f>
        <v/>
      </c>
      <c r="P926" s="241" t="str">
        <f t="shared" si="116"/>
        <v/>
      </c>
      <c r="Q926" s="242" t="str">
        <f t="shared" si="117"/>
        <v/>
      </c>
      <c r="R926" s="243" t="str">
        <f t="shared" si="119"/>
        <v/>
      </c>
      <c r="S926" s="244" t="str">
        <f t="shared" si="120"/>
        <v/>
      </c>
      <c r="T926" s="245" t="str">
        <f t="shared" si="121"/>
        <v/>
      </c>
      <c r="U926" s="246" t="str">
        <f t="shared" si="122"/>
        <v/>
      </c>
      <c r="V926" s="8"/>
      <c r="AR926" t="str">
        <f t="shared" si="123"/>
        <v/>
      </c>
      <c r="AS926" t="str">
        <f t="shared" si="118"/>
        <v/>
      </c>
    </row>
    <row r="927" spans="1:45" x14ac:dyDescent="0.3">
      <c r="A927" s="231"/>
      <c r="B927" s="235"/>
      <c r="C927" s="214"/>
      <c r="D927" s="214"/>
      <c r="E927" s="214"/>
      <c r="F927" s="214"/>
      <c r="G927" s="222"/>
      <c r="H927" s="221"/>
      <c r="I927" s="213"/>
      <c r="J927" s="213"/>
      <c r="K927" s="215"/>
      <c r="L927" s="216"/>
      <c r="M927" s="217"/>
      <c r="N927" s="176"/>
      <c r="O927" s="241" t="str">
        <f>IF(Q927 = "", "", COUNT(Q$4:$Q927))</f>
        <v/>
      </c>
      <c r="P927" s="241" t="str">
        <f t="shared" si="116"/>
        <v/>
      </c>
      <c r="Q927" s="242" t="str">
        <f t="shared" si="117"/>
        <v/>
      </c>
      <c r="R927" s="243" t="str">
        <f t="shared" si="119"/>
        <v/>
      </c>
      <c r="S927" s="244" t="str">
        <f t="shared" si="120"/>
        <v/>
      </c>
      <c r="T927" s="245" t="str">
        <f t="shared" si="121"/>
        <v/>
      </c>
      <c r="U927" s="246" t="str">
        <f t="shared" si="122"/>
        <v/>
      </c>
      <c r="V927" s="8"/>
      <c r="AR927" t="str">
        <f t="shared" si="123"/>
        <v/>
      </c>
      <c r="AS927" t="str">
        <f t="shared" si="118"/>
        <v/>
      </c>
    </row>
    <row r="928" spans="1:45" x14ac:dyDescent="0.3">
      <c r="A928" s="231"/>
      <c r="B928" s="235"/>
      <c r="C928" s="214"/>
      <c r="D928" s="214"/>
      <c r="E928" s="214"/>
      <c r="F928" s="214"/>
      <c r="G928" s="222"/>
      <c r="H928" s="221"/>
      <c r="I928" s="213"/>
      <c r="J928" s="213"/>
      <c r="K928" s="215"/>
      <c r="L928" s="216"/>
      <c r="M928" s="217"/>
      <c r="N928" s="176"/>
      <c r="O928" s="241" t="str">
        <f>IF(Q928 = "", "", COUNT(Q$4:$Q928))</f>
        <v/>
      </c>
      <c r="P928" s="241" t="str">
        <f t="shared" si="116"/>
        <v/>
      </c>
      <c r="Q928" s="242" t="str">
        <f t="shared" si="117"/>
        <v/>
      </c>
      <c r="R928" s="243" t="str">
        <f t="shared" si="119"/>
        <v/>
      </c>
      <c r="S928" s="244" t="str">
        <f t="shared" si="120"/>
        <v/>
      </c>
      <c r="T928" s="245" t="str">
        <f t="shared" si="121"/>
        <v/>
      </c>
      <c r="U928" s="246" t="str">
        <f t="shared" si="122"/>
        <v/>
      </c>
      <c r="V928" s="8"/>
      <c r="AR928" t="str">
        <f t="shared" si="123"/>
        <v/>
      </c>
      <c r="AS928" t="str">
        <f t="shared" si="118"/>
        <v/>
      </c>
    </row>
    <row r="929" spans="1:45" x14ac:dyDescent="0.3">
      <c r="A929" s="231"/>
      <c r="B929" s="235"/>
      <c r="C929" s="214"/>
      <c r="D929" s="214"/>
      <c r="E929" s="214"/>
      <c r="F929" s="214"/>
      <c r="G929" s="222"/>
      <c r="H929" s="221"/>
      <c r="I929" s="213"/>
      <c r="J929" s="213"/>
      <c r="K929" s="215"/>
      <c r="L929" s="216"/>
      <c r="M929" s="217"/>
      <c r="N929" s="176"/>
      <c r="O929" s="241" t="str">
        <f>IF(Q929 = "", "", COUNT(Q$4:$Q929))</f>
        <v/>
      </c>
      <c r="P929" s="241" t="str">
        <f t="shared" si="116"/>
        <v/>
      </c>
      <c r="Q929" s="242" t="str">
        <f t="shared" si="117"/>
        <v/>
      </c>
      <c r="R929" s="243" t="str">
        <f t="shared" si="119"/>
        <v/>
      </c>
      <c r="S929" s="244" t="str">
        <f t="shared" si="120"/>
        <v/>
      </c>
      <c r="T929" s="245" t="str">
        <f t="shared" si="121"/>
        <v/>
      </c>
      <c r="U929" s="246" t="str">
        <f t="shared" si="122"/>
        <v/>
      </c>
      <c r="V929" s="8"/>
      <c r="AR929" t="str">
        <f t="shared" si="123"/>
        <v/>
      </c>
      <c r="AS929" t="str">
        <f t="shared" si="118"/>
        <v/>
      </c>
    </row>
    <row r="930" spans="1:45" x14ac:dyDescent="0.3">
      <c r="A930" s="231"/>
      <c r="B930" s="235"/>
      <c r="C930" s="214"/>
      <c r="D930" s="214"/>
      <c r="E930" s="214"/>
      <c r="F930" s="214"/>
      <c r="G930" s="222"/>
      <c r="H930" s="221"/>
      <c r="I930" s="213"/>
      <c r="J930" s="213"/>
      <c r="K930" s="215"/>
      <c r="L930" s="216"/>
      <c r="M930" s="217"/>
      <c r="N930" s="176"/>
      <c r="O930" s="241" t="str">
        <f>IF(Q930 = "", "", COUNT(Q$4:$Q930))</f>
        <v/>
      </c>
      <c r="P930" s="241" t="str">
        <f t="shared" si="116"/>
        <v/>
      </c>
      <c r="Q930" s="242" t="str">
        <f t="shared" si="117"/>
        <v/>
      </c>
      <c r="R930" s="243" t="str">
        <f t="shared" si="119"/>
        <v/>
      </c>
      <c r="S930" s="244" t="str">
        <f t="shared" si="120"/>
        <v/>
      </c>
      <c r="T930" s="245" t="str">
        <f t="shared" si="121"/>
        <v/>
      </c>
      <c r="U930" s="246" t="str">
        <f t="shared" si="122"/>
        <v/>
      </c>
      <c r="V930" s="8"/>
      <c r="AR930" t="str">
        <f t="shared" si="123"/>
        <v/>
      </c>
      <c r="AS930" t="str">
        <f t="shared" si="118"/>
        <v/>
      </c>
    </row>
    <row r="931" spans="1:45" x14ac:dyDescent="0.3">
      <c r="A931" s="231"/>
      <c r="B931" s="235"/>
      <c r="C931" s="214"/>
      <c r="D931" s="214"/>
      <c r="E931" s="214"/>
      <c r="F931" s="214"/>
      <c r="G931" s="222"/>
      <c r="H931" s="221"/>
      <c r="I931" s="213"/>
      <c r="J931" s="213"/>
      <c r="K931" s="215"/>
      <c r="L931" s="216"/>
      <c r="M931" s="217"/>
      <c r="N931" s="176"/>
      <c r="O931" s="241" t="str">
        <f>IF(Q931 = "", "", COUNT(Q$4:$Q931))</f>
        <v/>
      </c>
      <c r="P931" s="241" t="str">
        <f t="shared" si="116"/>
        <v/>
      </c>
      <c r="Q931" s="242" t="str">
        <f t="shared" si="117"/>
        <v/>
      </c>
      <c r="R931" s="243" t="str">
        <f t="shared" si="119"/>
        <v/>
      </c>
      <c r="S931" s="244" t="str">
        <f t="shared" si="120"/>
        <v/>
      </c>
      <c r="T931" s="245" t="str">
        <f t="shared" si="121"/>
        <v/>
      </c>
      <c r="U931" s="246" t="str">
        <f t="shared" si="122"/>
        <v/>
      </c>
      <c r="V931" s="8"/>
      <c r="AR931" t="str">
        <f t="shared" si="123"/>
        <v/>
      </c>
      <c r="AS931" t="str">
        <f t="shared" si="118"/>
        <v/>
      </c>
    </row>
    <row r="932" spans="1:45" x14ac:dyDescent="0.3">
      <c r="A932" s="231"/>
      <c r="B932" s="235"/>
      <c r="C932" s="214"/>
      <c r="D932" s="214"/>
      <c r="E932" s="214"/>
      <c r="F932" s="214"/>
      <c r="G932" s="222"/>
      <c r="H932" s="221"/>
      <c r="I932" s="213"/>
      <c r="J932" s="213"/>
      <c r="K932" s="215"/>
      <c r="L932" s="216"/>
      <c r="M932" s="217"/>
      <c r="N932" s="176"/>
      <c r="O932" s="241" t="str">
        <f>IF(Q932 = "", "", COUNT(Q$4:$Q932))</f>
        <v/>
      </c>
      <c r="P932" s="241" t="str">
        <f t="shared" si="116"/>
        <v/>
      </c>
      <c r="Q932" s="242" t="str">
        <f t="shared" si="117"/>
        <v/>
      </c>
      <c r="R932" s="243" t="str">
        <f t="shared" si="119"/>
        <v/>
      </c>
      <c r="S932" s="244" t="str">
        <f t="shared" si="120"/>
        <v/>
      </c>
      <c r="T932" s="245" t="str">
        <f t="shared" si="121"/>
        <v/>
      </c>
      <c r="U932" s="246" t="str">
        <f t="shared" si="122"/>
        <v/>
      </c>
      <c r="V932" s="8"/>
      <c r="AR932" t="str">
        <f t="shared" si="123"/>
        <v/>
      </c>
      <c r="AS932" t="str">
        <f t="shared" si="118"/>
        <v/>
      </c>
    </row>
    <row r="933" spans="1:45" x14ac:dyDescent="0.3">
      <c r="A933" s="231"/>
      <c r="B933" s="235"/>
      <c r="C933" s="214"/>
      <c r="D933" s="214"/>
      <c r="E933" s="214"/>
      <c r="F933" s="214"/>
      <c r="G933" s="222"/>
      <c r="H933" s="221"/>
      <c r="I933" s="213"/>
      <c r="J933" s="213"/>
      <c r="K933" s="215"/>
      <c r="L933" s="216"/>
      <c r="M933" s="217"/>
      <c r="N933" s="176"/>
      <c r="O933" s="241" t="str">
        <f>IF(Q933 = "", "", COUNT(Q$4:$Q933))</f>
        <v/>
      </c>
      <c r="P933" s="241" t="str">
        <f t="shared" si="116"/>
        <v/>
      </c>
      <c r="Q933" s="242" t="str">
        <f t="shared" si="117"/>
        <v/>
      </c>
      <c r="R933" s="243" t="str">
        <f t="shared" si="119"/>
        <v/>
      </c>
      <c r="S933" s="244" t="str">
        <f t="shared" si="120"/>
        <v/>
      </c>
      <c r="T933" s="245" t="str">
        <f t="shared" si="121"/>
        <v/>
      </c>
      <c r="U933" s="246" t="str">
        <f t="shared" si="122"/>
        <v/>
      </c>
      <c r="V933" s="8"/>
      <c r="AR933" t="str">
        <f t="shared" si="123"/>
        <v/>
      </c>
      <c r="AS933" t="str">
        <f t="shared" si="118"/>
        <v/>
      </c>
    </row>
    <row r="934" spans="1:45" x14ac:dyDescent="0.3">
      <c r="A934" s="231"/>
      <c r="B934" s="235"/>
      <c r="C934" s="214"/>
      <c r="D934" s="214"/>
      <c r="E934" s="214"/>
      <c r="F934" s="214"/>
      <c r="G934" s="222"/>
      <c r="H934" s="221"/>
      <c r="I934" s="213"/>
      <c r="J934" s="213"/>
      <c r="K934" s="215"/>
      <c r="L934" s="216"/>
      <c r="M934" s="217"/>
      <c r="N934" s="176"/>
      <c r="O934" s="241" t="str">
        <f>IF(Q934 = "", "", COUNT(Q$4:$Q934))</f>
        <v/>
      </c>
      <c r="P934" s="241" t="str">
        <f t="shared" si="116"/>
        <v/>
      </c>
      <c r="Q934" s="242" t="str">
        <f t="shared" si="117"/>
        <v/>
      </c>
      <c r="R934" s="243" t="str">
        <f t="shared" si="119"/>
        <v/>
      </c>
      <c r="S934" s="244" t="str">
        <f t="shared" si="120"/>
        <v/>
      </c>
      <c r="T934" s="245" t="str">
        <f t="shared" si="121"/>
        <v/>
      </c>
      <c r="U934" s="246" t="str">
        <f t="shared" si="122"/>
        <v/>
      </c>
      <c r="V934" s="8"/>
      <c r="AR934" t="str">
        <f t="shared" si="123"/>
        <v/>
      </c>
      <c r="AS934" t="str">
        <f t="shared" si="118"/>
        <v/>
      </c>
    </row>
    <row r="935" spans="1:45" x14ac:dyDescent="0.3">
      <c r="A935" s="231"/>
      <c r="B935" s="235"/>
      <c r="C935" s="214"/>
      <c r="D935" s="214"/>
      <c r="E935" s="214"/>
      <c r="F935" s="214"/>
      <c r="G935" s="222"/>
      <c r="H935" s="221"/>
      <c r="I935" s="213"/>
      <c r="J935" s="213"/>
      <c r="K935" s="215"/>
      <c r="L935" s="216"/>
      <c r="M935" s="217"/>
      <c r="N935" s="176"/>
      <c r="O935" s="241" t="str">
        <f>IF(Q935 = "", "", COUNT(Q$4:$Q935))</f>
        <v/>
      </c>
      <c r="P935" s="241" t="str">
        <f t="shared" si="116"/>
        <v/>
      </c>
      <c r="Q935" s="242" t="str">
        <f t="shared" si="117"/>
        <v/>
      </c>
      <c r="R935" s="243" t="str">
        <f t="shared" si="119"/>
        <v/>
      </c>
      <c r="S935" s="244" t="str">
        <f t="shared" si="120"/>
        <v/>
      </c>
      <c r="T935" s="245" t="str">
        <f t="shared" si="121"/>
        <v/>
      </c>
      <c r="U935" s="246" t="str">
        <f t="shared" si="122"/>
        <v/>
      </c>
      <c r="V935" s="8"/>
      <c r="AR935" t="str">
        <f t="shared" si="123"/>
        <v/>
      </c>
      <c r="AS935" t="str">
        <f t="shared" si="118"/>
        <v/>
      </c>
    </row>
    <row r="936" spans="1:45" x14ac:dyDescent="0.3">
      <c r="A936" s="231"/>
      <c r="B936" s="235"/>
      <c r="C936" s="214"/>
      <c r="D936" s="214"/>
      <c r="E936" s="214"/>
      <c r="F936" s="214"/>
      <c r="G936" s="222"/>
      <c r="H936" s="221"/>
      <c r="I936" s="213"/>
      <c r="J936" s="213"/>
      <c r="K936" s="215"/>
      <c r="L936" s="216"/>
      <c r="M936" s="217"/>
      <c r="N936" s="176"/>
      <c r="O936" s="241" t="str">
        <f>IF(Q936 = "", "", COUNT(Q$4:$Q936))</f>
        <v/>
      </c>
      <c r="P936" s="241" t="str">
        <f t="shared" si="116"/>
        <v/>
      </c>
      <c r="Q936" s="242" t="str">
        <f t="shared" si="117"/>
        <v/>
      </c>
      <c r="R936" s="243" t="str">
        <f t="shared" si="119"/>
        <v/>
      </c>
      <c r="S936" s="244" t="str">
        <f t="shared" si="120"/>
        <v/>
      </c>
      <c r="T936" s="245" t="str">
        <f t="shared" si="121"/>
        <v/>
      </c>
      <c r="U936" s="246" t="str">
        <f t="shared" si="122"/>
        <v/>
      </c>
      <c r="V936" s="8"/>
      <c r="AR936" t="str">
        <f t="shared" si="123"/>
        <v/>
      </c>
      <c r="AS936" t="str">
        <f t="shared" si="118"/>
        <v/>
      </c>
    </row>
    <row r="937" spans="1:45" x14ac:dyDescent="0.3">
      <c r="A937" s="231"/>
      <c r="B937" s="235"/>
      <c r="C937" s="214"/>
      <c r="D937" s="214"/>
      <c r="E937" s="214"/>
      <c r="F937" s="214"/>
      <c r="G937" s="222"/>
      <c r="H937" s="221"/>
      <c r="I937" s="213"/>
      <c r="J937" s="213"/>
      <c r="K937" s="215"/>
      <c r="L937" s="216"/>
      <c r="M937" s="217"/>
      <c r="N937" s="176"/>
      <c r="O937" s="241" t="str">
        <f>IF(Q937 = "", "", COUNT(Q$4:$Q937))</f>
        <v/>
      </c>
      <c r="P937" s="241" t="str">
        <f t="shared" si="116"/>
        <v/>
      </c>
      <c r="Q937" s="242" t="str">
        <f t="shared" si="117"/>
        <v/>
      </c>
      <c r="R937" s="243" t="str">
        <f t="shared" si="119"/>
        <v/>
      </c>
      <c r="S937" s="244" t="str">
        <f t="shared" si="120"/>
        <v/>
      </c>
      <c r="T937" s="245" t="str">
        <f t="shared" si="121"/>
        <v/>
      </c>
      <c r="U937" s="246" t="str">
        <f t="shared" si="122"/>
        <v/>
      </c>
      <c r="V937" s="8"/>
      <c r="AR937" t="str">
        <f t="shared" si="123"/>
        <v/>
      </c>
      <c r="AS937" t="str">
        <f t="shared" si="118"/>
        <v/>
      </c>
    </row>
    <row r="938" spans="1:45" x14ac:dyDescent="0.3">
      <c r="A938" s="231"/>
      <c r="B938" s="235"/>
      <c r="C938" s="214"/>
      <c r="D938" s="214"/>
      <c r="E938" s="214"/>
      <c r="F938" s="214"/>
      <c r="G938" s="222"/>
      <c r="H938" s="221"/>
      <c r="I938" s="213"/>
      <c r="J938" s="213"/>
      <c r="K938" s="215"/>
      <c r="L938" s="216"/>
      <c r="M938" s="217"/>
      <c r="N938" s="176"/>
      <c r="O938" s="241" t="str">
        <f>IF(Q938 = "", "", COUNT(Q$4:$Q938))</f>
        <v/>
      </c>
      <c r="P938" s="241" t="str">
        <f t="shared" si="116"/>
        <v/>
      </c>
      <c r="Q938" s="242" t="str">
        <f t="shared" si="117"/>
        <v/>
      </c>
      <c r="R938" s="243" t="str">
        <f t="shared" si="119"/>
        <v/>
      </c>
      <c r="S938" s="244" t="str">
        <f t="shared" si="120"/>
        <v/>
      </c>
      <c r="T938" s="245" t="str">
        <f t="shared" si="121"/>
        <v/>
      </c>
      <c r="U938" s="246" t="str">
        <f t="shared" si="122"/>
        <v/>
      </c>
      <c r="V938" s="8"/>
      <c r="AR938" t="str">
        <f t="shared" si="123"/>
        <v/>
      </c>
      <c r="AS938" t="str">
        <f t="shared" si="118"/>
        <v/>
      </c>
    </row>
    <row r="939" spans="1:45" x14ac:dyDescent="0.3">
      <c r="A939" s="231"/>
      <c r="B939" s="235"/>
      <c r="C939" s="214"/>
      <c r="D939" s="214"/>
      <c r="E939" s="214"/>
      <c r="F939" s="214"/>
      <c r="G939" s="222"/>
      <c r="H939" s="221"/>
      <c r="I939" s="213"/>
      <c r="J939" s="213"/>
      <c r="K939" s="215"/>
      <c r="L939" s="216"/>
      <c r="M939" s="217"/>
      <c r="N939" s="176"/>
      <c r="O939" s="241" t="str">
        <f>IF(Q939 = "", "", COUNT(Q$4:$Q939))</f>
        <v/>
      </c>
      <c r="P939" s="241" t="str">
        <f t="shared" si="116"/>
        <v/>
      </c>
      <c r="Q939" s="242" t="str">
        <f t="shared" si="117"/>
        <v/>
      </c>
      <c r="R939" s="243" t="str">
        <f t="shared" si="119"/>
        <v/>
      </c>
      <c r="S939" s="244" t="str">
        <f t="shared" si="120"/>
        <v/>
      </c>
      <c r="T939" s="245" t="str">
        <f t="shared" si="121"/>
        <v/>
      </c>
      <c r="U939" s="246" t="str">
        <f t="shared" si="122"/>
        <v/>
      </c>
      <c r="V939" s="8"/>
      <c r="AR939" t="str">
        <f t="shared" si="123"/>
        <v/>
      </c>
      <c r="AS939" t="str">
        <f t="shared" si="118"/>
        <v/>
      </c>
    </row>
    <row r="940" spans="1:45" x14ac:dyDescent="0.3">
      <c r="A940" s="231"/>
      <c r="B940" s="235"/>
      <c r="C940" s="214"/>
      <c r="D940" s="214"/>
      <c r="E940" s="214"/>
      <c r="F940" s="214"/>
      <c r="G940" s="222"/>
      <c r="H940" s="221"/>
      <c r="I940" s="213"/>
      <c r="J940" s="213"/>
      <c r="K940" s="215"/>
      <c r="L940" s="216"/>
      <c r="M940" s="217"/>
      <c r="N940" s="176"/>
      <c r="O940" s="241" t="str">
        <f>IF(Q940 = "", "", COUNT(Q$4:$Q940))</f>
        <v/>
      </c>
      <c r="P940" s="241" t="str">
        <f t="shared" si="116"/>
        <v/>
      </c>
      <c r="Q940" s="242" t="str">
        <f t="shared" si="117"/>
        <v/>
      </c>
      <c r="R940" s="243" t="str">
        <f t="shared" si="119"/>
        <v/>
      </c>
      <c r="S940" s="244" t="str">
        <f t="shared" si="120"/>
        <v/>
      </c>
      <c r="T940" s="245" t="str">
        <f t="shared" si="121"/>
        <v/>
      </c>
      <c r="U940" s="246" t="str">
        <f t="shared" si="122"/>
        <v/>
      </c>
      <c r="V940" s="8"/>
      <c r="AR940" t="str">
        <f t="shared" si="123"/>
        <v/>
      </c>
      <c r="AS940" t="str">
        <f t="shared" si="118"/>
        <v/>
      </c>
    </row>
    <row r="941" spans="1:45" x14ac:dyDescent="0.3">
      <c r="A941" s="231"/>
      <c r="B941" s="235"/>
      <c r="C941" s="214"/>
      <c r="D941" s="214"/>
      <c r="E941" s="214"/>
      <c r="F941" s="214"/>
      <c r="G941" s="222"/>
      <c r="H941" s="221"/>
      <c r="I941" s="213"/>
      <c r="J941" s="213"/>
      <c r="K941" s="215"/>
      <c r="L941" s="216"/>
      <c r="M941" s="217"/>
      <c r="N941" s="176"/>
      <c r="O941" s="241" t="str">
        <f>IF(Q941 = "", "", COUNT(Q$4:$Q941))</f>
        <v/>
      </c>
      <c r="P941" s="241" t="str">
        <f t="shared" si="116"/>
        <v/>
      </c>
      <c r="Q941" s="242" t="str">
        <f t="shared" si="117"/>
        <v/>
      </c>
      <c r="R941" s="243" t="str">
        <f t="shared" si="119"/>
        <v/>
      </c>
      <c r="S941" s="244" t="str">
        <f t="shared" si="120"/>
        <v/>
      </c>
      <c r="T941" s="245" t="str">
        <f t="shared" si="121"/>
        <v/>
      </c>
      <c r="U941" s="246" t="str">
        <f t="shared" si="122"/>
        <v/>
      </c>
      <c r="V941" s="8"/>
      <c r="AR941" t="str">
        <f t="shared" si="123"/>
        <v/>
      </c>
      <c r="AS941" t="str">
        <f t="shared" si="118"/>
        <v/>
      </c>
    </row>
    <row r="942" spans="1:45" x14ac:dyDescent="0.3">
      <c r="A942" s="231"/>
      <c r="B942" s="235"/>
      <c r="C942" s="214"/>
      <c r="D942" s="214"/>
      <c r="E942" s="214"/>
      <c r="F942" s="214"/>
      <c r="G942" s="222"/>
      <c r="H942" s="221"/>
      <c r="I942" s="213"/>
      <c r="J942" s="213"/>
      <c r="K942" s="215"/>
      <c r="L942" s="216"/>
      <c r="M942" s="217"/>
      <c r="N942" s="176"/>
      <c r="O942" s="241" t="str">
        <f>IF(Q942 = "", "", COUNT(Q$4:$Q942))</f>
        <v/>
      </c>
      <c r="P942" s="241" t="str">
        <f t="shared" si="116"/>
        <v/>
      </c>
      <c r="Q942" s="242" t="str">
        <f t="shared" si="117"/>
        <v/>
      </c>
      <c r="R942" s="243" t="str">
        <f t="shared" si="119"/>
        <v/>
      </c>
      <c r="S942" s="244" t="str">
        <f t="shared" si="120"/>
        <v/>
      </c>
      <c r="T942" s="245" t="str">
        <f t="shared" si="121"/>
        <v/>
      </c>
      <c r="U942" s="246" t="str">
        <f t="shared" si="122"/>
        <v/>
      </c>
      <c r="V942" s="8"/>
      <c r="AR942" t="str">
        <f t="shared" si="123"/>
        <v/>
      </c>
      <c r="AS942" t="str">
        <f t="shared" si="118"/>
        <v/>
      </c>
    </row>
    <row r="943" spans="1:45" x14ac:dyDescent="0.3">
      <c r="A943" s="231"/>
      <c r="B943" s="235"/>
      <c r="C943" s="214"/>
      <c r="D943" s="214"/>
      <c r="E943" s="214"/>
      <c r="F943" s="214"/>
      <c r="G943" s="222"/>
      <c r="H943" s="221"/>
      <c r="I943" s="213"/>
      <c r="J943" s="213"/>
      <c r="K943" s="215"/>
      <c r="L943" s="216"/>
      <c r="M943" s="217"/>
      <c r="N943" s="176"/>
      <c r="O943" s="241" t="str">
        <f>IF(Q943 = "", "", COUNT(Q$4:$Q943))</f>
        <v/>
      </c>
      <c r="P943" s="241" t="str">
        <f t="shared" si="116"/>
        <v/>
      </c>
      <c r="Q943" s="242" t="str">
        <f t="shared" si="117"/>
        <v/>
      </c>
      <c r="R943" s="243" t="str">
        <f t="shared" si="119"/>
        <v/>
      </c>
      <c r="S943" s="244" t="str">
        <f t="shared" si="120"/>
        <v/>
      </c>
      <c r="T943" s="245" t="str">
        <f t="shared" si="121"/>
        <v/>
      </c>
      <c r="U943" s="246" t="str">
        <f t="shared" si="122"/>
        <v/>
      </c>
      <c r="V943" s="8"/>
      <c r="AR943" t="str">
        <f t="shared" si="123"/>
        <v/>
      </c>
      <c r="AS943" t="str">
        <f t="shared" si="118"/>
        <v/>
      </c>
    </row>
    <row r="944" spans="1:45" x14ac:dyDescent="0.3">
      <c r="A944" s="231"/>
      <c r="B944" s="235"/>
      <c r="C944" s="214"/>
      <c r="D944" s="214"/>
      <c r="E944" s="214"/>
      <c r="F944" s="214"/>
      <c r="G944" s="222"/>
      <c r="H944" s="221"/>
      <c r="I944" s="213"/>
      <c r="J944" s="213"/>
      <c r="K944" s="215"/>
      <c r="L944" s="216"/>
      <c r="M944" s="217"/>
      <c r="N944" s="176"/>
      <c r="O944" s="241" t="str">
        <f>IF(Q944 = "", "", COUNT(Q$4:$Q944))</f>
        <v/>
      </c>
      <c r="P944" s="241" t="str">
        <f t="shared" si="116"/>
        <v/>
      </c>
      <c r="Q944" s="242" t="str">
        <f t="shared" si="117"/>
        <v/>
      </c>
      <c r="R944" s="243" t="str">
        <f t="shared" si="119"/>
        <v/>
      </c>
      <c r="S944" s="244" t="str">
        <f t="shared" si="120"/>
        <v/>
      </c>
      <c r="T944" s="245" t="str">
        <f t="shared" si="121"/>
        <v/>
      </c>
      <c r="U944" s="246" t="str">
        <f t="shared" si="122"/>
        <v/>
      </c>
      <c r="V944" s="8"/>
      <c r="AR944" t="str">
        <f t="shared" si="123"/>
        <v/>
      </c>
      <c r="AS944" t="str">
        <f t="shared" si="118"/>
        <v/>
      </c>
    </row>
    <row r="945" spans="1:45" x14ac:dyDescent="0.3">
      <c r="A945" s="231"/>
      <c r="B945" s="235"/>
      <c r="C945" s="214"/>
      <c r="D945" s="214"/>
      <c r="E945" s="214"/>
      <c r="F945" s="214"/>
      <c r="G945" s="222"/>
      <c r="H945" s="221"/>
      <c r="I945" s="213"/>
      <c r="J945" s="213"/>
      <c r="K945" s="215"/>
      <c r="L945" s="216"/>
      <c r="M945" s="217"/>
      <c r="N945" s="176"/>
      <c r="O945" s="241" t="str">
        <f>IF(Q945 = "", "", COUNT(Q$4:$Q945))</f>
        <v/>
      </c>
      <c r="P945" s="241" t="str">
        <f t="shared" si="116"/>
        <v/>
      </c>
      <c r="Q945" s="242" t="str">
        <f t="shared" si="117"/>
        <v/>
      </c>
      <c r="R945" s="243" t="str">
        <f t="shared" si="119"/>
        <v/>
      </c>
      <c r="S945" s="244" t="str">
        <f t="shared" si="120"/>
        <v/>
      </c>
      <c r="T945" s="245" t="str">
        <f t="shared" si="121"/>
        <v/>
      </c>
      <c r="U945" s="246" t="str">
        <f t="shared" si="122"/>
        <v/>
      </c>
      <c r="V945" s="8"/>
      <c r="AR945" t="str">
        <f t="shared" si="123"/>
        <v/>
      </c>
      <c r="AS945" t="str">
        <f t="shared" si="118"/>
        <v/>
      </c>
    </row>
    <row r="946" spans="1:45" x14ac:dyDescent="0.3">
      <c r="A946" s="231"/>
      <c r="B946" s="235"/>
      <c r="C946" s="214"/>
      <c r="D946" s="214"/>
      <c r="E946" s="214"/>
      <c r="F946" s="214"/>
      <c r="G946" s="222"/>
      <c r="H946" s="221"/>
      <c r="I946" s="213"/>
      <c r="J946" s="213"/>
      <c r="K946" s="215"/>
      <c r="L946" s="216"/>
      <c r="M946" s="217"/>
      <c r="N946" s="176"/>
      <c r="O946" s="241" t="str">
        <f>IF(Q946 = "", "", COUNT(Q$4:$Q946))</f>
        <v/>
      </c>
      <c r="P946" s="241" t="str">
        <f t="shared" si="116"/>
        <v/>
      </c>
      <c r="Q946" s="242" t="str">
        <f t="shared" si="117"/>
        <v/>
      </c>
      <c r="R946" s="243" t="str">
        <f t="shared" si="119"/>
        <v/>
      </c>
      <c r="S946" s="244" t="str">
        <f t="shared" si="120"/>
        <v/>
      </c>
      <c r="T946" s="245" t="str">
        <f t="shared" si="121"/>
        <v/>
      </c>
      <c r="U946" s="246" t="str">
        <f t="shared" si="122"/>
        <v/>
      </c>
      <c r="V946" s="8"/>
      <c r="AR946" t="str">
        <f t="shared" si="123"/>
        <v/>
      </c>
      <c r="AS946" t="str">
        <f t="shared" si="118"/>
        <v/>
      </c>
    </row>
    <row r="947" spans="1:45" x14ac:dyDescent="0.3">
      <c r="A947" s="231"/>
      <c r="B947" s="235"/>
      <c r="C947" s="214"/>
      <c r="D947" s="214"/>
      <c r="E947" s="214"/>
      <c r="F947" s="214"/>
      <c r="G947" s="222"/>
      <c r="H947" s="221"/>
      <c r="I947" s="213"/>
      <c r="J947" s="213"/>
      <c r="K947" s="215"/>
      <c r="L947" s="216"/>
      <c r="M947" s="217"/>
      <c r="N947" s="176"/>
      <c r="O947" s="241" t="str">
        <f>IF(Q947 = "", "", COUNT(Q$4:$Q947))</f>
        <v/>
      </c>
      <c r="P947" s="241" t="str">
        <f t="shared" si="116"/>
        <v/>
      </c>
      <c r="Q947" s="242" t="str">
        <f t="shared" si="117"/>
        <v/>
      </c>
      <c r="R947" s="243" t="str">
        <f t="shared" si="119"/>
        <v/>
      </c>
      <c r="S947" s="244" t="str">
        <f t="shared" si="120"/>
        <v/>
      </c>
      <c r="T947" s="245" t="str">
        <f t="shared" si="121"/>
        <v/>
      </c>
      <c r="U947" s="246" t="str">
        <f t="shared" si="122"/>
        <v/>
      </c>
      <c r="V947" s="8"/>
      <c r="AR947" t="str">
        <f t="shared" si="123"/>
        <v/>
      </c>
      <c r="AS947" t="str">
        <f t="shared" si="118"/>
        <v/>
      </c>
    </row>
    <row r="948" spans="1:45" x14ac:dyDescent="0.3">
      <c r="A948" s="231"/>
      <c r="B948" s="235"/>
      <c r="C948" s="214"/>
      <c r="D948" s="214"/>
      <c r="E948" s="214"/>
      <c r="F948" s="214"/>
      <c r="G948" s="222"/>
      <c r="H948" s="221"/>
      <c r="I948" s="213"/>
      <c r="J948" s="213"/>
      <c r="K948" s="215"/>
      <c r="L948" s="216"/>
      <c r="M948" s="217"/>
      <c r="N948" s="176"/>
      <c r="O948" s="241" t="str">
        <f>IF(Q948 = "", "", COUNT(Q$4:$Q948))</f>
        <v/>
      </c>
      <c r="P948" s="241" t="str">
        <f t="shared" si="116"/>
        <v/>
      </c>
      <c r="Q948" s="242" t="str">
        <f t="shared" si="117"/>
        <v/>
      </c>
      <c r="R948" s="243" t="str">
        <f t="shared" si="119"/>
        <v/>
      </c>
      <c r="S948" s="244" t="str">
        <f t="shared" si="120"/>
        <v/>
      </c>
      <c r="T948" s="245" t="str">
        <f t="shared" si="121"/>
        <v/>
      </c>
      <c r="U948" s="246" t="str">
        <f t="shared" si="122"/>
        <v/>
      </c>
      <c r="V948" s="8"/>
      <c r="AR948" t="str">
        <f t="shared" si="123"/>
        <v/>
      </c>
      <c r="AS948" t="str">
        <f t="shared" si="118"/>
        <v/>
      </c>
    </row>
    <row r="949" spans="1:45" x14ac:dyDescent="0.3">
      <c r="A949" s="231"/>
      <c r="B949" s="235"/>
      <c r="C949" s="214"/>
      <c r="D949" s="214"/>
      <c r="E949" s="214"/>
      <c r="F949" s="214"/>
      <c r="G949" s="222"/>
      <c r="H949" s="221"/>
      <c r="I949" s="213"/>
      <c r="J949" s="213"/>
      <c r="K949" s="215"/>
      <c r="L949" s="216"/>
      <c r="M949" s="217"/>
      <c r="N949" s="176"/>
      <c r="O949" s="241" t="str">
        <f>IF(Q949 = "", "", COUNT(Q$4:$Q949))</f>
        <v/>
      </c>
      <c r="P949" s="241" t="str">
        <f t="shared" si="116"/>
        <v/>
      </c>
      <c r="Q949" s="242" t="str">
        <f t="shared" si="117"/>
        <v/>
      </c>
      <c r="R949" s="243" t="str">
        <f t="shared" si="119"/>
        <v/>
      </c>
      <c r="S949" s="244" t="str">
        <f t="shared" si="120"/>
        <v/>
      </c>
      <c r="T949" s="245" t="str">
        <f t="shared" si="121"/>
        <v/>
      </c>
      <c r="U949" s="246" t="str">
        <f t="shared" si="122"/>
        <v/>
      </c>
      <c r="V949" s="8"/>
      <c r="AR949" t="str">
        <f t="shared" si="123"/>
        <v/>
      </c>
      <c r="AS949" t="str">
        <f t="shared" si="118"/>
        <v/>
      </c>
    </row>
    <row r="950" spans="1:45" x14ac:dyDescent="0.3">
      <c r="A950" s="231"/>
      <c r="B950" s="235"/>
      <c r="C950" s="214"/>
      <c r="D950" s="214"/>
      <c r="E950" s="214"/>
      <c r="F950" s="214"/>
      <c r="G950" s="222"/>
      <c r="H950" s="221"/>
      <c r="I950" s="213"/>
      <c r="J950" s="213"/>
      <c r="K950" s="215"/>
      <c r="L950" s="216"/>
      <c r="M950" s="217"/>
      <c r="N950" s="176"/>
      <c r="O950" s="241" t="str">
        <f>IF(Q950 = "", "", COUNT(Q$4:$Q950))</f>
        <v/>
      </c>
      <c r="P950" s="241" t="str">
        <f t="shared" si="116"/>
        <v/>
      </c>
      <c r="Q950" s="242" t="str">
        <f t="shared" si="117"/>
        <v/>
      </c>
      <c r="R950" s="243" t="str">
        <f t="shared" si="119"/>
        <v/>
      </c>
      <c r="S950" s="244" t="str">
        <f t="shared" si="120"/>
        <v/>
      </c>
      <c r="T950" s="245" t="str">
        <f t="shared" si="121"/>
        <v/>
      </c>
      <c r="U950" s="246" t="str">
        <f t="shared" si="122"/>
        <v/>
      </c>
      <c r="V950" s="8"/>
      <c r="AR950" t="str">
        <f t="shared" si="123"/>
        <v/>
      </c>
      <c r="AS950" t="str">
        <f t="shared" si="118"/>
        <v/>
      </c>
    </row>
    <row r="951" spans="1:45" x14ac:dyDescent="0.3">
      <c r="A951" s="231"/>
      <c r="B951" s="235"/>
      <c r="C951" s="214"/>
      <c r="D951" s="214"/>
      <c r="E951" s="214"/>
      <c r="F951" s="214"/>
      <c r="G951" s="222"/>
      <c r="H951" s="221"/>
      <c r="I951" s="213"/>
      <c r="J951" s="213"/>
      <c r="K951" s="215"/>
      <c r="L951" s="216"/>
      <c r="M951" s="217"/>
      <c r="N951" s="176"/>
      <c r="O951" s="241" t="str">
        <f>IF(Q951 = "", "", COUNT(Q$4:$Q951))</f>
        <v/>
      </c>
      <c r="P951" s="241" t="str">
        <f t="shared" si="116"/>
        <v/>
      </c>
      <c r="Q951" s="242" t="str">
        <f t="shared" si="117"/>
        <v/>
      </c>
      <c r="R951" s="243" t="str">
        <f t="shared" si="119"/>
        <v/>
      </c>
      <c r="S951" s="244" t="str">
        <f t="shared" si="120"/>
        <v/>
      </c>
      <c r="T951" s="245" t="str">
        <f t="shared" si="121"/>
        <v/>
      </c>
      <c r="U951" s="246" t="str">
        <f t="shared" si="122"/>
        <v/>
      </c>
      <c r="V951" s="8"/>
      <c r="AR951" t="str">
        <f t="shared" si="123"/>
        <v/>
      </c>
      <c r="AS951" t="str">
        <f t="shared" si="118"/>
        <v/>
      </c>
    </row>
    <row r="952" spans="1:45" x14ac:dyDescent="0.3">
      <c r="A952" s="231"/>
      <c r="B952" s="235"/>
      <c r="C952" s="214"/>
      <c r="D952" s="214"/>
      <c r="E952" s="214"/>
      <c r="F952" s="214"/>
      <c r="G952" s="222"/>
      <c r="H952" s="221"/>
      <c r="I952" s="213"/>
      <c r="J952" s="213"/>
      <c r="K952" s="215"/>
      <c r="L952" s="216"/>
      <c r="M952" s="217"/>
      <c r="N952" s="176"/>
      <c r="O952" s="241" t="str">
        <f>IF(Q952 = "", "", COUNT(Q$4:$Q952))</f>
        <v/>
      </c>
      <c r="P952" s="241" t="str">
        <f t="shared" si="116"/>
        <v/>
      </c>
      <c r="Q952" s="242" t="str">
        <f t="shared" si="117"/>
        <v/>
      </c>
      <c r="R952" s="243" t="str">
        <f t="shared" si="119"/>
        <v/>
      </c>
      <c r="S952" s="244" t="str">
        <f t="shared" si="120"/>
        <v/>
      </c>
      <c r="T952" s="245" t="str">
        <f t="shared" si="121"/>
        <v/>
      </c>
      <c r="U952" s="246" t="str">
        <f t="shared" si="122"/>
        <v/>
      </c>
      <c r="V952" s="8"/>
      <c r="AR952" t="str">
        <f t="shared" si="123"/>
        <v/>
      </c>
      <c r="AS952" t="str">
        <f t="shared" si="118"/>
        <v/>
      </c>
    </row>
    <row r="953" spans="1:45" x14ac:dyDescent="0.3">
      <c r="A953" s="231"/>
      <c r="B953" s="235"/>
      <c r="C953" s="214"/>
      <c r="D953" s="214"/>
      <c r="E953" s="214"/>
      <c r="F953" s="214"/>
      <c r="G953" s="222"/>
      <c r="H953" s="221"/>
      <c r="I953" s="213"/>
      <c r="J953" s="213"/>
      <c r="K953" s="215"/>
      <c r="L953" s="216"/>
      <c r="M953" s="217"/>
      <c r="N953" s="176"/>
      <c r="O953" s="241" t="str">
        <f>IF(Q953 = "", "", COUNT(Q$4:$Q953))</f>
        <v/>
      </c>
      <c r="P953" s="241" t="str">
        <f t="shared" si="116"/>
        <v/>
      </c>
      <c r="Q953" s="242" t="str">
        <f t="shared" si="117"/>
        <v/>
      </c>
      <c r="R953" s="243" t="str">
        <f t="shared" si="119"/>
        <v/>
      </c>
      <c r="S953" s="244" t="str">
        <f t="shared" si="120"/>
        <v/>
      </c>
      <c r="T953" s="245" t="str">
        <f t="shared" si="121"/>
        <v/>
      </c>
      <c r="U953" s="246" t="str">
        <f t="shared" si="122"/>
        <v/>
      </c>
      <c r="V953" s="8"/>
      <c r="AR953" t="str">
        <f t="shared" si="123"/>
        <v/>
      </c>
      <c r="AS953" t="str">
        <f t="shared" si="118"/>
        <v/>
      </c>
    </row>
    <row r="954" spans="1:45" x14ac:dyDescent="0.3">
      <c r="A954" s="231"/>
      <c r="B954" s="235"/>
      <c r="C954" s="214"/>
      <c r="D954" s="214"/>
      <c r="E954" s="214"/>
      <c r="F954" s="214"/>
      <c r="G954" s="222"/>
      <c r="H954" s="221"/>
      <c r="I954" s="213"/>
      <c r="J954" s="213"/>
      <c r="K954" s="215"/>
      <c r="L954" s="216"/>
      <c r="M954" s="217"/>
      <c r="N954" s="176"/>
      <c r="O954" s="241" t="str">
        <f>IF(Q954 = "", "", COUNT(Q$4:$Q954))</f>
        <v/>
      </c>
      <c r="P954" s="241" t="str">
        <f t="shared" si="116"/>
        <v/>
      </c>
      <c r="Q954" s="242" t="str">
        <f t="shared" si="117"/>
        <v/>
      </c>
      <c r="R954" s="243" t="str">
        <f t="shared" si="119"/>
        <v/>
      </c>
      <c r="S954" s="244" t="str">
        <f t="shared" si="120"/>
        <v/>
      </c>
      <c r="T954" s="245" t="str">
        <f t="shared" si="121"/>
        <v/>
      </c>
      <c r="U954" s="246" t="str">
        <f t="shared" si="122"/>
        <v/>
      </c>
      <c r="V954" s="8"/>
      <c r="AR954" t="str">
        <f t="shared" si="123"/>
        <v/>
      </c>
      <c r="AS954" t="str">
        <f t="shared" si="118"/>
        <v/>
      </c>
    </row>
    <row r="955" spans="1:45" x14ac:dyDescent="0.3">
      <c r="A955" s="231"/>
      <c r="B955" s="235"/>
      <c r="C955" s="214"/>
      <c r="D955" s="214"/>
      <c r="E955" s="214"/>
      <c r="F955" s="214"/>
      <c r="G955" s="222"/>
      <c r="H955" s="221"/>
      <c r="I955" s="213"/>
      <c r="J955" s="213"/>
      <c r="K955" s="215"/>
      <c r="L955" s="216"/>
      <c r="M955" s="217"/>
      <c r="N955" s="176"/>
      <c r="O955" s="241" t="str">
        <f>IF(Q955 = "", "", COUNT(Q$4:$Q955))</f>
        <v/>
      </c>
      <c r="P955" s="241" t="str">
        <f t="shared" si="116"/>
        <v/>
      </c>
      <c r="Q955" s="242" t="str">
        <f t="shared" si="117"/>
        <v/>
      </c>
      <c r="R955" s="243" t="str">
        <f t="shared" si="119"/>
        <v/>
      </c>
      <c r="S955" s="244" t="str">
        <f t="shared" si="120"/>
        <v/>
      </c>
      <c r="T955" s="245" t="str">
        <f t="shared" si="121"/>
        <v/>
      </c>
      <c r="U955" s="246" t="str">
        <f t="shared" si="122"/>
        <v/>
      </c>
      <c r="V955" s="8"/>
      <c r="AR955" t="str">
        <f t="shared" si="123"/>
        <v/>
      </c>
      <c r="AS955" t="str">
        <f t="shared" si="118"/>
        <v/>
      </c>
    </row>
    <row r="956" spans="1:45" x14ac:dyDescent="0.3">
      <c r="A956" s="231"/>
      <c r="B956" s="235"/>
      <c r="C956" s="214"/>
      <c r="D956" s="214"/>
      <c r="E956" s="214"/>
      <c r="F956" s="214"/>
      <c r="G956" s="222"/>
      <c r="H956" s="221"/>
      <c r="I956" s="213"/>
      <c r="J956" s="213"/>
      <c r="K956" s="215"/>
      <c r="L956" s="216"/>
      <c r="M956" s="217"/>
      <c r="N956" s="176"/>
      <c r="O956" s="241" t="str">
        <f>IF(Q956 = "", "", COUNT(Q$4:$Q956))</f>
        <v/>
      </c>
      <c r="P956" s="241" t="str">
        <f t="shared" si="116"/>
        <v/>
      </c>
      <c r="Q956" s="242" t="str">
        <f t="shared" si="117"/>
        <v/>
      </c>
      <c r="R956" s="243" t="str">
        <f t="shared" si="119"/>
        <v/>
      </c>
      <c r="S956" s="244" t="str">
        <f t="shared" si="120"/>
        <v/>
      </c>
      <c r="T956" s="245" t="str">
        <f t="shared" si="121"/>
        <v/>
      </c>
      <c r="U956" s="246" t="str">
        <f t="shared" si="122"/>
        <v/>
      </c>
      <c r="V956" s="8"/>
      <c r="AR956" t="str">
        <f t="shared" si="123"/>
        <v/>
      </c>
      <c r="AS956" t="str">
        <f t="shared" si="118"/>
        <v/>
      </c>
    </row>
    <row r="957" spans="1:45" x14ac:dyDescent="0.3">
      <c r="A957" s="231"/>
      <c r="B957" s="235"/>
      <c r="C957" s="214"/>
      <c r="D957" s="214"/>
      <c r="E957" s="214"/>
      <c r="F957" s="214"/>
      <c r="G957" s="222"/>
      <c r="H957" s="221"/>
      <c r="I957" s="213"/>
      <c r="J957" s="213"/>
      <c r="K957" s="215"/>
      <c r="L957" s="216"/>
      <c r="M957" s="217"/>
      <c r="N957" s="176"/>
      <c r="O957" s="241" t="str">
        <f>IF(Q957 = "", "", COUNT(Q$4:$Q957))</f>
        <v/>
      </c>
      <c r="P957" s="241" t="str">
        <f t="shared" si="116"/>
        <v/>
      </c>
      <c r="Q957" s="242" t="str">
        <f t="shared" si="117"/>
        <v/>
      </c>
      <c r="R957" s="243" t="str">
        <f t="shared" si="119"/>
        <v/>
      </c>
      <c r="S957" s="244" t="str">
        <f t="shared" si="120"/>
        <v/>
      </c>
      <c r="T957" s="245" t="str">
        <f t="shared" si="121"/>
        <v/>
      </c>
      <c r="U957" s="246" t="str">
        <f t="shared" si="122"/>
        <v/>
      </c>
      <c r="V957" s="8"/>
      <c r="AR957" t="str">
        <f t="shared" si="123"/>
        <v/>
      </c>
      <c r="AS957" t="str">
        <f t="shared" si="118"/>
        <v/>
      </c>
    </row>
    <row r="958" spans="1:45" x14ac:dyDescent="0.3">
      <c r="A958" s="231"/>
      <c r="B958" s="235"/>
      <c r="C958" s="214"/>
      <c r="D958" s="214"/>
      <c r="E958" s="214"/>
      <c r="F958" s="214"/>
      <c r="G958" s="222"/>
      <c r="H958" s="221"/>
      <c r="I958" s="213"/>
      <c r="J958" s="213"/>
      <c r="K958" s="215"/>
      <c r="L958" s="216"/>
      <c r="M958" s="217"/>
      <c r="N958" s="176"/>
      <c r="O958" s="241" t="str">
        <f>IF(Q958 = "", "", COUNT(Q$4:$Q958))</f>
        <v/>
      </c>
      <c r="P958" s="241" t="str">
        <f t="shared" si="116"/>
        <v/>
      </c>
      <c r="Q958" s="242" t="str">
        <f t="shared" si="117"/>
        <v/>
      </c>
      <c r="R958" s="243" t="str">
        <f t="shared" si="119"/>
        <v/>
      </c>
      <c r="S958" s="244" t="str">
        <f t="shared" si="120"/>
        <v/>
      </c>
      <c r="T958" s="245" t="str">
        <f t="shared" si="121"/>
        <v/>
      </c>
      <c r="U958" s="246" t="str">
        <f t="shared" si="122"/>
        <v/>
      </c>
      <c r="V958" s="8"/>
      <c r="AR958" t="str">
        <f t="shared" si="123"/>
        <v/>
      </c>
      <c r="AS958" t="str">
        <f t="shared" si="118"/>
        <v/>
      </c>
    </row>
    <row r="959" spans="1:45" x14ac:dyDescent="0.3">
      <c r="A959" s="231"/>
      <c r="B959" s="235"/>
      <c r="C959" s="214"/>
      <c r="D959" s="214"/>
      <c r="E959" s="214"/>
      <c r="F959" s="214"/>
      <c r="G959" s="222"/>
      <c r="H959" s="221"/>
      <c r="I959" s="213"/>
      <c r="J959" s="213"/>
      <c r="K959" s="215"/>
      <c r="L959" s="216"/>
      <c r="M959" s="217"/>
      <c r="N959" s="176"/>
      <c r="O959" s="241" t="str">
        <f>IF(Q959 = "", "", COUNT(Q$4:$Q959))</f>
        <v/>
      </c>
      <c r="P959" s="241" t="str">
        <f t="shared" si="116"/>
        <v/>
      </c>
      <c r="Q959" s="242" t="str">
        <f t="shared" si="117"/>
        <v/>
      </c>
      <c r="R959" s="243" t="str">
        <f t="shared" si="119"/>
        <v/>
      </c>
      <c r="S959" s="244" t="str">
        <f t="shared" si="120"/>
        <v/>
      </c>
      <c r="T959" s="245" t="str">
        <f t="shared" si="121"/>
        <v/>
      </c>
      <c r="U959" s="246" t="str">
        <f t="shared" si="122"/>
        <v/>
      </c>
      <c r="V959" s="8"/>
      <c r="AR959" t="str">
        <f t="shared" si="123"/>
        <v/>
      </c>
      <c r="AS959" t="str">
        <f t="shared" si="118"/>
        <v/>
      </c>
    </row>
    <row r="960" spans="1:45" x14ac:dyDescent="0.3">
      <c r="A960" s="231"/>
      <c r="B960" s="235"/>
      <c r="C960" s="214"/>
      <c r="D960" s="214"/>
      <c r="E960" s="214"/>
      <c r="F960" s="214"/>
      <c r="G960" s="222"/>
      <c r="H960" s="221"/>
      <c r="I960" s="213"/>
      <c r="J960" s="213"/>
      <c r="K960" s="215"/>
      <c r="L960" s="216"/>
      <c r="M960" s="217"/>
      <c r="N960" s="176"/>
      <c r="O960" s="241" t="str">
        <f>IF(Q960 = "", "", COUNT(Q$4:$Q960))</f>
        <v/>
      </c>
      <c r="P960" s="241" t="str">
        <f t="shared" si="116"/>
        <v/>
      </c>
      <c r="Q960" s="242" t="str">
        <f t="shared" si="117"/>
        <v/>
      </c>
      <c r="R960" s="243" t="str">
        <f t="shared" si="119"/>
        <v/>
      </c>
      <c r="S960" s="244" t="str">
        <f t="shared" si="120"/>
        <v/>
      </c>
      <c r="T960" s="245" t="str">
        <f t="shared" si="121"/>
        <v/>
      </c>
      <c r="U960" s="246" t="str">
        <f t="shared" si="122"/>
        <v/>
      </c>
      <c r="V960" s="8"/>
      <c r="AR960" t="str">
        <f t="shared" si="123"/>
        <v/>
      </c>
      <c r="AS960" t="str">
        <f t="shared" si="118"/>
        <v/>
      </c>
    </row>
    <row r="961" spans="1:45" x14ac:dyDescent="0.3">
      <c r="A961" s="231"/>
      <c r="B961" s="235"/>
      <c r="C961" s="214"/>
      <c r="D961" s="214"/>
      <c r="E961" s="214"/>
      <c r="F961" s="214"/>
      <c r="G961" s="222"/>
      <c r="H961" s="221"/>
      <c r="I961" s="213"/>
      <c r="J961" s="213"/>
      <c r="K961" s="215"/>
      <c r="L961" s="216"/>
      <c r="M961" s="217"/>
      <c r="N961" s="176"/>
      <c r="O961" s="241" t="str">
        <f>IF(Q961 = "", "", COUNT(Q$4:$Q961))</f>
        <v/>
      </c>
      <c r="P961" s="241" t="str">
        <f t="shared" si="116"/>
        <v/>
      </c>
      <c r="Q961" s="242" t="str">
        <f t="shared" si="117"/>
        <v/>
      </c>
      <c r="R961" s="243" t="str">
        <f t="shared" si="119"/>
        <v/>
      </c>
      <c r="S961" s="244" t="str">
        <f t="shared" si="120"/>
        <v/>
      </c>
      <c r="T961" s="245" t="str">
        <f t="shared" si="121"/>
        <v/>
      </c>
      <c r="U961" s="246" t="str">
        <f t="shared" si="122"/>
        <v/>
      </c>
      <c r="V961" s="8"/>
      <c r="AR961" t="str">
        <f t="shared" si="123"/>
        <v/>
      </c>
      <c r="AS961" t="str">
        <f t="shared" si="118"/>
        <v/>
      </c>
    </row>
    <row r="962" spans="1:45" x14ac:dyDescent="0.3">
      <c r="A962" s="231"/>
      <c r="B962" s="235"/>
      <c r="C962" s="214"/>
      <c r="D962" s="214"/>
      <c r="E962" s="214"/>
      <c r="F962" s="214"/>
      <c r="G962" s="222"/>
      <c r="H962" s="221"/>
      <c r="I962" s="213"/>
      <c r="J962" s="213"/>
      <c r="K962" s="215"/>
      <c r="L962" s="216"/>
      <c r="M962" s="217"/>
      <c r="N962" s="176"/>
      <c r="O962" s="241" t="str">
        <f>IF(Q962 = "", "", COUNT(Q$4:$Q962))</f>
        <v/>
      </c>
      <c r="P962" s="241" t="str">
        <f t="shared" si="116"/>
        <v/>
      </c>
      <c r="Q962" s="242" t="str">
        <f t="shared" si="117"/>
        <v/>
      </c>
      <c r="R962" s="243" t="str">
        <f t="shared" si="119"/>
        <v/>
      </c>
      <c r="S962" s="244" t="str">
        <f t="shared" si="120"/>
        <v/>
      </c>
      <c r="T962" s="245" t="str">
        <f t="shared" si="121"/>
        <v/>
      </c>
      <c r="U962" s="246" t="str">
        <f t="shared" si="122"/>
        <v/>
      </c>
      <c r="V962" s="8"/>
      <c r="AR962" t="str">
        <f t="shared" si="123"/>
        <v/>
      </c>
      <c r="AS962" t="str">
        <f t="shared" si="118"/>
        <v/>
      </c>
    </row>
    <row r="963" spans="1:45" x14ac:dyDescent="0.3">
      <c r="A963" s="231"/>
      <c r="B963" s="235"/>
      <c r="C963" s="214"/>
      <c r="D963" s="214"/>
      <c r="E963" s="214"/>
      <c r="F963" s="214"/>
      <c r="G963" s="222"/>
      <c r="H963" s="221"/>
      <c r="I963" s="213"/>
      <c r="J963" s="213"/>
      <c r="K963" s="215"/>
      <c r="L963" s="216"/>
      <c r="M963" s="217"/>
      <c r="N963" s="176"/>
      <c r="O963" s="241" t="str">
        <f>IF(Q963 = "", "", COUNT(Q$4:$Q963))</f>
        <v/>
      </c>
      <c r="P963" s="241" t="str">
        <f t="shared" si="116"/>
        <v/>
      </c>
      <c r="Q963" s="242" t="str">
        <f t="shared" si="117"/>
        <v/>
      </c>
      <c r="R963" s="243" t="str">
        <f t="shared" si="119"/>
        <v/>
      </c>
      <c r="S963" s="244" t="str">
        <f t="shared" si="120"/>
        <v/>
      </c>
      <c r="T963" s="245" t="str">
        <f t="shared" si="121"/>
        <v/>
      </c>
      <c r="U963" s="246" t="str">
        <f t="shared" si="122"/>
        <v/>
      </c>
      <c r="V963" s="8"/>
      <c r="AR963" t="str">
        <f t="shared" si="123"/>
        <v/>
      </c>
      <c r="AS963" t="str">
        <f t="shared" si="118"/>
        <v/>
      </c>
    </row>
    <row r="964" spans="1:45" x14ac:dyDescent="0.3">
      <c r="A964" s="231"/>
      <c r="B964" s="235"/>
      <c r="C964" s="214"/>
      <c r="D964" s="214"/>
      <c r="E964" s="214"/>
      <c r="F964" s="214"/>
      <c r="G964" s="222"/>
      <c r="H964" s="221"/>
      <c r="I964" s="213"/>
      <c r="J964" s="213"/>
      <c r="K964" s="215"/>
      <c r="L964" s="216"/>
      <c r="M964" s="217"/>
      <c r="N964" s="176"/>
      <c r="O964" s="241" t="str">
        <f>IF(Q964 = "", "", COUNT(Q$4:$Q964))</f>
        <v/>
      </c>
      <c r="P964" s="241" t="str">
        <f t="shared" ref="P964:P1003" si="124">IF(C964 &gt; 0, YEAR(B964), "")</f>
        <v/>
      </c>
      <c r="Q964" s="242" t="str">
        <f t="shared" ref="Q964:Q1003" si="125">IF(A964="", "", IF(G964="",1,IF(G964="O",1,IF(G964="C",8.4,IF(G964="B",8.4,IF(G964="A",76.8,IF(G964="K",76.8,"ERR")))))))</f>
        <v/>
      </c>
      <c r="R964" s="243" t="str">
        <f t="shared" si="119"/>
        <v/>
      </c>
      <c r="S964" s="244" t="str">
        <f t="shared" si="120"/>
        <v/>
      </c>
      <c r="T964" s="245" t="str">
        <f t="shared" si="121"/>
        <v/>
      </c>
      <c r="U964" s="246" t="str">
        <f t="shared" si="122"/>
        <v/>
      </c>
      <c r="V964" s="8"/>
      <c r="AR964" t="str">
        <f t="shared" si="123"/>
        <v/>
      </c>
      <c r="AS964" t="str">
        <f t="shared" ref="AS964:AS1000" si="126">IF(OR(L964="Y",M964="Y"),"Y","")</f>
        <v/>
      </c>
    </row>
    <row r="965" spans="1:45" x14ac:dyDescent="0.3">
      <c r="A965" s="231"/>
      <c r="B965" s="235"/>
      <c r="C965" s="214"/>
      <c r="D965" s="214"/>
      <c r="E965" s="214"/>
      <c r="F965" s="214"/>
      <c r="G965" s="222"/>
      <c r="H965" s="221"/>
      <c r="I965" s="213"/>
      <c r="J965" s="213"/>
      <c r="K965" s="215"/>
      <c r="L965" s="216"/>
      <c r="M965" s="217"/>
      <c r="N965" s="176"/>
      <c r="O965" s="241" t="str">
        <f>IF(Q965 = "", "", COUNT(Q$4:$Q965))</f>
        <v/>
      </c>
      <c r="P965" s="241" t="str">
        <f t="shared" si="124"/>
        <v/>
      </c>
      <c r="Q965" s="242" t="str">
        <f t="shared" si="125"/>
        <v/>
      </c>
      <c r="R965" s="243" t="str">
        <f t="shared" ref="R965:R1003" si="127">IF(L965&lt;&gt;"",Q965,"")</f>
        <v/>
      </c>
      <c r="S965" s="244" t="str">
        <f t="shared" ref="S965:S1003" si="128">IF(IF(L965&lt;&gt;"",G965,"")=0, "O", IF(L965&lt;&gt;"",G965,""))</f>
        <v/>
      </c>
      <c r="T965" s="245" t="str">
        <f t="shared" ref="T965:T1003" si="129">IF(M965&lt;&gt;"",Q965,"")</f>
        <v/>
      </c>
      <c r="U965" s="246" t="str">
        <f t="shared" ref="U965:U1003" si="130">IF(IF(M965&lt;&gt;"",G965,"")=0, "O", IF(M965&lt;&gt;"",G965,""))</f>
        <v/>
      </c>
      <c r="V965" s="8"/>
      <c r="AR965" t="str">
        <f t="shared" ref="AR965:AR1000" si="131">IF(O965&gt;0, O965, "")</f>
        <v/>
      </c>
      <c r="AS965" t="str">
        <f t="shared" si="126"/>
        <v/>
      </c>
    </row>
    <row r="966" spans="1:45" x14ac:dyDescent="0.3">
      <c r="A966" s="231"/>
      <c r="B966" s="235"/>
      <c r="C966" s="214"/>
      <c r="D966" s="214"/>
      <c r="E966" s="214"/>
      <c r="F966" s="214"/>
      <c r="G966" s="222"/>
      <c r="H966" s="221"/>
      <c r="I966" s="213"/>
      <c r="J966" s="213"/>
      <c r="K966" s="215"/>
      <c r="L966" s="216"/>
      <c r="M966" s="217"/>
      <c r="N966" s="176"/>
      <c r="O966" s="241" t="str">
        <f>IF(Q966 = "", "", COUNT(Q$4:$Q966))</f>
        <v/>
      </c>
      <c r="P966" s="241" t="str">
        <f t="shared" si="124"/>
        <v/>
      </c>
      <c r="Q966" s="242" t="str">
        <f t="shared" si="125"/>
        <v/>
      </c>
      <c r="R966" s="243" t="str">
        <f t="shared" si="127"/>
        <v/>
      </c>
      <c r="S966" s="244" t="str">
        <f t="shared" si="128"/>
        <v/>
      </c>
      <c r="T966" s="245" t="str">
        <f t="shared" si="129"/>
        <v/>
      </c>
      <c r="U966" s="246" t="str">
        <f t="shared" si="130"/>
        <v/>
      </c>
      <c r="V966" s="8"/>
      <c r="AR966" t="str">
        <f t="shared" si="131"/>
        <v/>
      </c>
      <c r="AS966" t="str">
        <f t="shared" si="126"/>
        <v/>
      </c>
    </row>
    <row r="967" spans="1:45" x14ac:dyDescent="0.3">
      <c r="A967" s="231"/>
      <c r="B967" s="235"/>
      <c r="C967" s="214"/>
      <c r="D967" s="214"/>
      <c r="E967" s="214"/>
      <c r="F967" s="214"/>
      <c r="G967" s="222"/>
      <c r="H967" s="221"/>
      <c r="I967" s="213"/>
      <c r="J967" s="213"/>
      <c r="K967" s="215"/>
      <c r="L967" s="216"/>
      <c r="M967" s="217"/>
      <c r="N967" s="176"/>
      <c r="O967" s="241" t="str">
        <f>IF(Q967 = "", "", COUNT(Q$4:$Q967))</f>
        <v/>
      </c>
      <c r="P967" s="241" t="str">
        <f t="shared" si="124"/>
        <v/>
      </c>
      <c r="Q967" s="242" t="str">
        <f t="shared" si="125"/>
        <v/>
      </c>
      <c r="R967" s="243" t="str">
        <f t="shared" si="127"/>
        <v/>
      </c>
      <c r="S967" s="244" t="str">
        <f t="shared" si="128"/>
        <v/>
      </c>
      <c r="T967" s="245" t="str">
        <f t="shared" si="129"/>
        <v/>
      </c>
      <c r="U967" s="246" t="str">
        <f t="shared" si="130"/>
        <v/>
      </c>
      <c r="V967" s="8"/>
      <c r="AR967" t="str">
        <f t="shared" si="131"/>
        <v/>
      </c>
      <c r="AS967" t="str">
        <f t="shared" si="126"/>
        <v/>
      </c>
    </row>
    <row r="968" spans="1:45" x14ac:dyDescent="0.3">
      <c r="A968" s="231"/>
      <c r="B968" s="235"/>
      <c r="C968" s="214"/>
      <c r="D968" s="214"/>
      <c r="E968" s="214"/>
      <c r="F968" s="214"/>
      <c r="G968" s="222"/>
      <c r="H968" s="221"/>
      <c r="I968" s="213"/>
      <c r="J968" s="213"/>
      <c r="K968" s="215"/>
      <c r="L968" s="216"/>
      <c r="M968" s="217"/>
      <c r="N968" s="176"/>
      <c r="O968" s="241" t="str">
        <f>IF(Q968 = "", "", COUNT(Q$4:$Q968))</f>
        <v/>
      </c>
      <c r="P968" s="241" t="str">
        <f t="shared" si="124"/>
        <v/>
      </c>
      <c r="Q968" s="242" t="str">
        <f t="shared" si="125"/>
        <v/>
      </c>
      <c r="R968" s="243" t="str">
        <f t="shared" si="127"/>
        <v/>
      </c>
      <c r="S968" s="244" t="str">
        <f t="shared" si="128"/>
        <v/>
      </c>
      <c r="T968" s="245" t="str">
        <f t="shared" si="129"/>
        <v/>
      </c>
      <c r="U968" s="246" t="str">
        <f t="shared" si="130"/>
        <v/>
      </c>
      <c r="V968" s="8"/>
      <c r="AR968" t="str">
        <f t="shared" si="131"/>
        <v/>
      </c>
      <c r="AS968" t="str">
        <f t="shared" si="126"/>
        <v/>
      </c>
    </row>
    <row r="969" spans="1:45" x14ac:dyDescent="0.3">
      <c r="A969" s="231"/>
      <c r="B969" s="235"/>
      <c r="C969" s="214"/>
      <c r="D969" s="214"/>
      <c r="E969" s="214"/>
      <c r="F969" s="214"/>
      <c r="G969" s="222"/>
      <c r="H969" s="221"/>
      <c r="I969" s="213"/>
      <c r="J969" s="213"/>
      <c r="K969" s="215"/>
      <c r="L969" s="216"/>
      <c r="M969" s="217"/>
      <c r="N969" s="176"/>
      <c r="O969" s="241" t="str">
        <f>IF(Q969 = "", "", COUNT(Q$4:$Q969))</f>
        <v/>
      </c>
      <c r="P969" s="241" t="str">
        <f t="shared" si="124"/>
        <v/>
      </c>
      <c r="Q969" s="242" t="str">
        <f t="shared" si="125"/>
        <v/>
      </c>
      <c r="R969" s="243" t="str">
        <f t="shared" si="127"/>
        <v/>
      </c>
      <c r="S969" s="244" t="str">
        <f t="shared" si="128"/>
        <v/>
      </c>
      <c r="T969" s="245" t="str">
        <f t="shared" si="129"/>
        <v/>
      </c>
      <c r="U969" s="246" t="str">
        <f t="shared" si="130"/>
        <v/>
      </c>
      <c r="V969" s="8"/>
      <c r="AR969" t="str">
        <f t="shared" si="131"/>
        <v/>
      </c>
      <c r="AS969" t="str">
        <f t="shared" si="126"/>
        <v/>
      </c>
    </row>
    <row r="970" spans="1:45" x14ac:dyDescent="0.3">
      <c r="A970" s="231"/>
      <c r="B970" s="235"/>
      <c r="C970" s="214"/>
      <c r="D970" s="214"/>
      <c r="E970" s="214"/>
      <c r="F970" s="214"/>
      <c r="G970" s="222"/>
      <c r="H970" s="221"/>
      <c r="I970" s="213"/>
      <c r="J970" s="213"/>
      <c r="K970" s="215"/>
      <c r="L970" s="216"/>
      <c r="M970" s="217"/>
      <c r="N970" s="176"/>
      <c r="O970" s="241" t="str">
        <f>IF(Q970 = "", "", COUNT(Q$4:$Q970))</f>
        <v/>
      </c>
      <c r="P970" s="241" t="str">
        <f t="shared" si="124"/>
        <v/>
      </c>
      <c r="Q970" s="242" t="str">
        <f t="shared" si="125"/>
        <v/>
      </c>
      <c r="R970" s="243" t="str">
        <f t="shared" si="127"/>
        <v/>
      </c>
      <c r="S970" s="244" t="str">
        <f t="shared" si="128"/>
        <v/>
      </c>
      <c r="T970" s="245" t="str">
        <f t="shared" si="129"/>
        <v/>
      </c>
      <c r="U970" s="246" t="str">
        <f t="shared" si="130"/>
        <v/>
      </c>
      <c r="V970" s="8"/>
      <c r="AR970" t="str">
        <f t="shared" si="131"/>
        <v/>
      </c>
      <c r="AS970" t="str">
        <f t="shared" si="126"/>
        <v/>
      </c>
    </row>
    <row r="971" spans="1:45" x14ac:dyDescent="0.3">
      <c r="A971" s="231"/>
      <c r="B971" s="235"/>
      <c r="C971" s="214"/>
      <c r="D971" s="214"/>
      <c r="E971" s="214"/>
      <c r="F971" s="214"/>
      <c r="G971" s="222"/>
      <c r="H971" s="221"/>
      <c r="I971" s="213"/>
      <c r="J971" s="213"/>
      <c r="K971" s="215"/>
      <c r="L971" s="216"/>
      <c r="M971" s="217"/>
      <c r="N971" s="176"/>
      <c r="O971" s="241" t="str">
        <f>IF(Q971 = "", "", COUNT(Q$4:$Q971))</f>
        <v/>
      </c>
      <c r="P971" s="241" t="str">
        <f t="shared" si="124"/>
        <v/>
      </c>
      <c r="Q971" s="242" t="str">
        <f t="shared" si="125"/>
        <v/>
      </c>
      <c r="R971" s="243" t="str">
        <f t="shared" si="127"/>
        <v/>
      </c>
      <c r="S971" s="244" t="str">
        <f t="shared" si="128"/>
        <v/>
      </c>
      <c r="T971" s="245" t="str">
        <f t="shared" si="129"/>
        <v/>
      </c>
      <c r="U971" s="246" t="str">
        <f t="shared" si="130"/>
        <v/>
      </c>
      <c r="V971" s="8"/>
      <c r="AR971" t="str">
        <f t="shared" si="131"/>
        <v/>
      </c>
      <c r="AS971" t="str">
        <f t="shared" si="126"/>
        <v/>
      </c>
    </row>
    <row r="972" spans="1:45" x14ac:dyDescent="0.3">
      <c r="A972" s="231"/>
      <c r="B972" s="235"/>
      <c r="C972" s="214"/>
      <c r="D972" s="214"/>
      <c r="E972" s="214"/>
      <c r="F972" s="214"/>
      <c r="G972" s="222"/>
      <c r="H972" s="221"/>
      <c r="I972" s="213"/>
      <c r="J972" s="213"/>
      <c r="K972" s="215"/>
      <c r="L972" s="216"/>
      <c r="M972" s="217"/>
      <c r="N972" s="176"/>
      <c r="O972" s="241" t="str">
        <f>IF(Q972 = "", "", COUNT(Q$4:$Q972))</f>
        <v/>
      </c>
      <c r="P972" s="241" t="str">
        <f t="shared" si="124"/>
        <v/>
      </c>
      <c r="Q972" s="242" t="str">
        <f t="shared" si="125"/>
        <v/>
      </c>
      <c r="R972" s="243" t="str">
        <f t="shared" si="127"/>
        <v/>
      </c>
      <c r="S972" s="244" t="str">
        <f t="shared" si="128"/>
        <v/>
      </c>
      <c r="T972" s="245" t="str">
        <f t="shared" si="129"/>
        <v/>
      </c>
      <c r="U972" s="246" t="str">
        <f t="shared" si="130"/>
        <v/>
      </c>
      <c r="V972" s="8"/>
      <c r="AR972" t="str">
        <f t="shared" si="131"/>
        <v/>
      </c>
      <c r="AS972" t="str">
        <f t="shared" si="126"/>
        <v/>
      </c>
    </row>
    <row r="973" spans="1:45" x14ac:dyDescent="0.3">
      <c r="A973" s="231"/>
      <c r="B973" s="235"/>
      <c r="C973" s="214"/>
      <c r="D973" s="214"/>
      <c r="E973" s="214"/>
      <c r="F973" s="214"/>
      <c r="G973" s="222"/>
      <c r="H973" s="221"/>
      <c r="I973" s="213"/>
      <c r="J973" s="213"/>
      <c r="K973" s="215"/>
      <c r="L973" s="216"/>
      <c r="M973" s="217"/>
      <c r="N973" s="176"/>
      <c r="O973" s="241" t="str">
        <f>IF(Q973 = "", "", COUNT(Q$4:$Q973))</f>
        <v/>
      </c>
      <c r="P973" s="241" t="str">
        <f t="shared" si="124"/>
        <v/>
      </c>
      <c r="Q973" s="242" t="str">
        <f t="shared" si="125"/>
        <v/>
      </c>
      <c r="R973" s="243" t="str">
        <f t="shared" si="127"/>
        <v/>
      </c>
      <c r="S973" s="244" t="str">
        <f t="shared" si="128"/>
        <v/>
      </c>
      <c r="T973" s="245" t="str">
        <f t="shared" si="129"/>
        <v/>
      </c>
      <c r="U973" s="246" t="str">
        <f t="shared" si="130"/>
        <v/>
      </c>
      <c r="V973" s="8"/>
      <c r="AR973" t="str">
        <f t="shared" si="131"/>
        <v/>
      </c>
      <c r="AS973" t="str">
        <f t="shared" si="126"/>
        <v/>
      </c>
    </row>
    <row r="974" spans="1:45" x14ac:dyDescent="0.3">
      <c r="A974" s="231"/>
      <c r="B974" s="235"/>
      <c r="C974" s="214"/>
      <c r="D974" s="214"/>
      <c r="E974" s="214"/>
      <c r="F974" s="214"/>
      <c r="G974" s="222"/>
      <c r="H974" s="221"/>
      <c r="I974" s="213"/>
      <c r="J974" s="213"/>
      <c r="K974" s="215"/>
      <c r="L974" s="216"/>
      <c r="M974" s="217"/>
      <c r="N974" s="176"/>
      <c r="O974" s="241" t="str">
        <f>IF(Q974 = "", "", COUNT(Q$4:$Q974))</f>
        <v/>
      </c>
      <c r="P974" s="241" t="str">
        <f t="shared" si="124"/>
        <v/>
      </c>
      <c r="Q974" s="242" t="str">
        <f t="shared" si="125"/>
        <v/>
      </c>
      <c r="R974" s="243" t="str">
        <f t="shared" si="127"/>
        <v/>
      </c>
      <c r="S974" s="244" t="str">
        <f t="shared" si="128"/>
        <v/>
      </c>
      <c r="T974" s="245" t="str">
        <f t="shared" si="129"/>
        <v/>
      </c>
      <c r="U974" s="246" t="str">
        <f t="shared" si="130"/>
        <v/>
      </c>
      <c r="V974" s="8"/>
      <c r="AR974" t="str">
        <f t="shared" si="131"/>
        <v/>
      </c>
      <c r="AS974" t="str">
        <f t="shared" si="126"/>
        <v/>
      </c>
    </row>
    <row r="975" spans="1:45" x14ac:dyDescent="0.3">
      <c r="A975" s="231"/>
      <c r="B975" s="235"/>
      <c r="C975" s="214"/>
      <c r="D975" s="214"/>
      <c r="E975" s="214"/>
      <c r="F975" s="214"/>
      <c r="G975" s="222"/>
      <c r="H975" s="221"/>
      <c r="I975" s="213"/>
      <c r="J975" s="213"/>
      <c r="K975" s="215"/>
      <c r="L975" s="216"/>
      <c r="M975" s="217"/>
      <c r="N975" s="176"/>
      <c r="O975" s="241" t="str">
        <f>IF(Q975 = "", "", COUNT(Q$4:$Q975))</f>
        <v/>
      </c>
      <c r="P975" s="241" t="str">
        <f t="shared" si="124"/>
        <v/>
      </c>
      <c r="Q975" s="242" t="str">
        <f t="shared" si="125"/>
        <v/>
      </c>
      <c r="R975" s="243" t="str">
        <f t="shared" si="127"/>
        <v/>
      </c>
      <c r="S975" s="244" t="str">
        <f t="shared" si="128"/>
        <v/>
      </c>
      <c r="T975" s="245" t="str">
        <f t="shared" si="129"/>
        <v/>
      </c>
      <c r="U975" s="246" t="str">
        <f t="shared" si="130"/>
        <v/>
      </c>
      <c r="V975" s="8"/>
      <c r="AR975" t="str">
        <f t="shared" si="131"/>
        <v/>
      </c>
      <c r="AS975" t="str">
        <f t="shared" si="126"/>
        <v/>
      </c>
    </row>
    <row r="976" spans="1:45" x14ac:dyDescent="0.3">
      <c r="A976" s="231"/>
      <c r="B976" s="235"/>
      <c r="C976" s="214"/>
      <c r="D976" s="214"/>
      <c r="E976" s="214"/>
      <c r="F976" s="214"/>
      <c r="G976" s="222"/>
      <c r="H976" s="221"/>
      <c r="I976" s="213"/>
      <c r="J976" s="213"/>
      <c r="K976" s="215"/>
      <c r="L976" s="216"/>
      <c r="M976" s="217"/>
      <c r="N976" s="176"/>
      <c r="O976" s="241" t="str">
        <f>IF(Q976 = "", "", COUNT(Q$4:$Q976))</f>
        <v/>
      </c>
      <c r="P976" s="241" t="str">
        <f t="shared" si="124"/>
        <v/>
      </c>
      <c r="Q976" s="242" t="str">
        <f t="shared" si="125"/>
        <v/>
      </c>
      <c r="R976" s="243" t="str">
        <f t="shared" si="127"/>
        <v/>
      </c>
      <c r="S976" s="244" t="str">
        <f t="shared" si="128"/>
        <v/>
      </c>
      <c r="T976" s="245" t="str">
        <f t="shared" si="129"/>
        <v/>
      </c>
      <c r="U976" s="246" t="str">
        <f t="shared" si="130"/>
        <v/>
      </c>
      <c r="V976" s="8"/>
      <c r="AR976" t="str">
        <f t="shared" si="131"/>
        <v/>
      </c>
      <c r="AS976" t="str">
        <f t="shared" si="126"/>
        <v/>
      </c>
    </row>
    <row r="977" spans="1:45" x14ac:dyDescent="0.3">
      <c r="A977" s="231"/>
      <c r="B977" s="235"/>
      <c r="C977" s="214"/>
      <c r="D977" s="214"/>
      <c r="E977" s="214"/>
      <c r="F977" s="214"/>
      <c r="G977" s="222"/>
      <c r="H977" s="221"/>
      <c r="I977" s="213"/>
      <c r="J977" s="213"/>
      <c r="K977" s="215"/>
      <c r="L977" s="216"/>
      <c r="M977" s="217"/>
      <c r="N977" s="176"/>
      <c r="O977" s="241" t="str">
        <f>IF(Q977 = "", "", COUNT(Q$4:$Q977))</f>
        <v/>
      </c>
      <c r="P977" s="241" t="str">
        <f t="shared" si="124"/>
        <v/>
      </c>
      <c r="Q977" s="242" t="str">
        <f t="shared" si="125"/>
        <v/>
      </c>
      <c r="R977" s="243" t="str">
        <f t="shared" si="127"/>
        <v/>
      </c>
      <c r="S977" s="244" t="str">
        <f t="shared" si="128"/>
        <v/>
      </c>
      <c r="T977" s="245" t="str">
        <f t="shared" si="129"/>
        <v/>
      </c>
      <c r="U977" s="246" t="str">
        <f t="shared" si="130"/>
        <v/>
      </c>
      <c r="V977" s="8"/>
      <c r="AR977" t="str">
        <f t="shared" si="131"/>
        <v/>
      </c>
      <c r="AS977" t="str">
        <f t="shared" si="126"/>
        <v/>
      </c>
    </row>
    <row r="978" spans="1:45" x14ac:dyDescent="0.3">
      <c r="A978" s="231"/>
      <c r="B978" s="235"/>
      <c r="C978" s="214"/>
      <c r="D978" s="214"/>
      <c r="E978" s="214"/>
      <c r="F978" s="214"/>
      <c r="G978" s="222"/>
      <c r="H978" s="221"/>
      <c r="I978" s="213"/>
      <c r="J978" s="213"/>
      <c r="K978" s="215"/>
      <c r="L978" s="216"/>
      <c r="M978" s="217"/>
      <c r="N978" s="176"/>
      <c r="O978" s="241" t="str">
        <f>IF(Q978 = "", "", COUNT(Q$4:$Q978))</f>
        <v/>
      </c>
      <c r="P978" s="241" t="str">
        <f t="shared" si="124"/>
        <v/>
      </c>
      <c r="Q978" s="242" t="str">
        <f t="shared" si="125"/>
        <v/>
      </c>
      <c r="R978" s="243" t="str">
        <f t="shared" si="127"/>
        <v/>
      </c>
      <c r="S978" s="244" t="str">
        <f t="shared" si="128"/>
        <v/>
      </c>
      <c r="T978" s="245" t="str">
        <f t="shared" si="129"/>
        <v/>
      </c>
      <c r="U978" s="246" t="str">
        <f t="shared" si="130"/>
        <v/>
      </c>
      <c r="V978" s="8"/>
      <c r="AR978" t="str">
        <f t="shared" si="131"/>
        <v/>
      </c>
      <c r="AS978" t="str">
        <f t="shared" si="126"/>
        <v/>
      </c>
    </row>
    <row r="979" spans="1:45" x14ac:dyDescent="0.3">
      <c r="A979" s="231"/>
      <c r="B979" s="235"/>
      <c r="C979" s="214"/>
      <c r="D979" s="214"/>
      <c r="E979" s="214"/>
      <c r="F979" s="214"/>
      <c r="G979" s="222"/>
      <c r="H979" s="221"/>
      <c r="I979" s="213"/>
      <c r="J979" s="213"/>
      <c r="K979" s="215"/>
      <c r="L979" s="216"/>
      <c r="M979" s="217"/>
      <c r="N979" s="176"/>
      <c r="O979" s="241" t="str">
        <f>IF(Q979 = "", "", COUNT(Q$4:$Q979))</f>
        <v/>
      </c>
      <c r="P979" s="241" t="str">
        <f t="shared" si="124"/>
        <v/>
      </c>
      <c r="Q979" s="242" t="str">
        <f t="shared" si="125"/>
        <v/>
      </c>
      <c r="R979" s="243" t="str">
        <f t="shared" si="127"/>
        <v/>
      </c>
      <c r="S979" s="244" t="str">
        <f t="shared" si="128"/>
        <v/>
      </c>
      <c r="T979" s="245" t="str">
        <f t="shared" si="129"/>
        <v/>
      </c>
      <c r="U979" s="246" t="str">
        <f t="shared" si="130"/>
        <v/>
      </c>
      <c r="V979" s="8"/>
      <c r="AR979" t="str">
        <f t="shared" si="131"/>
        <v/>
      </c>
      <c r="AS979" t="str">
        <f t="shared" si="126"/>
        <v/>
      </c>
    </row>
    <row r="980" spans="1:45" x14ac:dyDescent="0.3">
      <c r="A980" s="231"/>
      <c r="B980" s="235"/>
      <c r="C980" s="214"/>
      <c r="D980" s="214"/>
      <c r="E980" s="214"/>
      <c r="F980" s="214"/>
      <c r="G980" s="222"/>
      <c r="H980" s="221"/>
      <c r="I980" s="213"/>
      <c r="J980" s="213"/>
      <c r="K980" s="215"/>
      <c r="L980" s="216"/>
      <c r="M980" s="217"/>
      <c r="N980" s="176"/>
      <c r="O980" s="241" t="str">
        <f>IF(Q980 = "", "", COUNT(Q$4:$Q980))</f>
        <v/>
      </c>
      <c r="P980" s="241" t="str">
        <f t="shared" si="124"/>
        <v/>
      </c>
      <c r="Q980" s="242" t="str">
        <f t="shared" si="125"/>
        <v/>
      </c>
      <c r="R980" s="243" t="str">
        <f t="shared" si="127"/>
        <v/>
      </c>
      <c r="S980" s="244" t="str">
        <f t="shared" si="128"/>
        <v/>
      </c>
      <c r="T980" s="245" t="str">
        <f t="shared" si="129"/>
        <v/>
      </c>
      <c r="U980" s="246" t="str">
        <f t="shared" si="130"/>
        <v/>
      </c>
      <c r="V980" s="8"/>
      <c r="AR980" t="str">
        <f t="shared" si="131"/>
        <v/>
      </c>
      <c r="AS980" t="str">
        <f t="shared" si="126"/>
        <v/>
      </c>
    </row>
    <row r="981" spans="1:45" x14ac:dyDescent="0.3">
      <c r="A981" s="231"/>
      <c r="B981" s="235"/>
      <c r="C981" s="214"/>
      <c r="D981" s="214"/>
      <c r="E981" s="214"/>
      <c r="F981" s="214"/>
      <c r="G981" s="222"/>
      <c r="H981" s="221"/>
      <c r="I981" s="213"/>
      <c r="J981" s="213"/>
      <c r="K981" s="215"/>
      <c r="L981" s="216"/>
      <c r="M981" s="217"/>
      <c r="N981" s="176"/>
      <c r="O981" s="241" t="str">
        <f>IF(Q981 = "", "", COUNT(Q$4:$Q981))</f>
        <v/>
      </c>
      <c r="P981" s="241" t="str">
        <f t="shared" si="124"/>
        <v/>
      </c>
      <c r="Q981" s="242" t="str">
        <f t="shared" si="125"/>
        <v/>
      </c>
      <c r="R981" s="243" t="str">
        <f t="shared" si="127"/>
        <v/>
      </c>
      <c r="S981" s="244" t="str">
        <f t="shared" si="128"/>
        <v/>
      </c>
      <c r="T981" s="245" t="str">
        <f t="shared" si="129"/>
        <v/>
      </c>
      <c r="U981" s="246" t="str">
        <f t="shared" si="130"/>
        <v/>
      </c>
      <c r="V981" s="8"/>
      <c r="AR981" t="str">
        <f t="shared" si="131"/>
        <v/>
      </c>
      <c r="AS981" t="str">
        <f t="shared" si="126"/>
        <v/>
      </c>
    </row>
    <row r="982" spans="1:45" x14ac:dyDescent="0.3">
      <c r="A982" s="231"/>
      <c r="B982" s="235"/>
      <c r="C982" s="214"/>
      <c r="D982" s="214"/>
      <c r="E982" s="214"/>
      <c r="F982" s="214"/>
      <c r="G982" s="222"/>
      <c r="H982" s="221"/>
      <c r="I982" s="213"/>
      <c r="J982" s="213"/>
      <c r="K982" s="215"/>
      <c r="L982" s="216"/>
      <c r="M982" s="217"/>
      <c r="N982" s="176"/>
      <c r="O982" s="241" t="str">
        <f>IF(Q982 = "", "", COUNT(Q$4:$Q982))</f>
        <v/>
      </c>
      <c r="P982" s="241" t="str">
        <f t="shared" si="124"/>
        <v/>
      </c>
      <c r="Q982" s="242" t="str">
        <f t="shared" si="125"/>
        <v/>
      </c>
      <c r="R982" s="243" t="str">
        <f t="shared" si="127"/>
        <v/>
      </c>
      <c r="S982" s="244" t="str">
        <f t="shared" si="128"/>
        <v/>
      </c>
      <c r="T982" s="245" t="str">
        <f t="shared" si="129"/>
        <v/>
      </c>
      <c r="U982" s="246" t="str">
        <f t="shared" si="130"/>
        <v/>
      </c>
      <c r="V982" s="8"/>
      <c r="AR982" t="str">
        <f t="shared" si="131"/>
        <v/>
      </c>
      <c r="AS982" t="str">
        <f t="shared" si="126"/>
        <v/>
      </c>
    </row>
    <row r="983" spans="1:45" x14ac:dyDescent="0.3">
      <c r="A983" s="231"/>
      <c r="B983" s="235"/>
      <c r="C983" s="214"/>
      <c r="D983" s="214"/>
      <c r="E983" s="214"/>
      <c r="F983" s="214"/>
      <c r="G983" s="222"/>
      <c r="H983" s="221"/>
      <c r="I983" s="213"/>
      <c r="J983" s="213"/>
      <c r="K983" s="215"/>
      <c r="L983" s="216"/>
      <c r="M983" s="217"/>
      <c r="N983" s="176"/>
      <c r="O983" s="241" t="str">
        <f>IF(Q983 = "", "", COUNT(Q$4:$Q983))</f>
        <v/>
      </c>
      <c r="P983" s="241" t="str">
        <f t="shared" si="124"/>
        <v/>
      </c>
      <c r="Q983" s="242" t="str">
        <f t="shared" si="125"/>
        <v/>
      </c>
      <c r="R983" s="243" t="str">
        <f t="shared" si="127"/>
        <v/>
      </c>
      <c r="S983" s="244" t="str">
        <f t="shared" si="128"/>
        <v/>
      </c>
      <c r="T983" s="245" t="str">
        <f t="shared" si="129"/>
        <v/>
      </c>
      <c r="U983" s="246" t="str">
        <f t="shared" si="130"/>
        <v/>
      </c>
      <c r="V983" s="8"/>
      <c r="AR983" t="str">
        <f t="shared" si="131"/>
        <v/>
      </c>
      <c r="AS983" t="str">
        <f t="shared" si="126"/>
        <v/>
      </c>
    </row>
    <row r="984" spans="1:45" x14ac:dyDescent="0.3">
      <c r="A984" s="231"/>
      <c r="B984" s="235"/>
      <c r="C984" s="214"/>
      <c r="D984" s="214"/>
      <c r="E984" s="214"/>
      <c r="F984" s="214"/>
      <c r="G984" s="222"/>
      <c r="H984" s="221"/>
      <c r="I984" s="213"/>
      <c r="J984" s="213"/>
      <c r="K984" s="215"/>
      <c r="L984" s="216"/>
      <c r="M984" s="217"/>
      <c r="N984" s="176"/>
      <c r="O984" s="241" t="str">
        <f>IF(Q984 = "", "", COUNT(Q$4:$Q984))</f>
        <v/>
      </c>
      <c r="P984" s="241" t="str">
        <f t="shared" si="124"/>
        <v/>
      </c>
      <c r="Q984" s="242" t="str">
        <f t="shared" si="125"/>
        <v/>
      </c>
      <c r="R984" s="243" t="str">
        <f t="shared" si="127"/>
        <v/>
      </c>
      <c r="S984" s="244" t="str">
        <f t="shared" si="128"/>
        <v/>
      </c>
      <c r="T984" s="245" t="str">
        <f t="shared" si="129"/>
        <v/>
      </c>
      <c r="U984" s="246" t="str">
        <f t="shared" si="130"/>
        <v/>
      </c>
      <c r="V984" s="8"/>
      <c r="AR984" t="str">
        <f t="shared" si="131"/>
        <v/>
      </c>
      <c r="AS984" t="str">
        <f t="shared" si="126"/>
        <v/>
      </c>
    </row>
    <row r="985" spans="1:45" x14ac:dyDescent="0.3">
      <c r="A985" s="231"/>
      <c r="B985" s="235"/>
      <c r="C985" s="214"/>
      <c r="D985" s="214"/>
      <c r="E985" s="214"/>
      <c r="F985" s="214"/>
      <c r="G985" s="222"/>
      <c r="H985" s="221"/>
      <c r="I985" s="213"/>
      <c r="J985" s="213"/>
      <c r="K985" s="215"/>
      <c r="L985" s="216"/>
      <c r="M985" s="217"/>
      <c r="N985" s="176"/>
      <c r="O985" s="241" t="str">
        <f>IF(Q985 = "", "", COUNT(Q$4:$Q985))</f>
        <v/>
      </c>
      <c r="P985" s="241" t="str">
        <f t="shared" si="124"/>
        <v/>
      </c>
      <c r="Q985" s="242" t="str">
        <f t="shared" si="125"/>
        <v/>
      </c>
      <c r="R985" s="243" t="str">
        <f t="shared" si="127"/>
        <v/>
      </c>
      <c r="S985" s="244" t="str">
        <f t="shared" si="128"/>
        <v/>
      </c>
      <c r="T985" s="245" t="str">
        <f t="shared" si="129"/>
        <v/>
      </c>
      <c r="U985" s="246" t="str">
        <f t="shared" si="130"/>
        <v/>
      </c>
      <c r="V985" s="8"/>
      <c r="AR985" t="str">
        <f t="shared" si="131"/>
        <v/>
      </c>
      <c r="AS985" t="str">
        <f t="shared" si="126"/>
        <v/>
      </c>
    </row>
    <row r="986" spans="1:45" x14ac:dyDescent="0.3">
      <c r="A986" s="231"/>
      <c r="B986" s="235"/>
      <c r="C986" s="214"/>
      <c r="D986" s="214"/>
      <c r="E986" s="214"/>
      <c r="F986" s="214"/>
      <c r="G986" s="222"/>
      <c r="H986" s="221"/>
      <c r="I986" s="213"/>
      <c r="J986" s="213"/>
      <c r="K986" s="215"/>
      <c r="L986" s="216"/>
      <c r="M986" s="217"/>
      <c r="N986" s="176"/>
      <c r="O986" s="241" t="str">
        <f>IF(Q986 = "", "", COUNT(Q$4:$Q986))</f>
        <v/>
      </c>
      <c r="P986" s="241" t="str">
        <f t="shared" si="124"/>
        <v/>
      </c>
      <c r="Q986" s="242" t="str">
        <f t="shared" si="125"/>
        <v/>
      </c>
      <c r="R986" s="243" t="str">
        <f t="shared" si="127"/>
        <v/>
      </c>
      <c r="S986" s="244" t="str">
        <f t="shared" si="128"/>
        <v/>
      </c>
      <c r="T986" s="245" t="str">
        <f t="shared" si="129"/>
        <v/>
      </c>
      <c r="U986" s="246" t="str">
        <f t="shared" si="130"/>
        <v/>
      </c>
      <c r="V986" s="8"/>
      <c r="AR986" t="str">
        <f t="shared" si="131"/>
        <v/>
      </c>
      <c r="AS986" t="str">
        <f t="shared" si="126"/>
        <v/>
      </c>
    </row>
    <row r="987" spans="1:45" x14ac:dyDescent="0.3">
      <c r="A987" s="231"/>
      <c r="B987" s="235"/>
      <c r="C987" s="214"/>
      <c r="D987" s="214"/>
      <c r="E987" s="214"/>
      <c r="F987" s="214"/>
      <c r="G987" s="222"/>
      <c r="H987" s="221"/>
      <c r="I987" s="213"/>
      <c r="J987" s="213"/>
      <c r="K987" s="215"/>
      <c r="L987" s="216"/>
      <c r="M987" s="217"/>
      <c r="N987" s="176"/>
      <c r="O987" s="241" t="str">
        <f>IF(Q987 = "", "", COUNT(Q$4:$Q987))</f>
        <v/>
      </c>
      <c r="P987" s="241" t="str">
        <f t="shared" si="124"/>
        <v/>
      </c>
      <c r="Q987" s="242" t="str">
        <f t="shared" si="125"/>
        <v/>
      </c>
      <c r="R987" s="243" t="str">
        <f t="shared" si="127"/>
        <v/>
      </c>
      <c r="S987" s="244" t="str">
        <f t="shared" si="128"/>
        <v/>
      </c>
      <c r="T987" s="245" t="str">
        <f t="shared" si="129"/>
        <v/>
      </c>
      <c r="U987" s="246" t="str">
        <f t="shared" si="130"/>
        <v/>
      </c>
      <c r="V987" s="8"/>
      <c r="AR987" t="str">
        <f t="shared" si="131"/>
        <v/>
      </c>
      <c r="AS987" t="str">
        <f t="shared" si="126"/>
        <v/>
      </c>
    </row>
    <row r="988" spans="1:45" x14ac:dyDescent="0.3">
      <c r="A988" s="231"/>
      <c r="B988" s="235"/>
      <c r="C988" s="214"/>
      <c r="D988" s="214"/>
      <c r="E988" s="214"/>
      <c r="F988" s="214"/>
      <c r="G988" s="222"/>
      <c r="H988" s="221"/>
      <c r="I988" s="213"/>
      <c r="J988" s="213"/>
      <c r="K988" s="215"/>
      <c r="L988" s="216"/>
      <c r="M988" s="217"/>
      <c r="N988" s="176"/>
      <c r="O988" s="241" t="str">
        <f>IF(Q988 = "", "", COUNT(Q$4:$Q988))</f>
        <v/>
      </c>
      <c r="P988" s="241" t="str">
        <f t="shared" si="124"/>
        <v/>
      </c>
      <c r="Q988" s="242" t="str">
        <f t="shared" si="125"/>
        <v/>
      </c>
      <c r="R988" s="243" t="str">
        <f t="shared" si="127"/>
        <v/>
      </c>
      <c r="S988" s="244" t="str">
        <f t="shared" si="128"/>
        <v/>
      </c>
      <c r="T988" s="245" t="str">
        <f t="shared" si="129"/>
        <v/>
      </c>
      <c r="U988" s="246" t="str">
        <f t="shared" si="130"/>
        <v/>
      </c>
      <c r="V988" s="8"/>
      <c r="AR988" t="str">
        <f t="shared" si="131"/>
        <v/>
      </c>
      <c r="AS988" t="str">
        <f t="shared" si="126"/>
        <v/>
      </c>
    </row>
    <row r="989" spans="1:45" x14ac:dyDescent="0.3">
      <c r="A989" s="231"/>
      <c r="B989" s="235"/>
      <c r="C989" s="214"/>
      <c r="D989" s="214"/>
      <c r="E989" s="214"/>
      <c r="F989" s="214"/>
      <c r="G989" s="222"/>
      <c r="H989" s="221"/>
      <c r="I989" s="213"/>
      <c r="J989" s="213"/>
      <c r="K989" s="215"/>
      <c r="L989" s="216"/>
      <c r="M989" s="217"/>
      <c r="N989" s="176"/>
      <c r="O989" s="241" t="str">
        <f>IF(Q989 = "", "", COUNT(Q$4:$Q989))</f>
        <v/>
      </c>
      <c r="P989" s="241" t="str">
        <f t="shared" si="124"/>
        <v/>
      </c>
      <c r="Q989" s="242" t="str">
        <f t="shared" si="125"/>
        <v/>
      </c>
      <c r="R989" s="243" t="str">
        <f t="shared" si="127"/>
        <v/>
      </c>
      <c r="S989" s="244" t="str">
        <f t="shared" si="128"/>
        <v/>
      </c>
      <c r="T989" s="245" t="str">
        <f t="shared" si="129"/>
        <v/>
      </c>
      <c r="U989" s="246" t="str">
        <f t="shared" si="130"/>
        <v/>
      </c>
      <c r="V989" s="8"/>
      <c r="AR989" t="str">
        <f t="shared" si="131"/>
        <v/>
      </c>
      <c r="AS989" t="str">
        <f t="shared" si="126"/>
        <v/>
      </c>
    </row>
    <row r="990" spans="1:45" x14ac:dyDescent="0.3">
      <c r="A990" s="231"/>
      <c r="B990" s="235"/>
      <c r="C990" s="214"/>
      <c r="D990" s="214"/>
      <c r="E990" s="214"/>
      <c r="F990" s="214"/>
      <c r="G990" s="222"/>
      <c r="H990" s="221"/>
      <c r="I990" s="213"/>
      <c r="J990" s="213"/>
      <c r="K990" s="215"/>
      <c r="L990" s="216"/>
      <c r="M990" s="217"/>
      <c r="N990" s="176"/>
      <c r="O990" s="241" t="str">
        <f>IF(Q990 = "", "", COUNT(Q$4:$Q990))</f>
        <v/>
      </c>
      <c r="P990" s="241" t="str">
        <f t="shared" si="124"/>
        <v/>
      </c>
      <c r="Q990" s="242" t="str">
        <f t="shared" si="125"/>
        <v/>
      </c>
      <c r="R990" s="243" t="str">
        <f t="shared" si="127"/>
        <v/>
      </c>
      <c r="S990" s="244" t="str">
        <f t="shared" si="128"/>
        <v/>
      </c>
      <c r="T990" s="245" t="str">
        <f t="shared" si="129"/>
        <v/>
      </c>
      <c r="U990" s="246" t="str">
        <f t="shared" si="130"/>
        <v/>
      </c>
      <c r="V990" s="8"/>
      <c r="AR990" t="str">
        <f t="shared" si="131"/>
        <v/>
      </c>
      <c r="AS990" t="str">
        <f t="shared" si="126"/>
        <v/>
      </c>
    </row>
    <row r="991" spans="1:45" x14ac:dyDescent="0.3">
      <c r="A991" s="231"/>
      <c r="B991" s="235"/>
      <c r="C991" s="214"/>
      <c r="D991" s="214"/>
      <c r="E991" s="214"/>
      <c r="F991" s="214"/>
      <c r="G991" s="222"/>
      <c r="H991" s="221"/>
      <c r="I991" s="213"/>
      <c r="J991" s="213"/>
      <c r="K991" s="215"/>
      <c r="L991" s="216"/>
      <c r="M991" s="217"/>
      <c r="N991" s="176"/>
      <c r="O991" s="241" t="str">
        <f>IF(Q991 = "", "", COUNT(Q$4:$Q991))</f>
        <v/>
      </c>
      <c r="P991" s="241" t="str">
        <f t="shared" si="124"/>
        <v/>
      </c>
      <c r="Q991" s="242" t="str">
        <f t="shared" si="125"/>
        <v/>
      </c>
      <c r="R991" s="243" t="str">
        <f t="shared" si="127"/>
        <v/>
      </c>
      <c r="S991" s="244" t="str">
        <f t="shared" si="128"/>
        <v/>
      </c>
      <c r="T991" s="245" t="str">
        <f t="shared" si="129"/>
        <v/>
      </c>
      <c r="U991" s="246" t="str">
        <f t="shared" si="130"/>
        <v/>
      </c>
      <c r="V991" s="8"/>
      <c r="AR991" t="str">
        <f t="shared" si="131"/>
        <v/>
      </c>
      <c r="AS991" t="str">
        <f t="shared" si="126"/>
        <v/>
      </c>
    </row>
    <row r="992" spans="1:45" x14ac:dyDescent="0.3">
      <c r="A992" s="231"/>
      <c r="B992" s="235"/>
      <c r="C992" s="214"/>
      <c r="D992" s="214"/>
      <c r="E992" s="214"/>
      <c r="F992" s="214"/>
      <c r="G992" s="222"/>
      <c r="H992" s="221"/>
      <c r="I992" s="213"/>
      <c r="J992" s="213"/>
      <c r="K992" s="215"/>
      <c r="L992" s="216"/>
      <c r="M992" s="217"/>
      <c r="N992" s="176"/>
      <c r="O992" s="241" t="str">
        <f>IF(Q992 = "", "", COUNT(Q$4:$Q992))</f>
        <v/>
      </c>
      <c r="P992" s="241" t="str">
        <f t="shared" si="124"/>
        <v/>
      </c>
      <c r="Q992" s="242" t="str">
        <f t="shared" si="125"/>
        <v/>
      </c>
      <c r="R992" s="243" t="str">
        <f t="shared" si="127"/>
        <v/>
      </c>
      <c r="S992" s="244" t="str">
        <f t="shared" si="128"/>
        <v/>
      </c>
      <c r="T992" s="245" t="str">
        <f t="shared" si="129"/>
        <v/>
      </c>
      <c r="U992" s="246" t="str">
        <f t="shared" si="130"/>
        <v/>
      </c>
      <c r="V992" s="8"/>
      <c r="AR992" t="str">
        <f t="shared" si="131"/>
        <v/>
      </c>
      <c r="AS992" t="str">
        <f t="shared" si="126"/>
        <v/>
      </c>
    </row>
    <row r="993" spans="1:45" x14ac:dyDescent="0.3">
      <c r="A993" s="231"/>
      <c r="B993" s="235"/>
      <c r="C993" s="214"/>
      <c r="D993" s="214"/>
      <c r="E993" s="214"/>
      <c r="F993" s="214"/>
      <c r="G993" s="222"/>
      <c r="H993" s="221"/>
      <c r="I993" s="213"/>
      <c r="J993" s="213"/>
      <c r="K993" s="215"/>
      <c r="L993" s="216"/>
      <c r="M993" s="217"/>
      <c r="N993" s="176"/>
      <c r="O993" s="241" t="str">
        <f>IF(Q993 = "", "", COUNT(Q$4:$Q993))</f>
        <v/>
      </c>
      <c r="P993" s="241" t="str">
        <f t="shared" si="124"/>
        <v/>
      </c>
      <c r="Q993" s="242" t="str">
        <f t="shared" si="125"/>
        <v/>
      </c>
      <c r="R993" s="243" t="str">
        <f t="shared" si="127"/>
        <v/>
      </c>
      <c r="S993" s="244" t="str">
        <f t="shared" si="128"/>
        <v/>
      </c>
      <c r="T993" s="245" t="str">
        <f t="shared" si="129"/>
        <v/>
      </c>
      <c r="U993" s="246" t="str">
        <f t="shared" si="130"/>
        <v/>
      </c>
      <c r="V993" s="8"/>
      <c r="AR993" t="str">
        <f t="shared" si="131"/>
        <v/>
      </c>
      <c r="AS993" t="str">
        <f t="shared" si="126"/>
        <v/>
      </c>
    </row>
    <row r="994" spans="1:45" x14ac:dyDescent="0.3">
      <c r="A994" s="231"/>
      <c r="B994" s="235"/>
      <c r="C994" s="214"/>
      <c r="D994" s="214"/>
      <c r="E994" s="214"/>
      <c r="F994" s="214"/>
      <c r="G994" s="222"/>
      <c r="H994" s="221"/>
      <c r="I994" s="213"/>
      <c r="J994" s="213"/>
      <c r="K994" s="215"/>
      <c r="L994" s="216"/>
      <c r="M994" s="217"/>
      <c r="N994" s="176"/>
      <c r="O994" s="241" t="str">
        <f>IF(Q994 = "", "", COUNT(Q$4:$Q994))</f>
        <v/>
      </c>
      <c r="P994" s="241" t="str">
        <f t="shared" si="124"/>
        <v/>
      </c>
      <c r="Q994" s="242" t="str">
        <f t="shared" si="125"/>
        <v/>
      </c>
      <c r="R994" s="243" t="str">
        <f t="shared" si="127"/>
        <v/>
      </c>
      <c r="S994" s="244" t="str">
        <f t="shared" si="128"/>
        <v/>
      </c>
      <c r="T994" s="245" t="str">
        <f t="shared" si="129"/>
        <v/>
      </c>
      <c r="U994" s="246" t="str">
        <f t="shared" si="130"/>
        <v/>
      </c>
      <c r="V994" s="8"/>
      <c r="AR994" t="str">
        <f t="shared" si="131"/>
        <v/>
      </c>
      <c r="AS994" t="str">
        <f t="shared" si="126"/>
        <v/>
      </c>
    </row>
    <row r="995" spans="1:45" x14ac:dyDescent="0.3">
      <c r="A995" s="231"/>
      <c r="B995" s="235"/>
      <c r="C995" s="214"/>
      <c r="D995" s="214"/>
      <c r="E995" s="214"/>
      <c r="F995" s="214"/>
      <c r="G995" s="222"/>
      <c r="H995" s="221"/>
      <c r="I995" s="213"/>
      <c r="J995" s="213"/>
      <c r="K995" s="215"/>
      <c r="L995" s="216"/>
      <c r="M995" s="217"/>
      <c r="N995" s="176"/>
      <c r="O995" s="241" t="str">
        <f>IF(Q995 = "", "", COUNT(Q$4:$Q995))</f>
        <v/>
      </c>
      <c r="P995" s="241" t="str">
        <f t="shared" si="124"/>
        <v/>
      </c>
      <c r="Q995" s="242" t="str">
        <f t="shared" si="125"/>
        <v/>
      </c>
      <c r="R995" s="243" t="str">
        <f t="shared" si="127"/>
        <v/>
      </c>
      <c r="S995" s="244" t="str">
        <f t="shared" si="128"/>
        <v/>
      </c>
      <c r="T995" s="245" t="str">
        <f t="shared" si="129"/>
        <v/>
      </c>
      <c r="U995" s="246" t="str">
        <f t="shared" si="130"/>
        <v/>
      </c>
      <c r="V995" s="8"/>
      <c r="AR995" t="str">
        <f t="shared" si="131"/>
        <v/>
      </c>
      <c r="AS995" t="str">
        <f t="shared" si="126"/>
        <v/>
      </c>
    </row>
    <row r="996" spans="1:45" x14ac:dyDescent="0.3">
      <c r="A996" s="231"/>
      <c r="B996" s="235"/>
      <c r="C996" s="214"/>
      <c r="D996" s="214"/>
      <c r="E996" s="214"/>
      <c r="F996" s="214"/>
      <c r="G996" s="222"/>
      <c r="H996" s="221"/>
      <c r="I996" s="213"/>
      <c r="J996" s="213"/>
      <c r="K996" s="215"/>
      <c r="L996" s="216"/>
      <c r="M996" s="217"/>
      <c r="N996" s="176"/>
      <c r="O996" s="241" t="str">
        <f>IF(Q996 = "", "", COUNT(Q$4:$Q996))</f>
        <v/>
      </c>
      <c r="P996" s="241" t="str">
        <f t="shared" si="124"/>
        <v/>
      </c>
      <c r="Q996" s="242" t="str">
        <f t="shared" si="125"/>
        <v/>
      </c>
      <c r="R996" s="243" t="str">
        <f t="shared" si="127"/>
        <v/>
      </c>
      <c r="S996" s="244" t="str">
        <f t="shared" si="128"/>
        <v/>
      </c>
      <c r="T996" s="245" t="str">
        <f t="shared" si="129"/>
        <v/>
      </c>
      <c r="U996" s="246" t="str">
        <f t="shared" si="130"/>
        <v/>
      </c>
      <c r="V996" s="8"/>
      <c r="AR996" t="str">
        <f t="shared" si="131"/>
        <v/>
      </c>
      <c r="AS996" t="str">
        <f t="shared" si="126"/>
        <v/>
      </c>
    </row>
    <row r="997" spans="1:45" x14ac:dyDescent="0.3">
      <c r="A997" s="231"/>
      <c r="B997" s="235"/>
      <c r="C997" s="214"/>
      <c r="D997" s="214"/>
      <c r="E997" s="214"/>
      <c r="F997" s="214"/>
      <c r="G997" s="222"/>
      <c r="H997" s="221"/>
      <c r="I997" s="213"/>
      <c r="J997" s="213"/>
      <c r="K997" s="215"/>
      <c r="L997" s="216"/>
      <c r="M997" s="217"/>
      <c r="N997" s="176"/>
      <c r="O997" s="241" t="str">
        <f>IF(Q997 = "", "", COUNT(Q$4:$Q997))</f>
        <v/>
      </c>
      <c r="P997" s="241" t="str">
        <f t="shared" si="124"/>
        <v/>
      </c>
      <c r="Q997" s="242" t="str">
        <f t="shared" si="125"/>
        <v/>
      </c>
      <c r="R997" s="243" t="str">
        <f t="shared" si="127"/>
        <v/>
      </c>
      <c r="S997" s="244" t="str">
        <f t="shared" si="128"/>
        <v/>
      </c>
      <c r="T997" s="245" t="str">
        <f t="shared" si="129"/>
        <v/>
      </c>
      <c r="U997" s="246" t="str">
        <f t="shared" si="130"/>
        <v/>
      </c>
      <c r="V997" s="8"/>
      <c r="AR997" t="str">
        <f t="shared" si="131"/>
        <v/>
      </c>
      <c r="AS997" t="str">
        <f t="shared" si="126"/>
        <v/>
      </c>
    </row>
    <row r="998" spans="1:45" x14ac:dyDescent="0.3">
      <c r="A998" s="231"/>
      <c r="B998" s="235"/>
      <c r="C998" s="214"/>
      <c r="D998" s="214"/>
      <c r="E998" s="214"/>
      <c r="F998" s="214"/>
      <c r="G998" s="222"/>
      <c r="H998" s="221"/>
      <c r="I998" s="213"/>
      <c r="J998" s="213"/>
      <c r="K998" s="215"/>
      <c r="L998" s="216"/>
      <c r="M998" s="217"/>
      <c r="N998" s="176"/>
      <c r="O998" s="241" t="str">
        <f>IF(Q998 = "", "", COUNT(Q$4:$Q998))</f>
        <v/>
      </c>
      <c r="P998" s="241" t="str">
        <f t="shared" si="124"/>
        <v/>
      </c>
      <c r="Q998" s="242" t="str">
        <f t="shared" si="125"/>
        <v/>
      </c>
      <c r="R998" s="243" t="str">
        <f t="shared" si="127"/>
        <v/>
      </c>
      <c r="S998" s="244" t="str">
        <f t="shared" si="128"/>
        <v/>
      </c>
      <c r="T998" s="245" t="str">
        <f t="shared" si="129"/>
        <v/>
      </c>
      <c r="U998" s="246" t="str">
        <f t="shared" si="130"/>
        <v/>
      </c>
      <c r="V998" s="8"/>
      <c r="AR998" t="str">
        <f t="shared" si="131"/>
        <v/>
      </c>
      <c r="AS998" t="str">
        <f t="shared" si="126"/>
        <v/>
      </c>
    </row>
    <row r="999" spans="1:45" x14ac:dyDescent="0.3">
      <c r="A999" s="231"/>
      <c r="B999" s="235"/>
      <c r="C999" s="214"/>
      <c r="D999" s="214"/>
      <c r="E999" s="214"/>
      <c r="F999" s="214"/>
      <c r="G999" s="222"/>
      <c r="H999" s="221"/>
      <c r="I999" s="213"/>
      <c r="J999" s="213"/>
      <c r="K999" s="215"/>
      <c r="L999" s="216"/>
      <c r="M999" s="217"/>
      <c r="N999" s="176"/>
      <c r="O999" s="241" t="str">
        <f>IF(Q999 = "", "", COUNT(Q$4:$Q999))</f>
        <v/>
      </c>
      <c r="P999" s="241" t="str">
        <f t="shared" si="124"/>
        <v/>
      </c>
      <c r="Q999" s="242" t="str">
        <f t="shared" si="125"/>
        <v/>
      </c>
      <c r="R999" s="243" t="str">
        <f t="shared" si="127"/>
        <v/>
      </c>
      <c r="S999" s="244" t="str">
        <f t="shared" si="128"/>
        <v/>
      </c>
      <c r="T999" s="245" t="str">
        <f t="shared" si="129"/>
        <v/>
      </c>
      <c r="U999" s="246" t="str">
        <f t="shared" si="130"/>
        <v/>
      </c>
      <c r="V999" s="8"/>
      <c r="AR999" t="str">
        <f t="shared" si="131"/>
        <v/>
      </c>
      <c r="AS999" t="str">
        <f t="shared" si="126"/>
        <v/>
      </c>
    </row>
    <row r="1000" spans="1:45" x14ac:dyDescent="0.3">
      <c r="A1000" s="231"/>
      <c r="B1000" s="235"/>
      <c r="C1000" s="214"/>
      <c r="D1000" s="214"/>
      <c r="E1000" s="214"/>
      <c r="F1000" s="214"/>
      <c r="G1000" s="222"/>
      <c r="H1000" s="221"/>
      <c r="I1000" s="213"/>
      <c r="J1000" s="213"/>
      <c r="K1000" s="215"/>
      <c r="L1000" s="216"/>
      <c r="M1000" s="217"/>
      <c r="N1000" s="176"/>
      <c r="O1000" s="241" t="str">
        <f>IF(Q1000 = "", "", COUNT(Q$4:$Q1000))</f>
        <v/>
      </c>
      <c r="P1000" s="241" t="str">
        <f t="shared" si="124"/>
        <v/>
      </c>
      <c r="Q1000" s="242" t="str">
        <f t="shared" si="125"/>
        <v/>
      </c>
      <c r="R1000" s="243" t="str">
        <f t="shared" si="127"/>
        <v/>
      </c>
      <c r="S1000" s="244" t="str">
        <f t="shared" si="128"/>
        <v/>
      </c>
      <c r="T1000" s="245" t="str">
        <f t="shared" si="129"/>
        <v/>
      </c>
      <c r="U1000" s="246" t="str">
        <f t="shared" si="130"/>
        <v/>
      </c>
      <c r="V1000" s="8"/>
      <c r="AR1000" t="str">
        <f t="shared" si="131"/>
        <v/>
      </c>
      <c r="AS1000" t="str">
        <f t="shared" si="126"/>
        <v/>
      </c>
    </row>
    <row r="1001" spans="1:45" x14ac:dyDescent="0.3">
      <c r="A1001" s="231"/>
      <c r="B1001" s="235"/>
      <c r="C1001" s="214"/>
      <c r="D1001" s="214"/>
      <c r="E1001" s="214"/>
      <c r="F1001" s="214"/>
      <c r="G1001" s="222"/>
      <c r="H1001" s="221"/>
      <c r="I1001" s="213"/>
      <c r="J1001" s="213"/>
      <c r="K1001" s="215"/>
      <c r="L1001" s="216"/>
      <c r="M1001" s="217"/>
      <c r="N1001" s="176"/>
      <c r="O1001" s="241" t="str">
        <f>IF(Q1001 = "", "", COUNT(Q$4:$Q1001))</f>
        <v/>
      </c>
      <c r="P1001" s="241" t="str">
        <f t="shared" si="124"/>
        <v/>
      </c>
      <c r="Q1001" s="242" t="str">
        <f t="shared" si="125"/>
        <v/>
      </c>
      <c r="R1001" s="243" t="str">
        <f t="shared" si="127"/>
        <v/>
      </c>
      <c r="S1001" s="244" t="str">
        <f t="shared" si="128"/>
        <v/>
      </c>
      <c r="T1001" s="245" t="str">
        <f t="shared" si="129"/>
        <v/>
      </c>
      <c r="U1001" s="246" t="str">
        <f t="shared" si="130"/>
        <v/>
      </c>
      <c r="V1001" s="8"/>
      <c r="AR1001" t="str">
        <f t="shared" ref="AR1001:AR1003" si="132">IF(O1001&gt;0, O1001, "")</f>
        <v/>
      </c>
      <c r="AS1001" t="str">
        <f t="shared" ref="AS1001:AS1003" si="133">IF(OR(L1001="Y",M1001="Y"),"Y","")</f>
        <v/>
      </c>
    </row>
    <row r="1002" spans="1:45" x14ac:dyDescent="0.3">
      <c r="A1002" s="231"/>
      <c r="B1002" s="235"/>
      <c r="C1002" s="214"/>
      <c r="D1002" s="214"/>
      <c r="E1002" s="214"/>
      <c r="F1002" s="214"/>
      <c r="G1002" s="222"/>
      <c r="H1002" s="221"/>
      <c r="I1002" s="213"/>
      <c r="J1002" s="213"/>
      <c r="K1002" s="215"/>
      <c r="L1002" s="216"/>
      <c r="M1002" s="217"/>
      <c r="N1002" s="176"/>
      <c r="O1002" s="241" t="str">
        <f>IF(Q1002 = "", "", COUNT(Q$4:$Q1002))</f>
        <v/>
      </c>
      <c r="P1002" s="241" t="str">
        <f t="shared" si="124"/>
        <v/>
      </c>
      <c r="Q1002" s="242" t="str">
        <f t="shared" si="125"/>
        <v/>
      </c>
      <c r="R1002" s="243" t="str">
        <f t="shared" si="127"/>
        <v/>
      </c>
      <c r="S1002" s="244" t="str">
        <f t="shared" si="128"/>
        <v/>
      </c>
      <c r="T1002" s="245" t="str">
        <f t="shared" si="129"/>
        <v/>
      </c>
      <c r="U1002" s="246" t="str">
        <f t="shared" si="130"/>
        <v/>
      </c>
      <c r="V1002" s="8"/>
      <c r="AR1002" t="str">
        <f t="shared" si="132"/>
        <v/>
      </c>
      <c r="AS1002" t="str">
        <f t="shared" si="133"/>
        <v/>
      </c>
    </row>
    <row r="1003" spans="1:45" ht="15" thickBot="1" x14ac:dyDescent="0.35">
      <c r="A1003" s="232"/>
      <c r="B1003" s="236"/>
      <c r="C1003" s="223"/>
      <c r="D1003" s="223"/>
      <c r="E1003" s="223"/>
      <c r="F1003" s="223"/>
      <c r="G1003" s="224"/>
      <c r="H1003" s="221"/>
      <c r="I1003" s="213"/>
      <c r="J1003" s="213"/>
      <c r="K1003" s="215"/>
      <c r="L1003" s="218"/>
      <c r="M1003" s="219"/>
      <c r="N1003" s="176"/>
      <c r="O1003" s="241" t="str">
        <f>IF(Q1003 = "", "", COUNT(Q$4:$Q1003))</f>
        <v/>
      </c>
      <c r="P1003" s="241" t="str">
        <f t="shared" si="124"/>
        <v/>
      </c>
      <c r="Q1003" s="242" t="str">
        <f t="shared" si="125"/>
        <v/>
      </c>
      <c r="R1003" s="243" t="str">
        <f t="shared" si="127"/>
        <v/>
      </c>
      <c r="S1003" s="244" t="str">
        <f t="shared" si="128"/>
        <v/>
      </c>
      <c r="T1003" s="245" t="str">
        <f t="shared" si="129"/>
        <v/>
      </c>
      <c r="U1003" s="246" t="str">
        <f t="shared" si="130"/>
        <v/>
      </c>
      <c r="V1003" s="8"/>
      <c r="AR1003" t="str">
        <f t="shared" si="132"/>
        <v/>
      </c>
      <c r="AS1003" t="str">
        <f t="shared" si="133"/>
        <v/>
      </c>
    </row>
    <row r="1004" spans="1:45" x14ac:dyDescent="0.3">
      <c r="A1004" s="83"/>
      <c r="B1004" s="237"/>
      <c r="C1004" s="83"/>
      <c r="D1004" s="83"/>
      <c r="E1004" s="83"/>
      <c r="F1004" s="83"/>
      <c r="G1004" s="83"/>
      <c r="H1004" s="83"/>
      <c r="I1004" s="83"/>
      <c r="J1004" s="83"/>
      <c r="K1004" s="83"/>
      <c r="L1004" s="84"/>
      <c r="M1004" s="85"/>
      <c r="N1004" s="176"/>
      <c r="O1004" s="83"/>
      <c r="P1004" s="83"/>
      <c r="Q1004" s="83"/>
      <c r="R1004" s="83"/>
      <c r="S1004" s="83"/>
      <c r="T1004" s="83"/>
      <c r="U1004" s="83"/>
      <c r="V1004" s="83"/>
    </row>
  </sheetData>
  <sortState xmlns:xlrd2="http://schemas.microsoft.com/office/spreadsheetml/2017/richdata2" ref="B4:B9">
    <sortCondition ref="B4"/>
  </sortState>
  <mergeCells count="24">
    <mergeCell ref="W15:W29"/>
    <mergeCell ref="X15:AD17"/>
    <mergeCell ref="Y18:AD19"/>
    <mergeCell ref="R2:R3"/>
    <mergeCell ref="S2:S3"/>
    <mergeCell ref="T2:T3"/>
    <mergeCell ref="U2:U3"/>
    <mergeCell ref="W14:AD14"/>
    <mergeCell ref="W41:W42"/>
    <mergeCell ref="X41:AD42"/>
    <mergeCell ref="W33:W40"/>
    <mergeCell ref="Y37:AD40"/>
    <mergeCell ref="A1:M1"/>
    <mergeCell ref="W30:W32"/>
    <mergeCell ref="X30:AD32"/>
    <mergeCell ref="X33:AD33"/>
    <mergeCell ref="Y20:AD24"/>
    <mergeCell ref="Y25:AD26"/>
    <mergeCell ref="Y27:AD29"/>
    <mergeCell ref="A2:M2"/>
    <mergeCell ref="O1:AD1"/>
    <mergeCell ref="O2:O3"/>
    <mergeCell ref="P2:P3"/>
    <mergeCell ref="Q2:Q3"/>
  </mergeCells>
  <conditionalFormatting sqref="D4:D1003">
    <cfRule type="cellIs" dxfId="15" priority="2" operator="between">
      <formula>4</formula>
      <formula>6</formula>
    </cfRule>
    <cfRule type="cellIs" dxfId="14" priority="3" operator="between">
      <formula>2</formula>
      <formula>3</formula>
    </cfRule>
  </conditionalFormatting>
  <conditionalFormatting sqref="D1005:D1019">
    <cfRule type="cellIs" dxfId="13" priority="27" operator="between">
      <formula>2</formula>
      <formula>3</formula>
    </cfRule>
  </conditionalFormatting>
  <conditionalFormatting sqref="F4:F1003">
    <cfRule type="cellIs" dxfId="12" priority="1" operator="between">
      <formula>4</formula>
      <formula>6</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3C40A-6615-4BA5-BF2F-36DFD216D34B}">
  <sheetPr>
    <pageSetUpPr autoPageBreaks="0" fitToPage="1"/>
  </sheetPr>
  <dimension ref="A1:AC75"/>
  <sheetViews>
    <sheetView zoomScaleNormal="100" workbookViewId="0">
      <selection activeCell="D18" sqref="D18:F22"/>
    </sheetView>
  </sheetViews>
  <sheetFormatPr defaultColWidth="9.109375" defaultRowHeight="15.75" customHeight="1" x14ac:dyDescent="0.3"/>
  <cols>
    <col min="1" max="2" width="2.88671875" style="86" customWidth="1"/>
    <col min="3" max="3" width="21.44140625" style="86" customWidth="1"/>
    <col min="4" max="6" width="15" style="131" customWidth="1"/>
    <col min="7" max="7" width="2.88671875" style="86" customWidth="1"/>
    <col min="8" max="8" width="30.109375" style="86" customWidth="1"/>
    <col min="9" max="10" width="10.6640625" style="86" customWidth="1"/>
    <col min="11" max="11" width="23.5546875" style="86" customWidth="1"/>
    <col min="12" max="14" width="2.88671875" style="86" customWidth="1"/>
    <col min="15" max="15" width="7.44140625" style="86" customWidth="1"/>
    <col min="16" max="24" width="9.109375" style="86"/>
    <col min="25" max="29" width="9.109375" style="86" hidden="1" customWidth="1"/>
    <col min="30" max="16384" width="9.109375" style="86"/>
  </cols>
  <sheetData>
    <row r="1" spans="1:29" ht="14.4" thickBot="1" x14ac:dyDescent="0.35">
      <c r="A1" s="96"/>
      <c r="B1" s="96"/>
      <c r="C1" s="96"/>
      <c r="D1" s="97"/>
      <c r="E1" s="97"/>
      <c r="F1" s="97"/>
      <c r="G1" s="96"/>
      <c r="H1" s="96"/>
      <c r="I1" s="96"/>
      <c r="J1" s="96"/>
      <c r="K1" s="96"/>
      <c r="L1" s="96"/>
      <c r="M1" s="96"/>
      <c r="N1" s="98"/>
      <c r="O1" s="98"/>
      <c r="P1" s="98"/>
      <c r="Q1" s="98"/>
      <c r="R1" s="98"/>
      <c r="S1" s="98"/>
      <c r="T1" s="98"/>
      <c r="U1" s="98"/>
      <c r="V1" s="98"/>
      <c r="W1" s="98"/>
      <c r="X1" s="98"/>
      <c r="Y1" s="87"/>
      <c r="Z1" s="430" t="s">
        <v>16</v>
      </c>
      <c r="AA1" s="430"/>
      <c r="AB1" s="430" t="s">
        <v>17</v>
      </c>
      <c r="AC1" s="430"/>
    </row>
    <row r="2" spans="1:29" ht="16.2" thickBot="1" x14ac:dyDescent="0.35">
      <c r="A2" s="96"/>
      <c r="B2" s="99"/>
      <c r="C2" s="100"/>
      <c r="D2" s="101"/>
      <c r="E2" s="101"/>
      <c r="F2" s="101"/>
      <c r="G2" s="100"/>
      <c r="H2" s="100"/>
      <c r="I2" s="100"/>
      <c r="J2" s="100"/>
      <c r="K2" s="100"/>
      <c r="L2" s="102"/>
      <c r="M2" s="96"/>
      <c r="N2" s="98"/>
      <c r="O2" s="98"/>
      <c r="P2" s="437" t="s">
        <v>198</v>
      </c>
      <c r="Q2" s="438"/>
      <c r="R2" s="438"/>
      <c r="S2" s="439"/>
      <c r="T2" s="98"/>
      <c r="U2" s="98"/>
      <c r="V2" s="98"/>
      <c r="W2" s="98"/>
      <c r="X2" s="98"/>
      <c r="Y2" s="88" t="s">
        <v>20</v>
      </c>
      <c r="Z2" s="88" t="s">
        <v>13</v>
      </c>
      <c r="AA2" s="89" t="s">
        <v>49</v>
      </c>
      <c r="AB2" s="88" t="s">
        <v>13</v>
      </c>
      <c r="AC2" s="89" t="s">
        <v>49</v>
      </c>
    </row>
    <row r="3" spans="1:29" ht="23.4" x14ac:dyDescent="0.3">
      <c r="A3" s="96"/>
      <c r="B3" s="103"/>
      <c r="C3" s="446" t="s">
        <v>207</v>
      </c>
      <c r="D3" s="447"/>
      <c r="E3" s="447"/>
      <c r="F3" s="447"/>
      <c r="G3" s="447"/>
      <c r="H3" s="447"/>
      <c r="I3" s="447"/>
      <c r="J3" s="447"/>
      <c r="K3" s="448"/>
      <c r="L3" s="104"/>
      <c r="M3" s="96"/>
      <c r="N3" s="98"/>
      <c r="O3" s="98"/>
      <c r="P3" s="440" t="s">
        <v>39</v>
      </c>
      <c r="Q3" s="441"/>
      <c r="R3" s="441"/>
      <c r="S3" s="442"/>
      <c r="T3" s="98"/>
      <c r="U3" s="98"/>
      <c r="V3" s="98"/>
      <c r="W3" s="98"/>
      <c r="X3" s="98"/>
      <c r="Y3" s="88" t="s">
        <v>9</v>
      </c>
      <c r="Z3" s="90" t="n">
        <f>Before!Y4</f>
        <v>0</v>
      </c>
      <c r="AA3" s="90" t="n">
        <f>Before!Z4</f>
        <v>0</v>
      </c>
      <c r="AB3" s="90" t="n">
        <f>After!Y4</f>
        <v>0</v>
      </c>
      <c r="AC3" s="90" t="n">
        <f>After!Z4</f>
        <v>0</v>
      </c>
    </row>
    <row r="4" spans="1:29" ht="24" thickBot="1" x14ac:dyDescent="0.35">
      <c r="A4" s="96"/>
      <c r="B4" s="103"/>
      <c r="C4" s="449"/>
      <c r="D4" s="450"/>
      <c r="E4" s="450"/>
      <c r="F4" s="450"/>
      <c r="G4" s="450"/>
      <c r="H4" s="450"/>
      <c r="I4" s="450"/>
      <c r="J4" s="450"/>
      <c r="K4" s="451"/>
      <c r="L4" s="104"/>
      <c r="M4" s="96"/>
      <c r="N4" s="98"/>
      <c r="O4" s="98"/>
      <c r="P4" s="443" t="s">
        <v>40</v>
      </c>
      <c r="Q4" s="444"/>
      <c r="R4" s="444"/>
      <c r="S4" s="445"/>
      <c r="T4" s="98"/>
      <c r="U4" s="98"/>
      <c r="V4" s="98"/>
      <c r="W4" s="98"/>
      <c r="X4" s="98"/>
      <c r="Y4" s="88" t="s">
        <v>10</v>
      </c>
      <c r="Z4" s="90" t="n">
        <f>Before!Y5</f>
        <v>1</v>
      </c>
      <c r="AA4" s="90" t="n">
        <f>Before!Z5</f>
        <v>1</v>
      </c>
      <c r="AB4" s="90" t="n">
        <f>After!Y5</f>
        <v>0</v>
      </c>
      <c r="AC4" s="90" t="n">
        <f>After!Z5</f>
        <v>0</v>
      </c>
    </row>
    <row r="5" spans="1:29" ht="15" customHeight="1" x14ac:dyDescent="0.3">
      <c r="A5" s="96"/>
      <c r="B5" s="103"/>
      <c r="C5" s="98"/>
      <c r="D5" s="105"/>
      <c r="E5" s="105"/>
      <c r="F5" s="105"/>
      <c r="G5" s="98"/>
      <c r="H5" s="98"/>
      <c r="I5" s="98"/>
      <c r="J5" s="98"/>
      <c r="K5" s="98"/>
      <c r="L5" s="104"/>
      <c r="M5" s="96"/>
      <c r="N5" s="98"/>
      <c r="O5" s="98"/>
      <c r="P5" s="98"/>
      <c r="Q5" s="98"/>
      <c r="R5" s="98"/>
      <c r="S5" s="98"/>
      <c r="T5" s="98"/>
      <c r="U5" s="98"/>
      <c r="V5" s="98"/>
      <c r="W5" s="98"/>
      <c r="X5" s="98"/>
      <c r="Y5" s="88" t="s">
        <v>8</v>
      </c>
      <c r="Z5" s="90" t="n">
        <f>Before!Y6</f>
        <v>3</v>
      </c>
      <c r="AA5" s="90" t="n">
        <f>Before!Z6</f>
        <v>3</v>
      </c>
      <c r="AB5" s="90" t="n">
        <f>After!Y6</f>
        <v>0</v>
      </c>
      <c r="AC5" s="90" t="n">
        <f>After!Z6</f>
        <v>0</v>
      </c>
    </row>
    <row r="6" spans="1:29" ht="15" customHeight="1" thickBot="1" x14ac:dyDescent="0.35">
      <c r="A6" s="96"/>
      <c r="B6" s="103"/>
      <c r="C6" s="135" t="s">
        <v>152</v>
      </c>
      <c r="D6" s="452" t="inlineStr">
        <is>
          <t>41000076160</t>
        </is>
      </c>
      <c r="E6" s="453"/>
      <c r="F6" s="454"/>
      <c r="G6" s="98"/>
      <c r="H6" s="431" t="s">
        <v>15</v>
      </c>
      <c r="I6" s="433" t="s">
        <v>16</v>
      </c>
      <c r="J6" s="433" t="s">
        <v>17</v>
      </c>
      <c r="K6" s="435" t="s">
        <v>18</v>
      </c>
      <c r="L6" s="104"/>
      <c r="M6" s="96"/>
      <c r="N6" s="98"/>
      <c r="O6" s="98"/>
      <c r="P6" s="98"/>
      <c r="Q6" s="98"/>
      <c r="R6" s="98"/>
      <c r="S6" s="98"/>
      <c r="T6" s="98"/>
      <c r="U6" s="98"/>
      <c r="V6" s="98"/>
      <c r="W6" s="98"/>
      <c r="X6" s="98"/>
      <c r="Y6" s="88" t="s">
        <v>3</v>
      </c>
      <c r="Z6" s="90" t="n">
        <f>Before!Y7</f>
        <v>4</v>
      </c>
      <c r="AA6" s="90" t="n">
        <f>Before!Z7</f>
        <v>4</v>
      </c>
      <c r="AB6" s="90" t="n">
        <f>After!Y7</f>
        <v>2</v>
      </c>
      <c r="AC6" s="90" t="n">
        <f>After!Z7</f>
        <v>1</v>
      </c>
    </row>
    <row r="7" spans="1:29" ht="15" customHeight="1" thickBot="1" x14ac:dyDescent="0.35">
      <c r="A7" s="96"/>
      <c r="B7" s="103"/>
      <c r="C7" s="135" t="s">
        <v>153</v>
      </c>
      <c r="D7" s="452" t="inlineStr">
        <is>
          <t>10-18-223 (TIP #W-5710AM)</t>
        </is>
      </c>
      <c r="E7" s="453"/>
      <c r="F7" s="454"/>
      <c r="G7" s="98"/>
      <c r="H7" s="432"/>
      <c r="I7" s="434"/>
      <c r="J7" s="434"/>
      <c r="K7" s="436"/>
      <c r="L7" s="104"/>
      <c r="M7" s="96"/>
      <c r="N7" s="98"/>
      <c r="O7" s="455" t="s">
        <v>195</v>
      </c>
      <c r="P7" s="456"/>
      <c r="Q7" s="456"/>
      <c r="R7" s="456"/>
      <c r="S7" s="456"/>
      <c r="T7" s="456"/>
      <c r="U7" s="456"/>
      <c r="V7" s="456"/>
      <c r="W7" s="457"/>
      <c r="X7" s="98"/>
      <c r="Y7" s="88" t="s">
        <v>7</v>
      </c>
      <c r="Z7" s="90" t="n">
        <f>Before!Y8</f>
        <v>7</v>
      </c>
      <c r="AA7" s="90" t="n">
        <f>Before!Z8</f>
        <v>3</v>
      </c>
      <c r="AB7" s="90" t="n">
        <f>After!Y8</f>
        <v>6</v>
      </c>
      <c r="AC7" s="90" t="n">
        <f>After!Z8</f>
        <v>6</v>
      </c>
    </row>
    <row r="8" spans="1:29" ht="15" customHeight="1" x14ac:dyDescent="0.3">
      <c r="A8" s="96"/>
      <c r="B8" s="103"/>
      <c r="C8" s="135" t="s">
        <v>201</v>
      </c>
      <c r="D8" s="452" t="inlineStr">
        <is>
          <t>n/a</t>
        </is>
      </c>
      <c r="E8" s="453"/>
      <c r="F8" s="454"/>
      <c r="G8" s="98"/>
      <c r="H8" s="138" t="s">
        <v>19</v>
      </c>
      <c r="I8" s="139" t="n">
        <f>$Z$8</f>
        <v>15</v>
      </c>
      <c r="J8" s="140" t="n">
        <f>$AB$8</f>
        <v>8</v>
      </c>
      <c r="K8" s="141" t="n">
        <f>IFERROR((J8-I8)/I8, "n/a")</f>
        <v>-0.466666666666667</v>
      </c>
      <c r="L8" s="104"/>
      <c r="M8" s="96"/>
      <c r="N8" s="98"/>
      <c r="O8" s="275" t="s">
        <v>47</v>
      </c>
      <c r="P8" s="501" t="s">
        <v>172</v>
      </c>
      <c r="Q8" s="501"/>
      <c r="R8" s="501"/>
      <c r="S8" s="501"/>
      <c r="T8" s="501"/>
      <c r="U8" s="501"/>
      <c r="V8" s="501"/>
      <c r="W8" s="502"/>
      <c r="X8" s="98"/>
      <c r="Y8" s="88" t="s">
        <v>13</v>
      </c>
      <c r="Z8" s="90" t="n">
        <f>Before!Y9</f>
        <v>15</v>
      </c>
      <c r="AA8" s="90" t="n">
        <f>Before!Z9</f>
        <v>11</v>
      </c>
      <c r="AB8" s="90" t="n">
        <f>After!Y9</f>
        <v>8</v>
      </c>
      <c r="AC8" s="90" t="n">
        <f>After!Z9</f>
        <v>7</v>
      </c>
    </row>
    <row r="9" spans="1:29" ht="15" customHeight="1" x14ac:dyDescent="0.3">
      <c r="A9" s="96"/>
      <c r="B9" s="103"/>
      <c r="C9" s="475" t="s">
        <v>157</v>
      </c>
      <c r="D9" s="512" t="inlineStr">
        <is>
          <t>SR 1001 (Sikes Mill Road) at SR 1617 (Tom Boyd Road)</t>
        </is>
      </c>
      <c r="E9" s="513"/>
      <c r="F9" s="514"/>
      <c r="G9" s="98"/>
      <c r="H9" s="138" t="s">
        <v>21</v>
      </c>
      <c r="I9" s="142" t="n">
        <f>$Z$9</f>
        <v>9.50666666666667</v>
      </c>
      <c r="J9" s="142" t="n">
        <f>$AB$9</f>
        <v>2.85</v>
      </c>
      <c r="K9" s="141" t="n">
        <f>IFERROR((J9-I9)/I9, "n/a")</f>
        <v>-0.700210378681627</v>
      </c>
      <c r="L9" s="104"/>
      <c r="M9" s="96"/>
      <c r="N9" s="98"/>
      <c r="O9" s="263" t="s">
        <v>47</v>
      </c>
      <c r="P9" s="503" t="s">
        <v>235</v>
      </c>
      <c r="Q9" s="503"/>
      <c r="R9" s="503"/>
      <c r="S9" s="503"/>
      <c r="T9" s="503"/>
      <c r="U9" s="503"/>
      <c r="V9" s="503"/>
      <c r="W9" s="504"/>
      <c r="X9" s="98"/>
      <c r="Y9" s="88" t="s">
        <v>14</v>
      </c>
      <c r="Z9" s="91" t="n">
        <f>Before!Y10</f>
        <v>9.50666666666667</v>
      </c>
      <c r="AA9" s="91" t="n">
        <f>Before!Z10</f>
        <v>12.6</v>
      </c>
      <c r="AB9" s="91" t="n">
        <f>After!Y10</f>
        <v>2.85</v>
      </c>
      <c r="AC9" s="91" t="n">
        <f>After!Z10</f>
        <v>2.05714285714286</v>
      </c>
    </row>
    <row r="10" spans="1:29" ht="15" customHeight="1" x14ac:dyDescent="0.3">
      <c r="A10" s="96"/>
      <c r="B10" s="103"/>
      <c r="C10" s="476"/>
      <c r="D10" s="515"/>
      <c r="E10" s="516"/>
      <c r="F10" s="517"/>
      <c r="G10" s="98"/>
      <c r="H10" s="143"/>
      <c r="I10" s="144"/>
      <c r="J10" s="144"/>
      <c r="K10" s="144"/>
      <c r="L10" s="104"/>
      <c r="M10" s="96"/>
      <c r="N10" s="98"/>
      <c r="O10" s="116"/>
      <c r="P10" s="505"/>
      <c r="Q10" s="505"/>
      <c r="R10" s="505"/>
      <c r="S10" s="505"/>
      <c r="T10" s="505"/>
      <c r="U10" s="505"/>
      <c r="V10" s="505"/>
      <c r="W10" s="506"/>
      <c r="X10" s="98"/>
    </row>
    <row r="11" spans="1:29" ht="15" customHeight="1" x14ac:dyDescent="0.3">
      <c r="A11" s="96"/>
      <c r="B11" s="103"/>
      <c r="C11" s="476"/>
      <c r="D11" s="515"/>
      <c r="E11" s="516"/>
      <c r="F11" s="517"/>
      <c r="G11" s="98"/>
      <c r="H11" s="138" t="s">
        <v>22</v>
      </c>
      <c r="I11" s="145" t="n">
        <f>$AA$8</f>
        <v>11</v>
      </c>
      <c r="J11" s="140" t="n">
        <f>$AC$8</f>
        <v>7</v>
      </c>
      <c r="K11" s="141" t="n">
        <f>IFERROR((J11-I11)/I11, "n/a")</f>
        <v>-0.363636363636364</v>
      </c>
      <c r="L11" s="104"/>
      <c r="M11" s="96"/>
      <c r="N11" s="98"/>
      <c r="O11" s="276"/>
      <c r="P11" s="507"/>
      <c r="Q11" s="507"/>
      <c r="R11" s="507"/>
      <c r="S11" s="507"/>
      <c r="T11" s="507"/>
      <c r="U11" s="507"/>
      <c r="V11" s="507"/>
      <c r="W11" s="508"/>
      <c r="X11" s="98"/>
    </row>
    <row r="12" spans="1:29" ht="15" customHeight="1" x14ac:dyDescent="0.3">
      <c r="A12" s="96"/>
      <c r="B12" s="103"/>
      <c r="C12" s="477"/>
      <c r="D12" s="518"/>
      <c r="E12" s="519"/>
      <c r="F12" s="520"/>
      <c r="G12" s="98"/>
      <c r="H12" s="138" t="s">
        <v>23</v>
      </c>
      <c r="I12" s="142" t="n">
        <f>$AA$9</f>
        <v>12.6</v>
      </c>
      <c r="J12" s="142" t="n">
        <f>$AC$9</f>
        <v>2.05714285714286</v>
      </c>
      <c r="K12" s="141" t="n">
        <f>IFERROR((J12-I12)/I12, "n/a")</f>
        <v>-0.836734693877551</v>
      </c>
      <c r="L12" s="104"/>
      <c r="M12" s="96"/>
      <c r="N12" s="98"/>
      <c r="O12" s="521" t="s">
        <v>47</v>
      </c>
      <c r="P12" s="503" t="s">
        <v>196</v>
      </c>
      <c r="Q12" s="503"/>
      <c r="R12" s="503"/>
      <c r="S12" s="503"/>
      <c r="T12" s="503"/>
      <c r="U12" s="503"/>
      <c r="V12" s="503"/>
      <c r="W12" s="504"/>
      <c r="X12" s="98"/>
    </row>
    <row r="13" spans="1:29" ht="15" customHeight="1" x14ac:dyDescent="0.3">
      <c r="A13" s="96"/>
      <c r="B13" s="103"/>
      <c r="C13" s="136" t="s">
        <v>205</v>
      </c>
      <c r="D13" s="492" t="inlineStr">
        <is>
          <t>35.081578, -80.500362</t>
        </is>
      </c>
      <c r="E13" s="493"/>
      <c r="F13" s="494"/>
      <c r="G13" s="98"/>
      <c r="H13" s="143"/>
      <c r="I13" s="144"/>
      <c r="J13" s="144"/>
      <c r="K13" s="144"/>
      <c r="L13" s="104"/>
      <c r="M13" s="96"/>
      <c r="N13" s="98"/>
      <c r="O13" s="522"/>
      <c r="P13" s="505"/>
      <c r="Q13" s="505"/>
      <c r="R13" s="505"/>
      <c r="S13" s="505"/>
      <c r="T13" s="505"/>
      <c r="U13" s="505"/>
      <c r="V13" s="505"/>
      <c r="W13" s="506"/>
      <c r="X13" s="98"/>
    </row>
    <row r="14" spans="1:29" ht="15" customHeight="1" x14ac:dyDescent="0.3">
      <c r="A14" s="96"/>
      <c r="B14" s="103"/>
      <c r="C14" s="135" t="s">
        <v>154</v>
      </c>
      <c r="D14" s="452" t="inlineStr">
        <is>
          <t>Union</t>
        </is>
      </c>
      <c r="E14" s="453"/>
      <c r="F14" s="454"/>
      <c r="G14" s="98"/>
      <c r="H14" s="138" t="str">
        <f>"Volume ("&amp;'Evaluation Set-up'!$N$5&amp;", "&amp;'Evaluation Set-up'!$N$6&amp;")"</f>
        <v>Volume (2019, 2022)</v>
      </c>
      <c r="I14" s="146" t="n">
        <f>'Evaluation Set-up'!$R$5</f>
        <v>5100</v>
      </c>
      <c r="J14" s="146" t="n">
        <f>'Evaluation Set-up'!$R$6</f>
        <v>4200</v>
      </c>
      <c r="K14" s="141" t="n">
        <f>IFERROR((J14-I14)/I14, "n/a")</f>
        <v>-0.176470588235294</v>
      </c>
      <c r="L14" s="104"/>
      <c r="M14" s="96"/>
      <c r="N14" s="98"/>
      <c r="O14" s="523"/>
      <c r="P14" s="507"/>
      <c r="Q14" s="507"/>
      <c r="R14" s="507"/>
      <c r="S14" s="507"/>
      <c r="T14" s="507"/>
      <c r="U14" s="507"/>
      <c r="V14" s="507"/>
      <c r="W14" s="508"/>
      <c r="X14" s="98"/>
    </row>
    <row r="15" spans="1:29" ht="15" customHeight="1" x14ac:dyDescent="0.3">
      <c r="A15" s="96"/>
      <c r="B15" s="103"/>
      <c r="C15" s="135" t="s">
        <v>155</v>
      </c>
      <c r="D15" s="452" t="inlineStr">
        <is>
          <t>n/a</t>
        </is>
      </c>
      <c r="E15" s="453"/>
      <c r="F15" s="454"/>
      <c r="G15" s="98"/>
      <c r="H15" s="147"/>
      <c r="I15" s="148"/>
      <c r="J15" s="148"/>
      <c r="K15" s="149"/>
      <c r="L15" s="104"/>
      <c r="M15" s="96"/>
      <c r="N15" s="98"/>
      <c r="O15" s="263" t="s">
        <v>47</v>
      </c>
      <c r="P15" s="503" t="s">
        <v>173</v>
      </c>
      <c r="Q15" s="503"/>
      <c r="R15" s="503"/>
      <c r="S15" s="503"/>
      <c r="T15" s="503"/>
      <c r="U15" s="503"/>
      <c r="V15" s="503"/>
      <c r="W15" s="504"/>
      <c r="X15" s="98"/>
    </row>
    <row r="16" spans="1:29" ht="15" customHeight="1" x14ac:dyDescent="0.3">
      <c r="A16" s="96"/>
      <c r="B16" s="103"/>
      <c r="C16" s="135" t="s">
        <v>156</v>
      </c>
      <c r="D16" s="452" t="inlineStr">
        <is>
          <t>10</t>
        </is>
      </c>
      <c r="E16" s="453"/>
      <c r="F16" s="454"/>
      <c r="G16" s="98"/>
      <c r="H16" s="431" t="s">
        <v>24</v>
      </c>
      <c r="I16" s="433" t="s">
        <v>16</v>
      </c>
      <c r="J16" s="433" t="s">
        <v>17</v>
      </c>
      <c r="K16" s="435" t="s">
        <v>25</v>
      </c>
      <c r="L16" s="104"/>
      <c r="M16" s="96"/>
      <c r="N16" s="98"/>
      <c r="O16" s="116"/>
      <c r="P16" s="505"/>
      <c r="Q16" s="505"/>
      <c r="R16" s="505"/>
      <c r="S16" s="505"/>
      <c r="T16" s="505"/>
      <c r="U16" s="505"/>
      <c r="V16" s="505"/>
      <c r="W16" s="506"/>
      <c r="X16" s="98"/>
    </row>
    <row r="17" spans="1:24" ht="15" customHeight="1" x14ac:dyDescent="0.3">
      <c r="A17" s="96"/>
      <c r="B17" s="103"/>
      <c r="C17" s="98"/>
      <c r="D17" s="105"/>
      <c r="E17" s="105"/>
      <c r="F17" s="105"/>
      <c r="G17" s="98"/>
      <c r="H17" s="432"/>
      <c r="I17" s="434"/>
      <c r="J17" s="434"/>
      <c r="K17" s="436"/>
      <c r="L17" s="104"/>
      <c r="M17" s="96"/>
      <c r="N17" s="98"/>
      <c r="O17" s="276"/>
      <c r="P17" s="507"/>
      <c r="Q17" s="507"/>
      <c r="R17" s="507"/>
      <c r="S17" s="507"/>
      <c r="T17" s="507"/>
      <c r="U17" s="507"/>
      <c r="V17" s="507"/>
      <c r="W17" s="508"/>
      <c r="X17" s="98"/>
    </row>
    <row r="18" spans="1:24" ht="15" customHeight="1" x14ac:dyDescent="0.3">
      <c r="A18" s="96"/>
      <c r="B18" s="103"/>
      <c r="C18" s="475" t="s">
        <v>158</v>
      </c>
      <c r="D18" s="512" t="inlineStr">
        <is>
          <t xml:space="preserve">Convert intersection to All-Way STOP Control (AWSC), including:
   • On SR 1001 approaches,
      - Installation of 36" STOP signs (R1-1)
      - Replacement of Cross Road (W2-1) Warning signs with STOP Ahead (W3-1) Warning signs with flashing beacons
   • On SR 1617 approaches,
      - Replacement of the existing 30" STOP signs with 36" STOP signs (R1-1)
   • On all approaches, installation of STOP AHEAD and STOP pavement markings and stop bars</t>
        </is>
      </c>
      <c r="E18" s="513"/>
      <c r="F18" s="514"/>
      <c r="G18" s="98"/>
      <c r="H18" s="138" t="s">
        <v>121</v>
      </c>
      <c r="I18" s="140" t="n">
        <f>Z3</f>
        <v>0</v>
      </c>
      <c r="J18" s="140" t="n">
        <f>AB3</f>
        <v>0</v>
      </c>
      <c r="K18" s="141" t="str">
        <f>IFERROR((J18-I18)/I18, "n/a")</f>
        <v>n/a</v>
      </c>
      <c r="L18" s="104"/>
      <c r="M18" s="96"/>
      <c r="N18" s="98"/>
      <c r="O18" s="263" t="s">
        <v>47</v>
      </c>
      <c r="P18" s="524" t="s">
        <v>199</v>
      </c>
      <c r="Q18" s="524"/>
      <c r="R18" s="524"/>
      <c r="S18" s="524"/>
      <c r="T18" s="524"/>
      <c r="U18" s="524"/>
      <c r="V18" s="524"/>
      <c r="W18" s="525"/>
      <c r="X18" s="98"/>
    </row>
    <row r="19" spans="1:24" ht="15" customHeight="1" x14ac:dyDescent="0.3">
      <c r="A19" s="96"/>
      <c r="B19" s="103"/>
      <c r="C19" s="476"/>
      <c r="D19" s="515"/>
      <c r="E19" s="516"/>
      <c r="F19" s="517"/>
      <c r="G19" s="98"/>
      <c r="H19" s="138" t="s">
        <v>122</v>
      </c>
      <c r="I19" s="140" t="n">
        <f>Z4</f>
        <v>1</v>
      </c>
      <c r="J19" s="140" t="n">
        <f>AB4</f>
        <v>0</v>
      </c>
      <c r="K19" s="141" t="n">
        <f t="shared" ref="K19:K22" si="0">IFERROR((J19-I19)/I19, "n/a")</f>
        <v>-1</v>
      </c>
      <c r="L19" s="104"/>
      <c r="M19" s="96"/>
      <c r="N19" s="98"/>
      <c r="O19" s="28"/>
      <c r="P19" s="526"/>
      <c r="Q19" s="526"/>
      <c r="R19" s="526"/>
      <c r="S19" s="526"/>
      <c r="T19" s="526"/>
      <c r="U19" s="526"/>
      <c r="V19" s="526"/>
      <c r="W19" s="527"/>
      <c r="X19" s="98"/>
    </row>
    <row r="20" spans="1:24" ht="15" customHeight="1" thickBot="1" x14ac:dyDescent="0.35">
      <c r="A20" s="96"/>
      <c r="B20" s="103"/>
      <c r="C20" s="476"/>
      <c r="D20" s="515"/>
      <c r="E20" s="516"/>
      <c r="F20" s="517"/>
      <c r="G20" s="98"/>
      <c r="H20" s="138" t="s">
        <v>123</v>
      </c>
      <c r="I20" s="140" t="n">
        <f>Z5</f>
        <v>3</v>
      </c>
      <c r="J20" s="140" t="n">
        <f>AB5</f>
        <v>0</v>
      </c>
      <c r="K20" s="141" t="n">
        <f>IFERROR((J20-I20)/I20, "n/a")</f>
        <v>-1</v>
      </c>
      <c r="L20" s="104"/>
      <c r="M20" s="96"/>
      <c r="N20" s="98"/>
      <c r="O20" s="110"/>
      <c r="P20" s="528"/>
      <c r="Q20" s="528"/>
      <c r="R20" s="528"/>
      <c r="S20" s="528"/>
      <c r="T20" s="528"/>
      <c r="U20" s="528"/>
      <c r="V20" s="528"/>
      <c r="W20" s="529"/>
      <c r="X20" s="98"/>
    </row>
    <row r="21" spans="1:24" ht="15" customHeight="1" x14ac:dyDescent="0.3">
      <c r="A21" s="96"/>
      <c r="B21" s="103"/>
      <c r="C21" s="476"/>
      <c r="D21" s="515"/>
      <c r="E21" s="516"/>
      <c r="F21" s="517"/>
      <c r="G21" s="98"/>
      <c r="H21" s="138" t="s">
        <v>26</v>
      </c>
      <c r="I21" s="140" t="n">
        <f>Z6</f>
        <v>4</v>
      </c>
      <c r="J21" s="140" t="n">
        <f>AB6</f>
        <v>2</v>
      </c>
      <c r="K21" s="141" t="n">
        <f t="shared" si="0"/>
        <v>-0.5</v>
      </c>
      <c r="L21" s="104"/>
      <c r="M21" s="96"/>
      <c r="N21" s="98"/>
      <c r="O21" s="72"/>
      <c r="P21" s="111"/>
      <c r="Q21" s="111"/>
      <c r="R21" s="111"/>
      <c r="S21" s="111"/>
      <c r="T21" s="16"/>
      <c r="U21" s="16"/>
      <c r="V21" s="16"/>
      <c r="W21" s="16"/>
      <c r="X21" s="98"/>
    </row>
    <row r="22" spans="1:24" ht="15" customHeight="1" x14ac:dyDescent="0.3">
      <c r="A22" s="96"/>
      <c r="B22" s="103"/>
      <c r="C22" s="477"/>
      <c r="D22" s="518"/>
      <c r="E22" s="519"/>
      <c r="F22" s="520"/>
      <c r="G22" s="98"/>
      <c r="H22" s="138" t="s">
        <v>27</v>
      </c>
      <c r="I22" s="140" t="n">
        <f>Z7</f>
        <v>7</v>
      </c>
      <c r="J22" s="140" t="n">
        <f>AB7</f>
        <v>6</v>
      </c>
      <c r="K22" s="141" t="n">
        <f t="shared" si="0"/>
        <v>-0.142857142857143</v>
      </c>
      <c r="L22" s="104"/>
      <c r="M22" s="96"/>
      <c r="N22" s="98"/>
      <c r="O22" s="112" t="s">
        <v>174</v>
      </c>
      <c r="P22" s="111"/>
      <c r="Q22" s="111"/>
      <c r="R22" s="111"/>
      <c r="S22" s="111"/>
      <c r="T22" s="16"/>
      <c r="U22" s="16"/>
      <c r="V22" s="16"/>
      <c r="W22" s="16"/>
      <c r="X22" s="98"/>
    </row>
    <row r="23" spans="1:24" ht="15" customHeight="1" x14ac:dyDescent="0.3">
      <c r="A23" s="96"/>
      <c r="B23" s="103"/>
      <c r="C23" s="106" t="s">
        <v>204</v>
      </c>
      <c r="D23" s="498" t="inlineStr">
        <is>
          <t>$30,000</t>
        </is>
      </c>
      <c r="E23" s="499"/>
      <c r="F23" s="500"/>
      <c r="G23" s="98"/>
      <c r="H23" s="98"/>
      <c r="I23" s="98"/>
      <c r="J23" s="98"/>
      <c r="K23" s="98"/>
      <c r="L23" s="104"/>
      <c r="M23" s="96"/>
      <c r="N23" s="98"/>
      <c r="O23" s="114">
        <v>1</v>
      </c>
      <c r="P23" s="509" t="s">
        <v>175</v>
      </c>
      <c r="Q23" s="509"/>
      <c r="R23" s="509"/>
      <c r="S23" s="509"/>
      <c r="T23" s="509"/>
      <c r="U23" s="509"/>
      <c r="V23" s="509"/>
      <c r="W23" s="509"/>
      <c r="X23" s="98"/>
    </row>
    <row r="24" spans="1:24" ht="15" customHeight="1" x14ac:dyDescent="0.3">
      <c r="A24" s="96"/>
      <c r="B24" s="103"/>
      <c r="C24" s="106" t="s">
        <v>206</v>
      </c>
      <c r="D24" s="495" t="inlineStr">
        <is>
          <t>May 24, 2021</t>
        </is>
      </c>
      <c r="E24" s="496"/>
      <c r="F24" s="497"/>
      <c r="G24" s="98"/>
      <c r="H24" s="461" t="s">
        <v>70</v>
      </c>
      <c r="I24" s="433" t="s">
        <v>16</v>
      </c>
      <c r="J24" s="433" t="s">
        <v>17</v>
      </c>
      <c r="K24" s="435" t="s">
        <v>25</v>
      </c>
      <c r="L24" s="104"/>
      <c r="M24" s="96"/>
      <c r="N24" s="98"/>
      <c r="O24" s="113">
        <v>2</v>
      </c>
      <c r="P24" s="509" t="s">
        <v>176</v>
      </c>
      <c r="Q24" s="509"/>
      <c r="R24" s="509"/>
      <c r="S24" s="509"/>
      <c r="T24" s="509"/>
      <c r="U24" s="509"/>
      <c r="V24" s="509"/>
      <c r="W24" s="509"/>
      <c r="X24" s="98"/>
    </row>
    <row r="25" spans="1:24" ht="15" customHeight="1" x14ac:dyDescent="0.3">
      <c r="A25" s="96"/>
      <c r="B25" s="103"/>
      <c r="C25" s="98"/>
      <c r="D25" s="105"/>
      <c r="E25" s="105"/>
      <c r="F25" s="105"/>
      <c r="G25" s="98"/>
      <c r="H25" s="462"/>
      <c r="I25" s="434"/>
      <c r="J25" s="434"/>
      <c r="K25" s="436"/>
      <c r="L25" s="104"/>
      <c r="M25" s="96"/>
      <c r="N25" s="98"/>
      <c r="O25" s="459">
        <v>3</v>
      </c>
      <c r="P25" s="510" t="s">
        <v>177</v>
      </c>
      <c r="Q25" s="510"/>
      <c r="R25" s="510"/>
      <c r="S25" s="510"/>
      <c r="T25" s="510"/>
      <c r="U25" s="510"/>
      <c r="V25" s="510"/>
      <c r="W25" s="510"/>
      <c r="X25" s="98"/>
    </row>
    <row r="26" spans="1:24" ht="15" customHeight="1" x14ac:dyDescent="0.3">
      <c r="A26" s="96"/>
      <c r="B26" s="103"/>
      <c r="C26" s="98"/>
      <c r="D26" s="113" t="s">
        <v>159</v>
      </c>
      <c r="E26" s="113" t="s">
        <v>160</v>
      </c>
      <c r="F26" s="113" t="s">
        <v>161</v>
      </c>
      <c r="G26" s="98"/>
      <c r="H26" s="138" t="s">
        <v>121</v>
      </c>
      <c r="I26" s="140" t="n">
        <f>AA3</f>
        <v>0</v>
      </c>
      <c r="J26" s="140" t="n">
        <f>AC3</f>
        <v>0</v>
      </c>
      <c r="K26" s="141" t="str">
        <f>IFERROR((J26-I26)/I26, "n/a")</f>
        <v>n/a</v>
      </c>
      <c r="L26" s="104"/>
      <c r="M26" s="96"/>
      <c r="N26" s="98"/>
      <c r="O26" s="459"/>
      <c r="P26" s="510"/>
      <c r="Q26" s="510"/>
      <c r="R26" s="510"/>
      <c r="S26" s="510"/>
      <c r="T26" s="510"/>
      <c r="U26" s="510"/>
      <c r="V26" s="510"/>
      <c r="W26" s="510"/>
      <c r="X26" s="98"/>
    </row>
    <row r="27" spans="1:24" ht="15" customHeight="1" x14ac:dyDescent="0.3">
      <c r="A27" s="96"/>
      <c r="B27" s="103"/>
      <c r="C27" s="106" t="s">
        <v>119</v>
      </c>
      <c r="D27" s="137" t="n">
        <f>'Evaluation Set-up'!D9</f>
        <v>42461</v>
      </c>
      <c r="E27" s="137" t="n">
        <f>'Evaluation Set-up'!E9</f>
        <v>44286</v>
      </c>
      <c r="F27" s="113" t="str">
        <f>'Evaluation Set-up'!F9&amp;"y, "&amp;'Evaluation Set-up'!G9&amp;"m"</f>
        <v>5y, 0m</v>
      </c>
      <c r="G27" s="98"/>
      <c r="H27" s="138" t="s">
        <v>122</v>
      </c>
      <c r="I27" s="140" t="n">
        <f>AA4</f>
        <v>1</v>
      </c>
      <c r="J27" s="140" t="n">
        <f>AC4</f>
        <v>0</v>
      </c>
      <c r="K27" s="141" t="n">
        <f t="shared" ref="K27:K30" si="1">IFERROR((J27-I27)/I27, "n/a")</f>
        <v>-1</v>
      </c>
      <c r="L27" s="104"/>
      <c r="M27" s="96"/>
      <c r="N27" s="98"/>
      <c r="O27" s="459">
        <v>4</v>
      </c>
      <c r="P27" s="510" t="s">
        <v>178</v>
      </c>
      <c r="Q27" s="510"/>
      <c r="R27" s="510"/>
      <c r="S27" s="510"/>
      <c r="T27" s="510"/>
      <c r="U27" s="510"/>
      <c r="V27" s="510"/>
      <c r="W27" s="510"/>
      <c r="X27" s="98"/>
    </row>
    <row r="28" spans="1:24" ht="15" customHeight="1" x14ac:dyDescent="0.3">
      <c r="A28" s="96"/>
      <c r="B28" s="103"/>
      <c r="C28" s="106" t="s">
        <v>162</v>
      </c>
      <c r="D28" s="137" t="n">
        <f>'Evaluation Set-up'!D10</f>
        <v>44287</v>
      </c>
      <c r="E28" s="137" t="n">
        <f>'Evaluation Set-up'!E10</f>
        <v>44377</v>
      </c>
      <c r="F28" s="113" t="str">
        <f>'Evaluation Set-up'!F10&amp;"y, "&amp;'Evaluation Set-up'!G10&amp;"m"</f>
        <v>0y, 3m</v>
      </c>
      <c r="G28" s="98"/>
      <c r="H28" s="138" t="s">
        <v>123</v>
      </c>
      <c r="I28" s="140" t="n">
        <f>AA5</f>
        <v>3</v>
      </c>
      <c r="J28" s="140" t="n">
        <f>AC5</f>
        <v>0</v>
      </c>
      <c r="K28" s="141" t="n">
        <f t="shared" si="1"/>
        <v>-1</v>
      </c>
      <c r="L28" s="104"/>
      <c r="M28" s="96"/>
      <c r="N28" s="98"/>
      <c r="O28" s="459"/>
      <c r="P28" s="510"/>
      <c r="Q28" s="510"/>
      <c r="R28" s="510"/>
      <c r="S28" s="510"/>
      <c r="T28" s="510"/>
      <c r="U28" s="510"/>
      <c r="V28" s="510"/>
      <c r="W28" s="510"/>
      <c r="X28" s="98"/>
    </row>
    <row r="29" spans="1:24" ht="15" customHeight="1" x14ac:dyDescent="0.3">
      <c r="A29" s="96"/>
      <c r="B29" s="103"/>
      <c r="C29" s="106" t="s">
        <v>120</v>
      </c>
      <c r="D29" s="137" t="n">
        <f>'Evaluation Set-up'!D11</f>
        <v>44378</v>
      </c>
      <c r="E29" s="137" t="n">
        <f>'Evaluation Set-up'!E11</f>
        <v>46203</v>
      </c>
      <c r="F29" s="113" t="str">
        <f>'Evaluation Set-up'!F11&amp;"y, "&amp;'Evaluation Set-up'!G11&amp;"m"</f>
        <v>5y, 0m</v>
      </c>
      <c r="G29" s="98"/>
      <c r="H29" s="138" t="s">
        <v>26</v>
      </c>
      <c r="I29" s="140" t="n">
        <f>AA6</f>
        <v>4</v>
      </c>
      <c r="J29" s="140" t="n">
        <f>AC6</f>
        <v>1</v>
      </c>
      <c r="K29" s="141" t="n">
        <f t="shared" si="1"/>
        <v>-0.75</v>
      </c>
      <c r="L29" s="104"/>
      <c r="M29" s="96"/>
      <c r="N29" s="98"/>
      <c r="O29" s="459">
        <v>5</v>
      </c>
      <c r="P29" s="510" t="s">
        <v>203</v>
      </c>
      <c r="Q29" s="510"/>
      <c r="R29" s="510"/>
      <c r="S29" s="510"/>
      <c r="T29" s="510"/>
      <c r="U29" s="510"/>
      <c r="V29" s="510"/>
      <c r="W29" s="510"/>
      <c r="X29" s="98"/>
    </row>
    <row r="30" spans="1:24" ht="15" customHeight="1" x14ac:dyDescent="0.3">
      <c r="A30" s="96"/>
      <c r="B30" s="103"/>
      <c r="C30" s="98"/>
      <c r="D30" s="105"/>
      <c r="E30" s="105"/>
      <c r="F30" s="105"/>
      <c r="G30" s="98"/>
      <c r="H30" s="138" t="s">
        <v>27</v>
      </c>
      <c r="I30" s="140" t="n">
        <f>AA7</f>
        <v>3</v>
      </c>
      <c r="J30" s="140" t="n">
        <f>AC7</f>
        <v>6</v>
      </c>
      <c r="K30" s="141" t="n">
        <f t="shared" si="1"/>
        <v>1</v>
      </c>
      <c r="L30" s="104"/>
      <c r="M30" s="96"/>
      <c r="N30" s="98"/>
      <c r="O30" s="459"/>
      <c r="P30" s="510"/>
      <c r="Q30" s="510"/>
      <c r="R30" s="510"/>
      <c r="S30" s="510"/>
      <c r="T30" s="510"/>
      <c r="U30" s="510"/>
      <c r="V30" s="510"/>
      <c r="W30" s="510"/>
      <c r="X30" s="98"/>
    </row>
    <row r="31" spans="1:24" ht="15" customHeight="1" x14ac:dyDescent="0.3">
      <c r="A31" s="96"/>
      <c r="B31" s="103"/>
      <c r="C31" s="478" t="s">
        <v>171</v>
      </c>
      <c r="D31" s="481" t="inlineStr">
        <is>
          <t xml:space="preserve">Treatment data consists of all crashes at the intersection
 of SR 1001 and SR 1617
with a Y-line of 150'</t>
        </is>
      </c>
      <c r="E31" s="482"/>
      <c r="F31" s="483"/>
      <c r="G31" s="98"/>
      <c r="H31" s="98"/>
      <c r="I31" s="98"/>
      <c r="J31" s="98"/>
      <c r="K31" s="98"/>
      <c r="L31" s="104"/>
      <c r="M31" s="96"/>
      <c r="N31" s="98"/>
      <c r="O31" s="459"/>
      <c r="P31" s="510"/>
      <c r="Q31" s="510"/>
      <c r="R31" s="510"/>
      <c r="S31" s="510"/>
      <c r="T31" s="510"/>
      <c r="U31" s="510"/>
      <c r="V31" s="510"/>
      <c r="W31" s="510"/>
      <c r="X31" s="98"/>
    </row>
    <row r="32" spans="1:24" ht="15" customHeight="1" x14ac:dyDescent="0.3">
      <c r="A32" s="96"/>
      <c r="B32" s="103"/>
      <c r="C32" s="479"/>
      <c r="D32" s="484"/>
      <c r="E32" s="485"/>
      <c r="F32" s="486"/>
      <c r="G32" s="98"/>
      <c r="H32" s="461" t="s">
        <v>28</v>
      </c>
      <c r="I32" s="435" t="s">
        <v>16</v>
      </c>
      <c r="J32" s="435" t="s">
        <v>17</v>
      </c>
      <c r="K32" s="435" t="s">
        <v>29</v>
      </c>
      <c r="L32" s="104"/>
      <c r="M32" s="96"/>
      <c r="N32" s="98"/>
      <c r="O32" s="459"/>
      <c r="P32" s="510"/>
      <c r="Q32" s="510"/>
      <c r="R32" s="510"/>
      <c r="S32" s="510"/>
      <c r="T32" s="510"/>
      <c r="U32" s="510"/>
      <c r="V32" s="510"/>
      <c r="W32" s="510"/>
      <c r="X32" s="98"/>
    </row>
    <row r="33" spans="1:24" ht="15" customHeight="1" x14ac:dyDescent="0.3">
      <c r="A33" s="96"/>
      <c r="B33" s="103"/>
      <c r="C33" s="479"/>
      <c r="D33" s="484"/>
      <c r="E33" s="485"/>
      <c r="F33" s="486"/>
      <c r="G33" s="98"/>
      <c r="H33" s="462"/>
      <c r="I33" s="436"/>
      <c r="J33" s="436"/>
      <c r="K33" s="436"/>
      <c r="L33" s="104"/>
      <c r="M33" s="96"/>
      <c r="N33" s="98"/>
      <c r="O33" s="459"/>
      <c r="P33" s="511"/>
      <c r="Q33" s="511"/>
      <c r="R33" s="511"/>
      <c r="S33" s="511"/>
      <c r="T33" s="511"/>
      <c r="U33" s="511"/>
      <c r="V33" s="511"/>
      <c r="W33" s="511"/>
      <c r="X33" s="98"/>
    </row>
    <row r="34" spans="1:24" ht="15" customHeight="1" x14ac:dyDescent="0.3">
      <c r="A34" s="96"/>
      <c r="B34" s="103"/>
      <c r="C34" s="480"/>
      <c r="D34" s="487"/>
      <c r="E34" s="488"/>
      <c r="F34" s="489"/>
      <c r="G34" s="98"/>
      <c r="H34" s="150" t="inlineStr">
        <is>
          <t>Target Crashes: SR 1617/SR 1619 At-Fault</t>
        </is>
      </c>
      <c r="I34" s="140">
        <v>11</v>
      </c>
      <c r="J34" s="140">
        <v>1</v>
      </c>
      <c r="K34" s="141" t="n">
        <f>IFERROR((J34-I34)/I34, "n/a")</f>
        <v>-0.909090909090909</v>
      </c>
      <c r="L34" s="104"/>
      <c r="M34" s="96"/>
      <c r="N34" s="98"/>
      <c r="O34" s="452"/>
      <c r="P34" s="539" t="s">
        <v>47</v>
      </c>
      <c r="Q34" s="542"/>
      <c r="R34" s="542"/>
      <c r="S34" s="542"/>
      <c r="T34" s="542"/>
      <c r="U34" s="542"/>
      <c r="V34" s="542"/>
      <c r="W34" s="543"/>
      <c r="X34" s="98"/>
    </row>
    <row r="35" spans="1:24" ht="15" customHeight="1" x14ac:dyDescent="0.3">
      <c r="A35" s="96"/>
      <c r="B35" s="103"/>
      <c r="C35" s="98"/>
      <c r="D35" s="105"/>
      <c r="E35" s="105"/>
      <c r="F35" s="105"/>
      <c r="G35" s="98"/>
      <c r="H35" s="150" t="inlineStr">
        <is>
          <t>Target Crashes: SR 1001 At-Fault</t>
        </is>
      </c>
      <c r="I35" s="140">
        <v>0</v>
      </c>
      <c r="J35" s="140">
        <v>4</v>
      </c>
      <c r="K35" s="141" t="str">
        <f t="shared" ref="K35" si="2">IFERROR((J35-I35)/I35, "n/a")</f>
        <v>n/a</v>
      </c>
      <c r="L35" s="104"/>
      <c r="M35" s="96"/>
      <c r="N35" s="98"/>
      <c r="O35" s="452"/>
      <c r="P35" s="540"/>
      <c r="Q35" s="544"/>
      <c r="R35" s="544"/>
      <c r="S35" s="544"/>
      <c r="T35" s="544"/>
      <c r="U35" s="544"/>
      <c r="V35" s="544"/>
      <c r="W35" s="545"/>
      <c r="X35" s="98"/>
    </row>
    <row r="36" spans="1:24" ht="15" customHeight="1" x14ac:dyDescent="0.3">
      <c r="A36" s="96"/>
      <c r="B36" s="103"/>
      <c r="C36" s="475" t="s">
        <v>30</v>
      </c>
      <c r="D36" s="512" t="inlineStr">
        <is>
          <t xml:space="preserve">Frontal impact crashes including the following types:
• Left-turn, same roadway (LTSR)
• Left-turn, different roadway (LTDR)
• Right-turn, same roadway (RTSR)
• Right-turn, different roadway (RTDR)
• Head-on
• Angle</t>
        </is>
      </c>
      <c r="E36" s="513"/>
      <c r="F36" s="514"/>
      <c r="G36" s="98"/>
      <c r="H36" s="150" t="inlineStr">
        <is>
          <t>Target Crashes: No Fault Determined</t>
        </is>
      </c>
      <c r="I36" s="140">
        <v>0</v>
      </c>
      <c r="J36" s="140">
        <v>2</v>
      </c>
      <c r="K36" s="141" t="str">
        <f>IFERROR((J36-I36)/I36, "n/a")</f>
        <v>n/a</v>
      </c>
      <c r="L36" s="104"/>
      <c r="M36" s="96"/>
      <c r="N36" s="98"/>
      <c r="O36" s="452"/>
      <c r="P36" s="540"/>
      <c r="Q36" s="544"/>
      <c r="R36" s="544"/>
      <c r="S36" s="544"/>
      <c r="T36" s="544"/>
      <c r="U36" s="544"/>
      <c r="V36" s="544"/>
      <c r="W36" s="545"/>
      <c r="X36" s="98"/>
    </row>
    <row r="37" spans="1:24" ht="15" customHeight="1" x14ac:dyDescent="0.3">
      <c r="A37" s="96"/>
      <c r="B37" s="103"/>
      <c r="C37" s="476"/>
      <c r="D37" s="515"/>
      <c r="E37" s="516"/>
      <c r="F37" s="517"/>
      <c r="G37" s="98"/>
      <c r="H37" s="150" t="inlineStr">
        <is>
          <t>Target Crashes: Failed to Yield</t>
        </is>
      </c>
      <c r="I37" s="140">
        <v>8</v>
      </c>
      <c r="J37" s="140">
        <v>3</v>
      </c>
      <c r="K37" s="141" t="n">
        <f t="shared" ref="K37" si="3">IFERROR((J37-I37)/I37, "n/a")</f>
        <v>-0.625</v>
      </c>
      <c r="L37" s="104"/>
      <c r="M37" s="96"/>
      <c r="N37" s="117"/>
      <c r="O37" s="452"/>
      <c r="P37" s="540"/>
      <c r="Q37" s="544"/>
      <c r="R37" s="544"/>
      <c r="S37" s="544"/>
      <c r="T37" s="544"/>
      <c r="U37" s="544"/>
      <c r="V37" s="544"/>
      <c r="W37" s="545"/>
      <c r="X37" s="117"/>
    </row>
    <row r="38" spans="1:24" ht="15" customHeight="1" x14ac:dyDescent="0.3">
      <c r="A38" s="96"/>
      <c r="B38" s="103"/>
      <c r="C38" s="476"/>
      <c r="D38" s="515"/>
      <c r="E38" s="516"/>
      <c r="F38" s="517"/>
      <c r="G38" s="98"/>
      <c r="H38" s="151" t="inlineStr">
        <is>
          <t>Target Crashes: Ran Stop Sign</t>
        </is>
      </c>
      <c r="I38" s="134">
        <v>3</v>
      </c>
      <c r="J38" s="134">
        <v>2</v>
      </c>
      <c r="K38" s="149"/>
      <c r="L38" s="104"/>
      <c r="M38" s="96"/>
      <c r="N38" s="117"/>
      <c r="O38" s="452"/>
      <c r="P38" s="540"/>
      <c r="Q38" s="544"/>
      <c r="R38" s="544"/>
      <c r="S38" s="544"/>
      <c r="T38" s="544"/>
      <c r="U38" s="544"/>
      <c r="V38" s="544"/>
      <c r="W38" s="545"/>
      <c r="X38" s="98"/>
    </row>
    <row r="39" spans="1:24" s="92" customFormat="1" ht="18" customHeight="1" x14ac:dyDescent="0.3">
      <c r="A39" s="96"/>
      <c r="B39" s="103"/>
      <c r="C39" s="476"/>
      <c r="D39" s="515"/>
      <c r="E39" s="516"/>
      <c r="F39" s="517"/>
      <c r="G39" s="98"/>
      <c r="H39" s="460" t="s">
        <v>193</v>
      </c>
      <c r="I39" s="460"/>
      <c r="J39" s="460"/>
      <c r="K39" s="460"/>
      <c r="L39" s="118"/>
      <c r="M39" s="115"/>
      <c r="N39" s="98"/>
      <c r="O39" s="452"/>
      <c r="P39" s="540"/>
      <c r="Q39" s="544"/>
      <c r="R39" s="544"/>
      <c r="S39" s="544"/>
      <c r="T39" s="544"/>
      <c r="U39" s="544"/>
      <c r="V39" s="544"/>
      <c r="W39" s="545"/>
      <c r="X39" s="98"/>
    </row>
    <row r="40" spans="1:24" ht="15" customHeight="1" x14ac:dyDescent="0.3">
      <c r="A40" s="115"/>
      <c r="B40" s="116"/>
      <c r="C40" s="476"/>
      <c r="D40" s="515"/>
      <c r="E40" s="516"/>
      <c r="F40" s="517"/>
      <c r="G40" s="117"/>
      <c r="H40" s="152"/>
      <c r="I40" s="152"/>
      <c r="J40" s="152"/>
      <c r="K40" s="152"/>
      <c r="L40" s="118"/>
      <c r="M40" s="115"/>
      <c r="N40" s="98"/>
      <c r="O40" s="452"/>
      <c r="P40" s="540"/>
      <c r="Q40" s="544"/>
      <c r="R40" s="544"/>
      <c r="S40" s="544"/>
      <c r="T40" s="544"/>
      <c r="U40" s="544"/>
      <c r="V40" s="544"/>
      <c r="W40" s="545"/>
      <c r="X40" s="98"/>
    </row>
    <row r="41" spans="1:24" ht="15" customHeight="1" x14ac:dyDescent="0.3">
      <c r="A41" s="96"/>
      <c r="B41" s="103"/>
      <c r="C41" s="477"/>
      <c r="D41" s="518"/>
      <c r="E41" s="519"/>
      <c r="F41" s="520"/>
      <c r="G41" s="98"/>
      <c r="H41" s="151"/>
      <c r="I41" s="134"/>
      <c r="J41" s="134"/>
      <c r="K41" s="149"/>
      <c r="L41" s="104"/>
      <c r="M41" s="96"/>
      <c r="N41" s="98"/>
      <c r="O41" s="452"/>
      <c r="P41" s="540"/>
      <c r="Q41" s="544"/>
      <c r="R41" s="544"/>
      <c r="S41" s="544"/>
      <c r="T41" s="544"/>
      <c r="U41" s="544"/>
      <c r="V41" s="544"/>
      <c r="W41" s="545"/>
      <c r="X41" s="98"/>
    </row>
    <row r="42" spans="1:24" ht="15" customHeight="1" x14ac:dyDescent="0.3">
      <c r="A42" s="96"/>
      <c r="B42" s="103"/>
      <c r="C42" s="98"/>
      <c r="D42" s="105"/>
      <c r="E42" s="105"/>
      <c r="F42" s="105"/>
      <c r="G42" s="98"/>
      <c r="H42" s="151"/>
      <c r="I42" s="134"/>
      <c r="J42" s="134"/>
      <c r="K42" s="149"/>
      <c r="L42" s="104"/>
      <c r="M42" s="96"/>
      <c r="N42" s="98"/>
      <c r="O42" s="452"/>
      <c r="P42" s="540"/>
      <c r="Q42" s="544"/>
      <c r="R42" s="544"/>
      <c r="S42" s="544"/>
      <c r="T42" s="544"/>
      <c r="U42" s="544"/>
      <c r="V42" s="544"/>
      <c r="W42" s="545"/>
      <c r="X42" s="98"/>
    </row>
    <row r="43" spans="1:24" ht="18" customHeight="1" x14ac:dyDescent="0.3">
      <c r="A43" s="96"/>
      <c r="B43" s="103"/>
      <c r="C43" s="460" t="s">
        <v>191</v>
      </c>
      <c r="D43" s="460"/>
      <c r="E43" s="460"/>
      <c r="F43" s="460"/>
      <c r="G43" s="98"/>
      <c r="H43" s="151"/>
      <c r="I43" s="134"/>
      <c r="J43" s="134"/>
      <c r="K43" s="149"/>
      <c r="L43" s="104"/>
      <c r="M43" s="96"/>
      <c r="N43" s="98"/>
      <c r="O43" s="452"/>
      <c r="P43" s="540"/>
      <c r="Q43" s="544"/>
      <c r="R43" s="544"/>
      <c r="S43" s="544"/>
      <c r="T43" s="544"/>
      <c r="U43" s="544"/>
      <c r="V43" s="544"/>
      <c r="W43" s="545"/>
      <c r="X43" s="98"/>
    </row>
    <row r="44" spans="1:24" ht="15" customHeight="1" x14ac:dyDescent="0.3">
      <c r="A44" s="96"/>
      <c r="B44" s="103"/>
      <c r="C44" s="472" t="s">
        <v>183</v>
      </c>
      <c r="D44" s="490" t="s">
        <v>118</v>
      </c>
      <c r="E44" s="490" t="s">
        <v>184</v>
      </c>
      <c r="F44" s="490" t="s">
        <v>185</v>
      </c>
      <c r="G44" s="98"/>
      <c r="H44" s="151"/>
      <c r="I44" s="134"/>
      <c r="J44" s="134"/>
      <c r="K44" s="149"/>
      <c r="L44" s="104"/>
      <c r="M44" s="96"/>
      <c r="N44" s="98"/>
      <c r="O44" s="452"/>
      <c r="P44" s="540"/>
      <c r="Q44" s="544"/>
      <c r="R44" s="544"/>
      <c r="S44" s="544"/>
      <c r="T44" s="544"/>
      <c r="U44" s="544"/>
      <c r="V44" s="544"/>
      <c r="W44" s="545"/>
      <c r="X44" s="98"/>
    </row>
    <row r="45" spans="1:24" ht="15" customHeight="1" x14ac:dyDescent="0.3">
      <c r="A45" s="96"/>
      <c r="B45" s="103"/>
      <c r="C45" s="473"/>
      <c r="D45" s="491"/>
      <c r="E45" s="491"/>
      <c r="F45" s="491"/>
      <c r="G45" s="98"/>
      <c r="H45" s="151"/>
      <c r="I45" s="134"/>
      <c r="J45" s="134"/>
      <c r="K45" s="149"/>
      <c r="L45" s="104"/>
      <c r="M45" s="96"/>
      <c r="N45" s="98"/>
      <c r="O45" s="452"/>
      <c r="P45" s="540"/>
      <c r="Q45" s="544"/>
      <c r="R45" s="544"/>
      <c r="S45" s="544"/>
      <c r="T45" s="544"/>
      <c r="U45" s="544"/>
      <c r="V45" s="544"/>
      <c r="W45" s="545"/>
      <c r="X45" s="98"/>
    </row>
    <row r="46" spans="1:24" ht="15" customHeight="1" x14ac:dyDescent="0.3">
      <c r="A46" s="96"/>
      <c r="B46" s="103"/>
      <c r="C46" s="106" t="s">
        <v>186</v>
      </c>
      <c r="D46" s="113" t="inlineStr">
        <is>
          <t>5.00 years</t>
        </is>
      </c>
      <c r="E46" s="113" t="str">
        <f>TEXT(ROUND('Evaluation Set-up'!$F$9+'Evaluation Set-up'!$G$9/12, 2), "0.00")&amp;" years"</f>
        <v>5.00 years</v>
      </c>
      <c r="F46" s="113" t="str">
        <f>TEXT(ROUND('Evaluation Set-up'!$F$11+'Evaluation Set-up'!$G$11/12, 2), "0.00")&amp;" years"</f>
        <v>5.00 years</v>
      </c>
      <c r="G46" s="98"/>
      <c r="H46" s="151"/>
      <c r="I46" s="134"/>
      <c r="J46" s="134"/>
      <c r="K46" s="149"/>
      <c r="L46" s="104"/>
      <c r="M46" s="96"/>
      <c r="N46" s="98"/>
      <c r="O46" s="452"/>
      <c r="P46" s="540"/>
      <c r="Q46" s="544"/>
      <c r="R46" s="544"/>
      <c r="S46" s="544"/>
      <c r="T46" s="544"/>
      <c r="U46" s="544"/>
      <c r="V46" s="544"/>
      <c r="W46" s="545"/>
      <c r="X46" s="98"/>
    </row>
    <row r="47" spans="1:24" ht="15" customHeight="1" x14ac:dyDescent="0.3">
      <c r="A47" s="96"/>
      <c r="B47" s="103"/>
      <c r="C47" s="106" t="s">
        <v>159</v>
      </c>
      <c r="D47" s="137" t="inlineStr">
        <is>
          <t>6/1/2013</t>
        </is>
      </c>
      <c r="E47" s="137" t="n">
        <f>'Evaluation Set-up'!D9</f>
        <v>42461</v>
      </c>
      <c r="F47" s="137" t="n">
        <f>'Evaluation Set-up'!D11</f>
        <v>44378</v>
      </c>
      <c r="G47" s="98"/>
      <c r="H47" s="151"/>
      <c r="I47" s="134"/>
      <c r="J47" s="134"/>
      <c r="K47" s="149"/>
      <c r="L47" s="104"/>
      <c r="M47" s="96"/>
      <c r="N47" s="98"/>
      <c r="O47" s="452"/>
      <c r="P47" s="540"/>
      <c r="Q47" s="544"/>
      <c r="R47" s="544"/>
      <c r="S47" s="544"/>
      <c r="T47" s="544"/>
      <c r="U47" s="544"/>
      <c r="V47" s="544"/>
      <c r="W47" s="545"/>
      <c r="X47" s="98"/>
    </row>
    <row r="48" spans="1:24" ht="15" customHeight="1" x14ac:dyDescent="0.3">
      <c r="A48" s="96"/>
      <c r="B48" s="103"/>
      <c r="C48" s="106" t="s">
        <v>160</v>
      </c>
      <c r="D48" s="137" t="inlineStr">
        <is>
          <t>5/31/2018</t>
        </is>
      </c>
      <c r="E48" s="137" t="n">
        <f>'Evaluation Set-up'!E9</f>
        <v>44286</v>
      </c>
      <c r="F48" s="137" t="n">
        <f>'Evaluation Set-up'!E11</f>
        <v>46203</v>
      </c>
      <c r="G48" s="98"/>
      <c r="H48" s="151"/>
      <c r="I48" s="134"/>
      <c r="J48" s="134"/>
      <c r="K48" s="149"/>
      <c r="L48" s="104"/>
      <c r="M48" s="96"/>
      <c r="N48" s="98"/>
      <c r="O48" s="452"/>
      <c r="P48" s="540"/>
      <c r="Q48" s="544"/>
      <c r="R48" s="544"/>
      <c r="S48" s="544"/>
      <c r="T48" s="544"/>
      <c r="U48" s="544"/>
      <c r="V48" s="544"/>
      <c r="W48" s="545"/>
      <c r="X48" s="98"/>
    </row>
    <row r="49" spans="1:24" ht="15" customHeight="1" x14ac:dyDescent="0.3">
      <c r="A49" s="96"/>
      <c r="B49" s="103"/>
      <c r="C49" s="153"/>
      <c r="D49" s="119"/>
      <c r="E49" s="120"/>
      <c r="F49" s="120"/>
      <c r="G49" s="98"/>
      <c r="H49" s="151"/>
      <c r="I49" s="134"/>
      <c r="J49" s="134"/>
      <c r="K49" s="149"/>
      <c r="L49" s="104"/>
      <c r="M49" s="96"/>
      <c r="N49" s="98"/>
      <c r="O49" s="452"/>
      <c r="P49" s="540"/>
      <c r="Q49" s="544"/>
      <c r="R49" s="544"/>
      <c r="S49" s="544"/>
      <c r="T49" s="544"/>
      <c r="U49" s="544"/>
      <c r="V49" s="544"/>
      <c r="W49" s="545"/>
      <c r="X49" s="98"/>
    </row>
    <row r="50" spans="1:24" ht="15" customHeight="1" x14ac:dyDescent="0.25">
      <c r="A50" s="96"/>
      <c r="B50" s="103"/>
      <c r="C50" s="154" t="s">
        <v>13</v>
      </c>
      <c r="D50" s="121">
        <v>3.8</v>
      </c>
      <c r="E50" s="121" t="n">
        <f>I8/('Evaluation Set-up'!$F$9+'Evaluation Set-up'!$G$9/12)</f>
        <v>3</v>
      </c>
      <c r="F50" s="121" t="n">
        <f>J8/('Evaluation Set-up'!$F$11+'Evaluation Set-up'!$G$11/12)</f>
        <v>1.6</v>
      </c>
      <c r="G50" s="98"/>
      <c r="H50" s="151"/>
      <c r="I50" s="134"/>
      <c r="J50" s="134"/>
      <c r="K50" s="149"/>
      <c r="L50" s="104"/>
      <c r="M50" s="96"/>
      <c r="N50" s="98"/>
      <c r="O50" s="452"/>
      <c r="P50" s="541"/>
      <c r="Q50" s="546"/>
      <c r="R50" s="546"/>
      <c r="S50" s="546"/>
      <c r="T50" s="546"/>
      <c r="U50" s="546"/>
      <c r="V50" s="546"/>
      <c r="W50" s="547"/>
      <c r="X50" s="98"/>
    </row>
    <row r="51" spans="1:24" ht="15" customHeight="1" x14ac:dyDescent="0.25">
      <c r="A51" s="96"/>
      <c r="B51" s="103"/>
      <c r="C51" s="138" t="s">
        <v>187</v>
      </c>
      <c r="D51" s="121">
        <v>0</v>
      </c>
      <c r="E51" s="121" t="n">
        <f>I18/('Evaluation Set-up'!$F$9+'Evaluation Set-up'!$G$9/12)</f>
        <v>0</v>
      </c>
      <c r="F51" s="121" t="n">
        <f>J18/('Evaluation Set-up'!$F$11+'Evaluation Set-up'!$G$11/12)</f>
        <v>0</v>
      </c>
      <c r="G51" s="98"/>
      <c r="H51" s="151"/>
      <c r="I51" s="134"/>
      <c r="J51" s="134"/>
      <c r="K51" s="149"/>
      <c r="L51" s="104"/>
      <c r="M51" s="96"/>
      <c r="N51" s="98"/>
      <c r="O51" s="113">
        <v>6</v>
      </c>
      <c r="P51" s="477" t="s">
        <v>179</v>
      </c>
      <c r="Q51" s="477"/>
      <c r="R51" s="477"/>
      <c r="S51" s="477"/>
      <c r="T51" s="477"/>
      <c r="U51" s="477"/>
      <c r="V51" s="477"/>
      <c r="W51" s="477"/>
      <c r="X51" s="98"/>
    </row>
    <row r="52" spans="1:24" ht="15" customHeight="1" x14ac:dyDescent="0.25">
      <c r="A52" s="96"/>
      <c r="B52" s="103"/>
      <c r="C52" s="138" t="s">
        <v>188</v>
      </c>
      <c r="D52" s="121">
        <v>0.2</v>
      </c>
      <c r="E52" s="121" t="n">
        <f>I19/('Evaluation Set-up'!$F$9+'Evaluation Set-up'!$G$9/12)</f>
        <v>0.2</v>
      </c>
      <c r="F52" s="121" t="n">
        <f>J19/('Evaluation Set-up'!$F$11+'Evaluation Set-up'!$G$11/12)</f>
        <v>0</v>
      </c>
      <c r="G52" s="98"/>
      <c r="H52" s="151"/>
      <c r="I52" s="134"/>
      <c r="J52" s="134"/>
      <c r="K52" s="149"/>
      <c r="L52" s="104"/>
      <c r="M52" s="96"/>
      <c r="N52" s="98"/>
      <c r="O52" s="113">
        <v>7</v>
      </c>
      <c r="P52" s="509" t="s">
        <v>180</v>
      </c>
      <c r="Q52" s="509"/>
      <c r="R52" s="509"/>
      <c r="S52" s="509"/>
      <c r="T52" s="509"/>
      <c r="U52" s="509"/>
      <c r="V52" s="509"/>
      <c r="W52" s="509"/>
      <c r="X52" s="98"/>
    </row>
    <row r="53" spans="1:24" ht="15" customHeight="1" x14ac:dyDescent="0.3">
      <c r="A53" s="96"/>
      <c r="B53" s="103"/>
      <c r="C53" s="138" t="s">
        <v>189</v>
      </c>
      <c r="D53" s="121">
        <v>1.4</v>
      </c>
      <c r="E53" s="121" t="n">
        <f>I20/('Evaluation Set-up'!$F$9+'Evaluation Set-up'!$G$9/12)</f>
        <v>0.6</v>
      </c>
      <c r="F53" s="121" t="n">
        <f>J20/('Evaluation Set-up'!$F$11+'Evaluation Set-up'!$G$11/12)</f>
        <v>0</v>
      </c>
      <c r="G53" s="98"/>
      <c r="H53" s="151"/>
      <c r="I53" s="134"/>
      <c r="J53" s="134"/>
      <c r="K53" s="149"/>
      <c r="L53" s="104"/>
      <c r="M53" s="96"/>
      <c r="N53" s="98"/>
      <c r="O53" s="536" t="s">
        <v>194</v>
      </c>
      <c r="P53" s="530" t="s">
        <v>197</v>
      </c>
      <c r="Q53" s="503"/>
      <c r="R53" s="503"/>
      <c r="S53" s="503"/>
      <c r="T53" s="503"/>
      <c r="U53" s="503"/>
      <c r="V53" s="503"/>
      <c r="W53" s="531"/>
      <c r="X53" s="16"/>
    </row>
    <row r="54" spans="1:24" ht="15" customHeight="1" x14ac:dyDescent="0.3">
      <c r="A54" s="96"/>
      <c r="B54" s="103"/>
      <c r="C54" s="138" t="s">
        <v>190</v>
      </c>
      <c r="D54" s="121">
        <v>1.2</v>
      </c>
      <c r="E54" s="121" t="n">
        <f>I21/('Evaluation Set-up'!$F$9+'Evaluation Set-up'!$G$9/12)</f>
        <v>0.8</v>
      </c>
      <c r="F54" s="121" t="n">
        <f>J21/('Evaluation Set-up'!$F$11+'Evaluation Set-up'!$G$11/12)</f>
        <v>0.4</v>
      </c>
      <c r="G54" s="98"/>
      <c r="H54" s="151"/>
      <c r="I54" s="134"/>
      <c r="J54" s="134"/>
      <c r="K54" s="149"/>
      <c r="L54" s="104"/>
      <c r="M54" s="96"/>
      <c r="N54" s="98"/>
      <c r="O54" s="537"/>
      <c r="P54" s="532"/>
      <c r="Q54" s="505"/>
      <c r="R54" s="505"/>
      <c r="S54" s="505"/>
      <c r="T54" s="505"/>
      <c r="U54" s="505"/>
      <c r="V54" s="505"/>
      <c r="W54" s="533"/>
      <c r="X54" s="16"/>
    </row>
    <row r="55" spans="1:24" ht="15" customHeight="1" x14ac:dyDescent="0.3">
      <c r="A55" s="96"/>
      <c r="B55" s="103"/>
      <c r="C55" s="138" t="s">
        <v>27</v>
      </c>
      <c r="D55" s="121">
        <v>1.0</v>
      </c>
      <c r="E55" s="121" t="n">
        <f>I22/('Evaluation Set-up'!$F$9+'Evaluation Set-up'!$G$9/12)</f>
        <v>1.4</v>
      </c>
      <c r="F55" s="121" t="n">
        <f>J22/('Evaluation Set-up'!$F$11+'Evaluation Set-up'!$G$11/12)</f>
        <v>1.2</v>
      </c>
      <c r="G55" s="98"/>
      <c r="H55" s="151"/>
      <c r="I55" s="134"/>
      <c r="J55" s="134"/>
      <c r="K55" s="149"/>
      <c r="L55" s="104"/>
      <c r="M55" s="96"/>
      <c r="N55" s="98"/>
      <c r="O55" s="538"/>
      <c r="P55" s="534"/>
      <c r="Q55" s="507"/>
      <c r="R55" s="507"/>
      <c r="S55" s="507"/>
      <c r="T55" s="507"/>
      <c r="U55" s="507"/>
      <c r="V55" s="507"/>
      <c r="W55" s="535"/>
      <c r="X55" s="16"/>
    </row>
    <row r="56" spans="1:24" customFormat="1" ht="15" customHeight="1" x14ac:dyDescent="0.3">
      <c r="A56" s="96"/>
      <c r="B56" s="103"/>
      <c r="C56" s="134"/>
      <c r="D56" s="134"/>
      <c r="E56" s="134"/>
      <c r="F56" s="134"/>
      <c r="G56" s="98"/>
      <c r="H56" s="151"/>
      <c r="I56" s="134"/>
      <c r="J56" s="134"/>
      <c r="K56" s="149"/>
      <c r="L56" s="104"/>
      <c r="M56" s="96"/>
      <c r="N56" s="98"/>
      <c r="O56" s="98"/>
      <c r="P56" s="98"/>
      <c r="Q56" s="98"/>
      <c r="R56" s="98"/>
      <c r="S56" s="98"/>
      <c r="T56" s="98"/>
      <c r="U56" s="98"/>
      <c r="V56" s="98"/>
      <c r="W56" s="98"/>
      <c r="X56" s="16"/>
    </row>
    <row r="57" spans="1:24" customFormat="1" ht="18" customHeight="1" x14ac:dyDescent="0.3">
      <c r="A57" s="96"/>
      <c r="B57" s="103"/>
      <c r="C57" s="474" t="s">
        <v>192</v>
      </c>
      <c r="D57" s="474"/>
      <c r="E57" s="474"/>
      <c r="F57" s="474"/>
      <c r="G57" s="98"/>
      <c r="H57" s="151"/>
      <c r="I57" s="134"/>
      <c r="J57" s="134"/>
      <c r="K57" s="149"/>
      <c r="L57" s="104"/>
      <c r="M57" s="96"/>
      <c r="N57" s="98"/>
      <c r="O57" s="98"/>
      <c r="P57" s="98"/>
      <c r="Q57" s="98"/>
      <c r="R57" s="98"/>
      <c r="S57" s="98"/>
      <c r="T57" s="98"/>
      <c r="U57" s="98"/>
      <c r="V57" s="98"/>
      <c r="W57" s="98"/>
      <c r="X57" s="16"/>
    </row>
    <row r="58" spans="1:24" customFormat="1" ht="15" customHeight="1" x14ac:dyDescent="0.3">
      <c r="A58" s="96"/>
      <c r="B58" s="103"/>
      <c r="C58" s="463" t="inlineStr">
        <is>
          <t xml:space="preserve">• Construction period set with the project completion date of May 24, 2021 near the middle to account for any temporary warning signs or other modifications implemented before or after the conversion to AWSC. No crashes occurred at the intersection during the construction period.
• All Target Crashes in both periods were angle crashes.
• The Class A injury Target Crash was a 12/16/2017 angle crash at 11:43 AM in which an EB vehicle on SR 1617 ran the stop sign at 55 mph and struck the saddle fuel tank of a SB tractor/semi-trailer on SR 1001; the truck ran off the road and came to rest in the front yard of a residence.
• The most severe after-period Target Crash was a 10/23/2025 angle crash at 12:53 PM in which a WB vehicle on SR 1001 ran the stop sign and struck a NB vehicle towing a trailer on SR 1617, resulting in one Class C injury.
• A breakdown by the at-fault direction of the Target Crashes is as follows:
   - Before: EB SR 1617: 6 (4 failure-to-yield, 2 ran-stop-sign); WB SR 1619: 5 (4 failure-to-yield, 1 ran-stop-sign)
   - After: NB SR 1001: 3 (2 failure-to-yield, 1 ran-stop-sign); WB SR 1001: 1 (ran-stop-sign); EB SR 1617: 1 (failure-to-yield); no fault could be determined: 2
• In the two after-period Target Crashes where fault could not be determined (November 2021 and October 2025), a WB and an EB vehicle on SR 1617, respectively, collided with a SB vehicle on SR 1001.
• The one non-Target Crash in the after period involved a SB vehicle on SR 1001 that failed to reduce speed and struck a vehicle stopped at the all-way stop (December 2024, Class C). Rear-end frequency did not change with the conversion: one in each period, both queue crashes.</t>
        </is>
      </c>
      <c r="D58" s="464"/>
      <c r="E58" s="464"/>
      <c r="F58" s="464"/>
      <c r="G58" s="464"/>
      <c r="H58" s="464"/>
      <c r="I58" s="464"/>
      <c r="J58" s="464"/>
      <c r="K58" s="465"/>
      <c r="L58" s="104"/>
      <c r="M58" s="96"/>
      <c r="N58" s="98"/>
      <c r="O58" s="98"/>
      <c r="P58" s="98"/>
      <c r="Q58" s="98"/>
      <c r="R58" s="98"/>
      <c r="S58" s="98"/>
      <c r="T58" s="98"/>
      <c r="U58" s="98"/>
      <c r="V58" s="98"/>
      <c r="W58" s="98"/>
      <c r="X58" s="16"/>
    </row>
    <row r="59" spans="1:24" customFormat="1" ht="15" customHeight="1" x14ac:dyDescent="0.3">
      <c r="A59" s="96"/>
      <c r="B59" s="103"/>
      <c r="C59" s="466"/>
      <c r="D59" s="467"/>
      <c r="E59" s="467"/>
      <c r="F59" s="467"/>
      <c r="G59" s="467"/>
      <c r="H59" s="467"/>
      <c r="I59" s="467"/>
      <c r="J59" s="467"/>
      <c r="K59" s="468"/>
      <c r="L59" s="104"/>
      <c r="M59" s="96"/>
      <c r="N59" s="98"/>
      <c r="O59" s="98"/>
      <c r="P59" s="98"/>
      <c r="Q59" s="98"/>
      <c r="R59" s="98"/>
      <c r="S59" s="98"/>
      <c r="T59" s="98"/>
      <c r="U59" s="98"/>
      <c r="V59" s="98"/>
      <c r="W59" s="98"/>
      <c r="X59" s="16"/>
    </row>
    <row r="60" spans="1:24" customFormat="1" ht="15" customHeight="1" x14ac:dyDescent="0.3">
      <c r="A60" s="96"/>
      <c r="B60" s="103"/>
      <c r="C60" s="466"/>
      <c r="D60" s="467"/>
      <c r="E60" s="467"/>
      <c r="F60" s="467"/>
      <c r="G60" s="467"/>
      <c r="H60" s="467"/>
      <c r="I60" s="467"/>
      <c r="J60" s="467"/>
      <c r="K60" s="468"/>
      <c r="L60" s="104"/>
      <c r="M60" s="96"/>
      <c r="N60" s="98"/>
      <c r="O60" s="98"/>
      <c r="P60" s="98"/>
      <c r="Q60" s="98"/>
      <c r="R60" s="98"/>
      <c r="S60" s="98"/>
      <c r="T60" s="16"/>
      <c r="U60" s="16"/>
      <c r="V60" s="16"/>
      <c r="W60" s="16"/>
      <c r="X60" s="16"/>
    </row>
    <row r="61" spans="1:24" customFormat="1" ht="15" customHeight="1" x14ac:dyDescent="0.3">
      <c r="A61" s="96"/>
      <c r="B61" s="103"/>
      <c r="C61" s="466"/>
      <c r="D61" s="467"/>
      <c r="E61" s="467"/>
      <c r="F61" s="467"/>
      <c r="G61" s="467"/>
      <c r="H61" s="467"/>
      <c r="I61" s="467"/>
      <c r="J61" s="467"/>
      <c r="K61" s="468"/>
      <c r="L61" s="104"/>
      <c r="M61" s="96"/>
      <c r="N61" s="98"/>
      <c r="O61" s="98"/>
      <c r="P61" s="98"/>
      <c r="Q61" s="98"/>
      <c r="R61" s="98"/>
      <c r="S61" s="98"/>
      <c r="T61" s="16"/>
      <c r="U61" s="16"/>
      <c r="V61" s="16"/>
      <c r="W61" s="16"/>
      <c r="X61" s="16"/>
    </row>
    <row r="62" spans="1:24" customFormat="1" ht="15" customHeight="1" x14ac:dyDescent="0.3">
      <c r="A62" s="96"/>
      <c r="B62" s="103"/>
      <c r="C62" s="466"/>
      <c r="D62" s="467"/>
      <c r="E62" s="467"/>
      <c r="F62" s="467"/>
      <c r="G62" s="467"/>
      <c r="H62" s="467"/>
      <c r="I62" s="467"/>
      <c r="J62" s="467"/>
      <c r="K62" s="468"/>
      <c r="L62" s="104"/>
      <c r="M62" s="96"/>
      <c r="N62" s="98"/>
      <c r="O62" s="133"/>
      <c r="P62" s="133"/>
      <c r="Q62" s="133"/>
      <c r="R62" s="98"/>
      <c r="S62" s="98"/>
      <c r="T62" s="98"/>
      <c r="U62" s="98"/>
      <c r="V62" s="98"/>
      <c r="W62" s="98"/>
      <c r="X62" s="98"/>
    </row>
    <row r="63" spans="1:24" customFormat="1" ht="15" customHeight="1" x14ac:dyDescent="0.3">
      <c r="A63" s="96"/>
      <c r="B63" s="103"/>
      <c r="C63" s="466"/>
      <c r="D63" s="467"/>
      <c r="E63" s="467"/>
      <c r="F63" s="467"/>
      <c r="G63" s="467"/>
      <c r="H63" s="467"/>
      <c r="I63" s="467"/>
      <c r="J63" s="467"/>
      <c r="K63" s="468"/>
      <c r="L63" s="104"/>
      <c r="M63" s="96"/>
      <c r="N63" s="98"/>
      <c r="O63" s="133"/>
      <c r="P63" s="133"/>
      <c r="Q63" s="133"/>
      <c r="R63" s="98"/>
      <c r="S63" s="98"/>
      <c r="T63" s="98"/>
      <c r="U63" s="98"/>
      <c r="V63" s="98"/>
      <c r="W63" s="98"/>
      <c r="X63" s="98"/>
    </row>
    <row r="64" spans="1:24" customFormat="1" ht="15" customHeight="1" x14ac:dyDescent="0.3">
      <c r="A64" s="96"/>
      <c r="B64" s="103"/>
      <c r="C64" s="466"/>
      <c r="D64" s="467"/>
      <c r="E64" s="467"/>
      <c r="F64" s="467"/>
      <c r="G64" s="467"/>
      <c r="H64" s="467"/>
      <c r="I64" s="467"/>
      <c r="J64" s="467"/>
      <c r="K64" s="468"/>
      <c r="L64" s="104"/>
      <c r="M64" s="96"/>
      <c r="N64" s="98"/>
      <c r="O64" s="133"/>
      <c r="P64" s="133"/>
      <c r="Q64" s="133"/>
      <c r="R64" s="98"/>
      <c r="S64" s="98"/>
      <c r="T64" s="98"/>
      <c r="U64" s="98"/>
      <c r="V64" s="98"/>
      <c r="W64" s="98"/>
      <c r="X64" s="98"/>
    </row>
    <row r="65" spans="1:24" ht="15" customHeight="1" x14ac:dyDescent="0.3">
      <c r="A65" s="96"/>
      <c r="B65" s="103"/>
      <c r="C65" s="469"/>
      <c r="D65" s="470"/>
      <c r="E65" s="470"/>
      <c r="F65" s="470"/>
      <c r="G65" s="470"/>
      <c r="H65" s="470"/>
      <c r="I65" s="470"/>
      <c r="J65" s="470"/>
      <c r="K65" s="471"/>
      <c r="L65" s="104"/>
      <c r="M65" s="96"/>
      <c r="N65" s="98"/>
      <c r="O65" s="133"/>
      <c r="P65" s="133"/>
      <c r="Q65" s="133"/>
      <c r="R65" s="98"/>
      <c r="S65" s="98"/>
      <c r="T65" s="98"/>
      <c r="U65" s="98"/>
      <c r="V65" s="98"/>
      <c r="W65" s="98"/>
      <c r="X65" s="98"/>
    </row>
    <row r="66" spans="1:24" ht="15" customHeight="1" x14ac:dyDescent="0.3">
      <c r="A66" s="96"/>
      <c r="B66" s="103"/>
      <c r="C66" s="134"/>
      <c r="D66" s="134"/>
      <c r="E66" s="134"/>
      <c r="F66" s="134"/>
      <c r="G66" s="98"/>
      <c r="H66" s="151"/>
      <c r="I66" s="134"/>
      <c r="J66" s="134"/>
      <c r="K66" s="149"/>
      <c r="L66" s="104"/>
      <c r="M66" s="96"/>
      <c r="N66" s="98"/>
      <c r="O66" s="133"/>
      <c r="P66" s="133"/>
      <c r="Q66" s="133"/>
      <c r="R66" s="98"/>
      <c r="S66" s="98"/>
      <c r="T66" s="98"/>
      <c r="U66" s="98"/>
      <c r="V66" s="98"/>
      <c r="W66" s="98"/>
      <c r="X66" s="98"/>
    </row>
    <row r="67" spans="1:24" ht="18" customHeight="1" x14ac:dyDescent="0.3">
      <c r="A67" s="96"/>
      <c r="B67" s="103"/>
      <c r="C67" s="155" t="s">
        <v>164</v>
      </c>
      <c r="D67" s="105"/>
      <c r="E67" s="105"/>
      <c r="F67" s="105"/>
      <c r="G67" s="98"/>
      <c r="H67" s="98"/>
      <c r="I67" s="98"/>
      <c r="J67" s="156"/>
      <c r="K67" s="132"/>
      <c r="L67" s="104"/>
      <c r="M67" s="96"/>
      <c r="N67" s="98"/>
      <c r="O67" s="133"/>
      <c r="P67" s="133"/>
      <c r="Q67" s="133"/>
      <c r="R67" s="98"/>
      <c r="S67" s="98"/>
      <c r="T67" s="98"/>
      <c r="U67" s="98"/>
      <c r="V67" s="98"/>
      <c r="W67" s="98"/>
      <c r="X67" s="98"/>
    </row>
    <row r="68" spans="1:24" ht="18" customHeight="1" x14ac:dyDescent="0.3">
      <c r="A68" s="96"/>
      <c r="B68" s="103"/>
      <c r="C68" s="98" t="s">
        <v>208</v>
      </c>
      <c r="D68" s="105"/>
      <c r="E68" s="105"/>
      <c r="F68" s="105"/>
      <c r="G68" s="98"/>
      <c r="H68" s="157" t="s">
        <v>166</v>
      </c>
      <c r="I68" s="98"/>
      <c r="J68" s="156"/>
      <c r="K68" s="132"/>
      <c r="L68" s="104"/>
      <c r="M68" s="96"/>
      <c r="N68" s="98"/>
      <c r="O68" s="133"/>
      <c r="P68" s="133"/>
      <c r="Q68" s="133"/>
      <c r="R68" s="98"/>
      <c r="S68" s="98"/>
      <c r="T68" s="98"/>
      <c r="U68" s="98"/>
      <c r="V68" s="98"/>
      <c r="W68" s="98"/>
      <c r="X68" s="98"/>
    </row>
    <row r="69" spans="1:24" ht="15" customHeight="1" x14ac:dyDescent="0.3">
      <c r="A69" s="96"/>
      <c r="B69" s="103"/>
      <c r="C69" s="98" t="s">
        <v>209</v>
      </c>
      <c r="D69" s="105"/>
      <c r="E69" s="105"/>
      <c r="F69" s="105"/>
      <c r="G69" s="98"/>
      <c r="H69" s="106" t="s">
        <v>169</v>
      </c>
      <c r="I69" s="459"/>
      <c r="J69" s="459"/>
      <c r="K69" s="459"/>
      <c r="L69" s="104"/>
      <c r="M69" s="96"/>
      <c r="N69" s="98"/>
      <c r="O69" s="98"/>
      <c r="P69" s="98"/>
      <c r="Q69" s="98"/>
      <c r="R69" s="98"/>
      <c r="S69" s="98"/>
      <c r="T69" s="98"/>
      <c r="U69" s="98"/>
      <c r="V69" s="98"/>
      <c r="W69" s="98"/>
      <c r="X69" s="98"/>
    </row>
    <row r="70" spans="1:24" ht="15" customHeight="1" x14ac:dyDescent="0.3">
      <c r="A70" s="96"/>
      <c r="B70" s="103"/>
      <c r="C70" s="98" t="s">
        <v>210</v>
      </c>
      <c r="D70" s="105"/>
      <c r="E70" s="105"/>
      <c r="F70" s="105"/>
      <c r="G70" s="98"/>
      <c r="H70" s="106" t="s">
        <v>167</v>
      </c>
      <c r="I70" s="459"/>
      <c r="J70" s="459"/>
      <c r="K70" s="459"/>
      <c r="L70" s="104"/>
      <c r="M70" s="96"/>
      <c r="N70" s="98"/>
      <c r="O70" s="98"/>
      <c r="P70" s="98"/>
      <c r="Q70" s="98"/>
      <c r="R70" s="98"/>
      <c r="S70" s="98"/>
      <c r="T70" s="98"/>
      <c r="U70" s="98"/>
      <c r="V70" s="98"/>
      <c r="W70" s="98"/>
      <c r="X70" s="98"/>
    </row>
    <row r="71" spans="1:24" ht="15" customHeight="1" x14ac:dyDescent="0.3">
      <c r="A71" s="96"/>
      <c r="B71" s="103"/>
      <c r="C71" s="98" t="s">
        <v>165</v>
      </c>
      <c r="D71" s="105"/>
      <c r="E71" s="105"/>
      <c r="F71" s="105"/>
      <c r="G71" s="98"/>
      <c r="H71" s="106" t="s">
        <v>168</v>
      </c>
      <c r="I71" s="458"/>
      <c r="J71" s="459"/>
      <c r="K71" s="459"/>
      <c r="L71" s="104"/>
      <c r="M71" s="96"/>
      <c r="N71" s="98"/>
      <c r="O71" s="98"/>
      <c r="P71" s="98"/>
      <c r="Q71" s="98"/>
      <c r="R71" s="98"/>
      <c r="S71" s="98"/>
      <c r="T71" s="98"/>
      <c r="U71" s="98"/>
      <c r="V71" s="98"/>
      <c r="W71" s="98"/>
      <c r="X71" s="98"/>
    </row>
    <row r="72" spans="1:24" ht="15" customHeight="1" thickBot="1" x14ac:dyDescent="0.35">
      <c r="A72" s="96"/>
      <c r="B72" s="124"/>
      <c r="C72" s="125"/>
      <c r="D72" s="126"/>
      <c r="E72" s="126"/>
      <c r="F72" s="126"/>
      <c r="G72" s="125"/>
      <c r="H72" s="125"/>
      <c r="I72" s="125"/>
      <c r="J72" s="158"/>
      <c r="K72" s="159"/>
      <c r="L72" s="127"/>
      <c r="M72" s="96"/>
      <c r="N72" s="98"/>
      <c r="O72" s="98"/>
      <c r="P72" s="98"/>
      <c r="Q72" s="98"/>
      <c r="R72" s="98"/>
      <c r="S72" s="98"/>
      <c r="T72" s="98"/>
      <c r="U72" s="98"/>
      <c r="V72" s="98"/>
      <c r="W72" s="98"/>
      <c r="X72" s="98"/>
    </row>
    <row r="73" spans="1:24" ht="15.75" customHeight="1" x14ac:dyDescent="0.3">
      <c r="A73" s="96"/>
      <c r="B73" s="96"/>
      <c r="C73" s="96"/>
      <c r="D73" s="97"/>
      <c r="E73" s="97"/>
      <c r="F73" s="97"/>
      <c r="G73" s="96"/>
      <c r="H73" s="96"/>
      <c r="I73" s="96"/>
      <c r="J73" s="128"/>
      <c r="K73" s="129"/>
      <c r="L73" s="96"/>
      <c r="M73" s="96"/>
      <c r="N73" s="98"/>
      <c r="O73" s="98"/>
      <c r="P73" s="98"/>
      <c r="Q73" s="98"/>
      <c r="R73" s="98"/>
      <c r="S73" s="98"/>
      <c r="T73" s="98"/>
      <c r="U73" s="98"/>
      <c r="V73" s="98"/>
      <c r="W73" s="98"/>
      <c r="X73" s="98"/>
    </row>
    <row r="74" spans="1:24" ht="15.75" customHeight="1" x14ac:dyDescent="0.3">
      <c r="A74" s="98"/>
      <c r="B74" s="98"/>
      <c r="C74" s="98"/>
      <c r="D74" s="105"/>
      <c r="E74" s="105"/>
      <c r="F74" s="105"/>
      <c r="G74" s="98"/>
      <c r="H74" s="122"/>
      <c r="I74" s="98"/>
      <c r="J74" s="130"/>
      <c r="K74" s="123"/>
      <c r="L74" s="98"/>
      <c r="M74" s="98"/>
      <c r="N74" s="98"/>
      <c r="O74" s="98"/>
      <c r="P74" s="98"/>
      <c r="Q74" s="98"/>
      <c r="R74" s="98"/>
      <c r="S74" s="98"/>
      <c r="T74" s="98"/>
      <c r="U74" s="98"/>
      <c r="V74" s="98"/>
      <c r="W74" s="98"/>
      <c r="X74" s="98"/>
    </row>
    <row r="75" spans="1:24" ht="15.75" customHeight="1" x14ac:dyDescent="0.3">
      <c r="A75" s="98"/>
      <c r="B75" s="98"/>
      <c r="C75" s="98"/>
      <c r="D75" s="105"/>
      <c r="E75" s="105"/>
      <c r="F75" s="105"/>
      <c r="G75" s="98"/>
      <c r="H75" s="98"/>
      <c r="I75" s="98"/>
      <c r="J75" s="98"/>
      <c r="K75" s="98"/>
      <c r="L75" s="98"/>
      <c r="M75" s="98"/>
      <c r="N75" s="98"/>
      <c r="O75" s="98"/>
      <c r="P75" s="98"/>
      <c r="Q75" s="98"/>
      <c r="R75" s="98"/>
      <c r="S75" s="98"/>
      <c r="T75" s="98"/>
      <c r="U75" s="98"/>
      <c r="V75" s="98"/>
      <c r="W75" s="98"/>
      <c r="X75" s="98"/>
    </row>
  </sheetData>
  <sheetProtection formatCells="0" formatColumns="0" formatRows="0" insertColumns="0" insertRows="0" deleteRows="0"/>
  <mergeCells count="71">
    <mergeCell ref="O12:O14"/>
    <mergeCell ref="P12:W14"/>
    <mergeCell ref="P15:W17"/>
    <mergeCell ref="P18:W20"/>
    <mergeCell ref="P53:W55"/>
    <mergeCell ref="O53:O55"/>
    <mergeCell ref="O25:O26"/>
    <mergeCell ref="O27:O28"/>
    <mergeCell ref="O29:O50"/>
    <mergeCell ref="P34:P50"/>
    <mergeCell ref="Q34:W50"/>
    <mergeCell ref="K24:K25"/>
    <mergeCell ref="P23:W23"/>
    <mergeCell ref="D18:F22"/>
    <mergeCell ref="D16:F16"/>
    <mergeCell ref="I24:I25"/>
    <mergeCell ref="H24:H25"/>
    <mergeCell ref="K16:K17"/>
    <mergeCell ref="C18:C22"/>
    <mergeCell ref="D36:F41"/>
    <mergeCell ref="F44:F45"/>
    <mergeCell ref="E44:E45"/>
    <mergeCell ref="C9:C12"/>
    <mergeCell ref="D9:F12"/>
    <mergeCell ref="P8:W8"/>
    <mergeCell ref="P9:W11"/>
    <mergeCell ref="P52:W52"/>
    <mergeCell ref="P24:W24"/>
    <mergeCell ref="P25:W26"/>
    <mergeCell ref="P27:W28"/>
    <mergeCell ref="P51:W51"/>
    <mergeCell ref="P29:W33"/>
    <mergeCell ref="D8:F8"/>
    <mergeCell ref="J16:J17"/>
    <mergeCell ref="I16:I17"/>
    <mergeCell ref="H16:H17"/>
    <mergeCell ref="J24:J25"/>
    <mergeCell ref="D13:F13"/>
    <mergeCell ref="D14:F14"/>
    <mergeCell ref="D24:F24"/>
    <mergeCell ref="D23:F23"/>
    <mergeCell ref="D15:F15"/>
    <mergeCell ref="I71:K71"/>
    <mergeCell ref="I70:K70"/>
    <mergeCell ref="I69:K69"/>
    <mergeCell ref="K32:K33"/>
    <mergeCell ref="H39:K39"/>
    <mergeCell ref="H32:H33"/>
    <mergeCell ref="I32:I33"/>
    <mergeCell ref="J32:J33"/>
    <mergeCell ref="C58:K65"/>
    <mergeCell ref="C44:C45"/>
    <mergeCell ref="C43:F43"/>
    <mergeCell ref="C57:F57"/>
    <mergeCell ref="C36:C41"/>
    <mergeCell ref="C31:C34"/>
    <mergeCell ref="D31:F34"/>
    <mergeCell ref="D44:D45"/>
    <mergeCell ref="Z1:AA1"/>
    <mergeCell ref="AB1:AC1"/>
    <mergeCell ref="H6:H7"/>
    <mergeCell ref="I6:I7"/>
    <mergeCell ref="J6:J7"/>
    <mergeCell ref="K6:K7"/>
    <mergeCell ref="P2:S2"/>
    <mergeCell ref="P3:S3"/>
    <mergeCell ref="P4:S4"/>
    <mergeCell ref="C3:K4"/>
    <mergeCell ref="D6:F6"/>
    <mergeCell ref="D7:F7"/>
    <mergeCell ref="O7:W7"/>
  </mergeCells>
  <conditionalFormatting sqref="C58">
    <cfRule type="containsBlanks" dxfId="11" priority="4">
      <formula>LEN(TRIM(C58))=0</formula>
    </cfRule>
  </conditionalFormatting>
  <conditionalFormatting sqref="D9 D13:F16">
    <cfRule type="containsBlanks" dxfId="10" priority="3">
      <formula>LEN(TRIM(D9))=0</formula>
    </cfRule>
  </conditionalFormatting>
  <conditionalFormatting sqref="D18 D31 D36 D46:D48 I69:K71">
    <cfRule type="containsBlanks" dxfId="9" priority="8">
      <formula>LEN(TRIM(D18))=0</formula>
    </cfRule>
  </conditionalFormatting>
  <conditionalFormatting sqref="D23:D24">
    <cfRule type="containsBlanks" dxfId="8" priority="1">
      <formula>LEN(TRIM(D23))=0</formula>
    </cfRule>
  </conditionalFormatting>
  <conditionalFormatting sqref="D50:D55">
    <cfRule type="containsBlanks" dxfId="7" priority="5">
      <formula>LEN(TRIM(D50))=0</formula>
    </cfRule>
  </conditionalFormatting>
  <conditionalFormatting sqref="D6:F8">
    <cfRule type="containsBlanks" dxfId="6" priority="2">
      <formula>LEN(TRIM(D6))=0</formula>
    </cfRule>
  </conditionalFormatting>
  <printOptions horizontalCentered="1" verticalCentered="1"/>
  <pageMargins left="0.25" right="0.25" top="0.5" bottom="0.5" header="0.3" footer="0.3"/>
  <pageSetup scale="67" orientation="portrait" horizontalDpi="360" verticalDpi="36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76504-45EE-4E28-9226-0053D4AA6076}">
  <sheetPr>
    <pageSetUpPr fitToPage="1"/>
  </sheetPr>
  <dimension ref="A1:AG81"/>
  <sheetViews>
    <sheetView zoomScaleNormal="100" workbookViewId="0">
      <selection activeCell="C73" sqref="C73"/>
    </sheetView>
  </sheetViews>
  <sheetFormatPr defaultColWidth="9.109375" defaultRowHeight="15.75" customHeight="1" x14ac:dyDescent="0.3"/>
  <cols>
    <col min="1" max="2" width="2.88671875" style="86" customWidth="1"/>
    <col min="3" max="3" width="21.44140625" style="86" customWidth="1"/>
    <col min="4" max="6" width="15" style="131" customWidth="1"/>
    <col min="7" max="7" width="2.88671875" style="86" customWidth="1"/>
    <col min="8" max="8" width="32.6640625" style="86" customWidth="1"/>
    <col min="9" max="10" width="10.6640625" style="86" customWidth="1"/>
    <col min="11" max="11" width="23.5546875" style="86" customWidth="1"/>
    <col min="12" max="14" width="2.88671875" style="86" customWidth="1"/>
    <col min="15" max="15" width="7.44140625" style="86" customWidth="1"/>
    <col min="16" max="24" width="9.109375" style="86"/>
    <col min="25" max="33" width="9.109375" style="86" hidden="1" customWidth="1"/>
    <col min="34" max="16384" width="9.109375" style="86"/>
  </cols>
  <sheetData>
    <row r="1" spans="1:33" ht="15" thickBot="1" x14ac:dyDescent="0.35">
      <c r="A1" s="96"/>
      <c r="B1" s="96"/>
      <c r="C1" s="96"/>
      <c r="D1" s="97"/>
      <c r="E1" s="97"/>
      <c r="F1" s="97"/>
      <c r="G1" s="96"/>
      <c r="H1" s="96"/>
      <c r="I1" s="96"/>
      <c r="J1" s="96"/>
      <c r="K1" s="96"/>
      <c r="L1" s="96"/>
      <c r="M1" s="96"/>
      <c r="N1" s="98"/>
      <c r="O1" s="98"/>
      <c r="P1" s="98"/>
      <c r="Q1" s="98"/>
      <c r="R1" s="98"/>
      <c r="S1" s="98"/>
      <c r="T1" s="98"/>
      <c r="U1" s="98"/>
      <c r="V1" s="98"/>
      <c r="W1" s="98"/>
      <c r="X1" s="98"/>
      <c r="Y1" s="24"/>
      <c r="Z1" s="549" t="s">
        <v>16</v>
      </c>
      <c r="AA1" s="550"/>
      <c r="AB1" s="550"/>
      <c r="AC1" s="551"/>
      <c r="AD1" s="549" t="s">
        <v>17</v>
      </c>
      <c r="AE1" s="550"/>
      <c r="AF1" s="550"/>
      <c r="AG1" s="551"/>
    </row>
    <row r="2" spans="1:33" ht="16.2" thickBot="1" x14ac:dyDescent="0.35">
      <c r="A2" s="96"/>
      <c r="B2" s="99"/>
      <c r="C2" s="100"/>
      <c r="D2" s="101"/>
      <c r="E2" s="101"/>
      <c r="F2" s="101"/>
      <c r="G2" s="100"/>
      <c r="H2" s="100"/>
      <c r="I2" s="100"/>
      <c r="J2" s="100"/>
      <c r="K2" s="100"/>
      <c r="L2" s="102"/>
      <c r="M2" s="96"/>
      <c r="N2" s="98"/>
      <c r="O2" s="98"/>
      <c r="P2" s="437" t="s">
        <v>198</v>
      </c>
      <c r="Q2" s="438"/>
      <c r="R2" s="438"/>
      <c r="S2" s="439"/>
      <c r="T2" s="98"/>
      <c r="U2" s="98"/>
      <c r="V2" s="98"/>
      <c r="W2" s="98"/>
      <c r="X2" s="98"/>
      <c r="Y2" s="11" t="s">
        <v>20</v>
      </c>
      <c r="Z2" s="11" t="s">
        <v>13</v>
      </c>
      <c r="AA2" s="36" t="s">
        <v>49</v>
      </c>
      <c r="AB2" s="93" t="s">
        <v>50</v>
      </c>
      <c r="AC2" s="10" t="s">
        <v>66</v>
      </c>
      <c r="AD2" s="11" t="s">
        <v>13</v>
      </c>
      <c r="AE2" s="36" t="s">
        <v>49</v>
      </c>
      <c r="AF2" s="93" t="s">
        <v>50</v>
      </c>
      <c r="AG2" s="10" t="s">
        <v>66</v>
      </c>
    </row>
    <row r="3" spans="1:33" ht="18.75" customHeight="1" x14ac:dyDescent="0.3">
      <c r="A3" s="96"/>
      <c r="B3" s="103"/>
      <c r="C3" s="446" t="s">
        <v>207</v>
      </c>
      <c r="D3" s="447"/>
      <c r="E3" s="447"/>
      <c r="F3" s="447"/>
      <c r="G3" s="447"/>
      <c r="H3" s="447"/>
      <c r="I3" s="447"/>
      <c r="J3" s="447"/>
      <c r="K3" s="448"/>
      <c r="L3" s="104"/>
      <c r="M3" s="96"/>
      <c r="N3" s="98"/>
      <c r="O3" s="98"/>
      <c r="P3" s="440" t="s">
        <v>39</v>
      </c>
      <c r="Q3" s="441"/>
      <c r="R3" s="441"/>
      <c r="S3" s="442"/>
      <c r="T3" s="98"/>
      <c r="U3" s="98"/>
      <c r="V3" s="98"/>
      <c r="W3" s="98"/>
      <c r="X3" s="98"/>
      <c r="Y3" s="11" t="s">
        <v>9</v>
      </c>
      <c r="Z3" s="94" t="n">
        <f>Before!Y4</f>
        <v>0</v>
      </c>
      <c r="AA3" s="94" t="n">
        <f>Before!Z4</f>
        <v>0</v>
      </c>
      <c r="AB3" s="94" t="n">
        <f>Before!AA4</f>
        <v>0</v>
      </c>
      <c r="AC3" s="94" t="n">
        <f>Before!AB4</f>
        <v>0</v>
      </c>
      <c r="AD3" s="94" t="n">
        <f>After!Y4</f>
        <v>0</v>
      </c>
      <c r="AE3" s="94" t="n">
        <f>After!Z4</f>
        <v>0</v>
      </c>
      <c r="AF3" s="94" t="n">
        <f>After!AA4</f>
        <v>0</v>
      </c>
      <c r="AG3" s="94" t="n">
        <f>After!AB4</f>
        <v>0</v>
      </c>
    </row>
    <row r="4" spans="1:33" ht="18.75" customHeight="1" thickBot="1" x14ac:dyDescent="0.35">
      <c r="A4" s="96"/>
      <c r="B4" s="103"/>
      <c r="C4" s="449"/>
      <c r="D4" s="450"/>
      <c r="E4" s="450"/>
      <c r="F4" s="450"/>
      <c r="G4" s="450"/>
      <c r="H4" s="450"/>
      <c r="I4" s="450"/>
      <c r="J4" s="450"/>
      <c r="K4" s="451"/>
      <c r="L4" s="104"/>
      <c r="M4" s="96"/>
      <c r="N4" s="98"/>
      <c r="O4" s="98"/>
      <c r="P4" s="443" t="s">
        <v>40</v>
      </c>
      <c r="Q4" s="444"/>
      <c r="R4" s="444"/>
      <c r="S4" s="445"/>
      <c r="T4" s="98"/>
      <c r="U4" s="98"/>
      <c r="V4" s="98"/>
      <c r="W4" s="98"/>
      <c r="X4" s="98"/>
      <c r="Y4" s="11" t="s">
        <v>10</v>
      </c>
      <c r="Z4" s="94" t="n">
        <f>Before!Y5</f>
        <v>1</v>
      </c>
      <c r="AA4" s="94" t="n">
        <f>Before!Z5</f>
        <v>1</v>
      </c>
      <c r="AB4" s="94" t="n">
        <f>Before!AA5</f>
        <v>0</v>
      </c>
      <c r="AC4" s="94" t="n">
        <f>Before!AB5</f>
        <v>1</v>
      </c>
      <c r="AD4" s="94" t="n">
        <f>After!Y5</f>
        <v>0</v>
      </c>
      <c r="AE4" s="94" t="n">
        <f>After!Z5</f>
        <v>0</v>
      </c>
      <c r="AF4" s="94" t="n">
        <f>After!AA5</f>
        <v>0</v>
      </c>
      <c r="AG4" s="94" t="n">
        <f>After!AB5</f>
        <v>0</v>
      </c>
    </row>
    <row r="5" spans="1:33" ht="15" customHeight="1" x14ac:dyDescent="0.3">
      <c r="A5" s="96"/>
      <c r="B5" s="103"/>
      <c r="C5" s="98"/>
      <c r="D5" s="105"/>
      <c r="E5" s="105"/>
      <c r="F5" s="105"/>
      <c r="G5" s="98"/>
      <c r="H5" s="98"/>
      <c r="I5" s="98"/>
      <c r="J5" s="98"/>
      <c r="K5" s="98"/>
      <c r="L5" s="104"/>
      <c r="M5" s="96"/>
      <c r="N5" s="98"/>
      <c r="O5" s="98"/>
      <c r="P5" s="98"/>
      <c r="Q5" s="98"/>
      <c r="R5" s="98"/>
      <c r="S5" s="98"/>
      <c r="T5" s="98"/>
      <c r="U5" s="98"/>
      <c r="V5" s="98"/>
      <c r="W5" s="98"/>
      <c r="X5" s="98"/>
      <c r="Y5" s="11" t="s">
        <v>8</v>
      </c>
      <c r="Z5" s="94" t="n">
        <f>Before!Y6</f>
        <v>3</v>
      </c>
      <c r="AA5" s="94" t="n">
        <f>Before!Z6</f>
        <v>3</v>
      </c>
      <c r="AB5" s="94" t="n">
        <f>Before!AA6</f>
        <v>0</v>
      </c>
      <c r="AC5" s="94" t="n">
        <f>Before!AB6</f>
        <v>3</v>
      </c>
      <c r="AD5" s="94" t="n">
        <f>After!Y6</f>
        <v>0</v>
      </c>
      <c r="AE5" s="94" t="n">
        <f>After!Z6</f>
        <v>0</v>
      </c>
      <c r="AF5" s="94" t="n">
        <f>After!AA6</f>
        <v>0</v>
      </c>
      <c r="AG5" s="94" t="n">
        <f>After!AB6</f>
        <v>0</v>
      </c>
    </row>
    <row r="6" spans="1:33" ht="15" customHeight="1" thickBot="1" x14ac:dyDescent="0.35">
      <c r="A6" s="96"/>
      <c r="B6" s="103"/>
      <c r="C6" s="135" t="s">
        <v>152</v>
      </c>
      <c r="D6" s="452"/>
      <c r="E6" s="453"/>
      <c r="F6" s="454"/>
      <c r="G6" s="98"/>
      <c r="H6" s="431" t="s">
        <v>15</v>
      </c>
      <c r="I6" s="433" t="s">
        <v>16</v>
      </c>
      <c r="J6" s="433" t="s">
        <v>17</v>
      </c>
      <c r="K6" s="435" t="s">
        <v>18</v>
      </c>
      <c r="L6" s="104"/>
      <c r="M6" s="96"/>
      <c r="N6" s="98"/>
      <c r="O6" s="98"/>
      <c r="P6" s="98"/>
      <c r="Q6" s="98"/>
      <c r="R6" s="98"/>
      <c r="S6" s="98"/>
      <c r="T6" s="98"/>
      <c r="U6" s="98"/>
      <c r="V6" s="98"/>
      <c r="W6" s="98"/>
      <c r="X6" s="98"/>
      <c r="Y6" s="11" t="s">
        <v>3</v>
      </c>
      <c r="Z6" s="94" t="n">
        <f>Before!Y7</f>
        <v>4</v>
      </c>
      <c r="AA6" s="94" t="n">
        <f>Before!Z7</f>
        <v>4</v>
      </c>
      <c r="AB6" s="94" t="n">
        <f>Before!AA7</f>
        <v>0</v>
      </c>
      <c r="AC6" s="94" t="n">
        <f>Before!AB7</f>
        <v>4</v>
      </c>
      <c r="AD6" s="94" t="n">
        <f>After!Y7</f>
        <v>2</v>
      </c>
      <c r="AE6" s="94" t="n">
        <f>After!Z7</f>
        <v>1</v>
      </c>
      <c r="AF6" s="94" t="n">
        <f>After!AA7</f>
        <v>0</v>
      </c>
      <c r="AG6" s="94" t="n">
        <f>After!AB7</f>
        <v>1</v>
      </c>
    </row>
    <row r="7" spans="1:33" ht="15" customHeight="1" thickBot="1" x14ac:dyDescent="0.35">
      <c r="A7" s="96"/>
      <c r="B7" s="103"/>
      <c r="C7" s="135" t="s">
        <v>153</v>
      </c>
      <c r="D7" s="452"/>
      <c r="E7" s="453"/>
      <c r="F7" s="454"/>
      <c r="G7" s="98"/>
      <c r="H7" s="432"/>
      <c r="I7" s="434"/>
      <c r="J7" s="434"/>
      <c r="K7" s="436"/>
      <c r="L7" s="104"/>
      <c r="M7" s="96"/>
      <c r="N7" s="98"/>
      <c r="O7" s="455" t="s">
        <v>195</v>
      </c>
      <c r="P7" s="456"/>
      <c r="Q7" s="456"/>
      <c r="R7" s="456"/>
      <c r="S7" s="456"/>
      <c r="T7" s="456"/>
      <c r="U7" s="456"/>
      <c r="V7" s="456"/>
      <c r="W7" s="457"/>
      <c r="X7" s="98"/>
      <c r="Y7" s="11" t="s">
        <v>7</v>
      </c>
      <c r="Z7" s="94" t="n">
        <f>Before!Y8</f>
        <v>7</v>
      </c>
      <c r="AA7" s="94" t="n">
        <f>Before!Z8</f>
        <v>3</v>
      </c>
      <c r="AB7" s="94" t="n">
        <f>Before!AA8</f>
        <v>0</v>
      </c>
      <c r="AC7" s="94" t="n">
        <f>Before!AB8</f>
        <v>3</v>
      </c>
      <c r="AD7" s="94" t="n">
        <f>After!Y8</f>
        <v>6</v>
      </c>
      <c r="AE7" s="94" t="n">
        <f>After!Z8</f>
        <v>6</v>
      </c>
      <c r="AF7" s="94" t="n">
        <f>After!AA8</f>
        <v>0</v>
      </c>
      <c r="AG7" s="94" t="n">
        <f>After!AB8</f>
        <v>6</v>
      </c>
    </row>
    <row r="8" spans="1:33" ht="15" customHeight="1" x14ac:dyDescent="0.3">
      <c r="A8" s="96"/>
      <c r="B8" s="103"/>
      <c r="C8" s="135" t="s">
        <v>201</v>
      </c>
      <c r="D8" s="452"/>
      <c r="E8" s="453"/>
      <c r="F8" s="454"/>
      <c r="G8" s="98"/>
      <c r="H8" s="138" t="s">
        <v>19</v>
      </c>
      <c r="I8" s="139" t="n">
        <f>Z8</f>
        <v>15</v>
      </c>
      <c r="J8" s="140" t="n">
        <f>AD8</f>
        <v>8</v>
      </c>
      <c r="K8" s="141" t="n">
        <f>IFERROR((J8-I8)/I8, "n/a")</f>
        <v>-0.466666666666667</v>
      </c>
      <c r="L8" s="104"/>
      <c r="M8" s="96"/>
      <c r="N8" s="98"/>
      <c r="O8" s="108" t="s">
        <v>47</v>
      </c>
      <c r="P8" s="501" t="s">
        <v>172</v>
      </c>
      <c r="Q8" s="501"/>
      <c r="R8" s="501"/>
      <c r="S8" s="501"/>
      <c r="T8" s="501"/>
      <c r="U8" s="501"/>
      <c r="V8" s="501"/>
      <c r="W8" s="502"/>
      <c r="X8" s="98"/>
      <c r="Y8" s="11" t="s">
        <v>13</v>
      </c>
      <c r="Z8" s="94" t="n">
        <f>Before!Y9</f>
        <v>15</v>
      </c>
      <c r="AA8" s="94" t="n">
        <f>Before!Z9</f>
        <v>11</v>
      </c>
      <c r="AB8" s="94" t="n">
        <f>Before!AA9</f>
        <v>0</v>
      </c>
      <c r="AC8" s="94" t="n">
        <f>Before!AB9</f>
        <v>11</v>
      </c>
      <c r="AD8" s="94" t="n">
        <f>After!Y9</f>
        <v>8</v>
      </c>
      <c r="AE8" s="94" t="n">
        <f>After!Z9</f>
        <v>7</v>
      </c>
      <c r="AF8" s="94" t="n">
        <f>After!AA9</f>
        <v>0</v>
      </c>
      <c r="AG8" s="94" t="n">
        <f>After!AB9</f>
        <v>7</v>
      </c>
    </row>
    <row r="9" spans="1:33" ht="15" customHeight="1" x14ac:dyDescent="0.3">
      <c r="A9" s="96"/>
      <c r="B9" s="103"/>
      <c r="C9" s="475" t="s">
        <v>157</v>
      </c>
      <c r="D9" s="512"/>
      <c r="E9" s="513"/>
      <c r="F9" s="514"/>
      <c r="G9" s="98"/>
      <c r="H9" s="160" t="s">
        <v>21</v>
      </c>
      <c r="I9" s="161" t="n">
        <f>Z9</f>
        <v>9.50666666666667</v>
      </c>
      <c r="J9" s="161" t="n">
        <f>AD9</f>
        <v>2.85</v>
      </c>
      <c r="K9" s="162" t="n">
        <f>IFERROR((J9-I9)/I9, "n/a")</f>
        <v>-0.700210378681627</v>
      </c>
      <c r="L9" s="104"/>
      <c r="M9" s="96"/>
      <c r="N9" s="98"/>
      <c r="O9" s="109" t="s">
        <v>47</v>
      </c>
      <c r="P9" s="503" t="s">
        <v>235</v>
      </c>
      <c r="Q9" s="503"/>
      <c r="R9" s="503"/>
      <c r="S9" s="503"/>
      <c r="T9" s="503"/>
      <c r="U9" s="503"/>
      <c r="V9" s="503"/>
      <c r="W9" s="504"/>
      <c r="X9" s="98"/>
      <c r="Y9" s="11" t="s">
        <v>14</v>
      </c>
      <c r="Z9" s="95" t="n">
        <f>Before!Y10</f>
        <v>9.50666666666667</v>
      </c>
      <c r="AA9" s="95" t="n">
        <f>Before!Z10</f>
        <v>12.6</v>
      </c>
      <c r="AB9" s="95" t="n">
        <f>Before!AA10</f>
        <v>0</v>
      </c>
      <c r="AC9" s="95" t="n">
        <f>Before!AB10</f>
        <v>12.6</v>
      </c>
      <c r="AD9" s="95" t="n">
        <f>After!Y10</f>
        <v>2.85</v>
      </c>
      <c r="AE9" s="95" t="n">
        <f>After!Z10</f>
        <v>2.05714285714286</v>
      </c>
      <c r="AF9" s="95" t="n">
        <f>After!AA10</f>
        <v>0</v>
      </c>
      <c r="AG9" s="95" t="n">
        <f>After!AB10</f>
        <v>2.05714285714286</v>
      </c>
    </row>
    <row r="10" spans="1:33" ht="15" customHeight="1" x14ac:dyDescent="0.3">
      <c r="A10" s="96"/>
      <c r="B10" s="103"/>
      <c r="C10" s="476"/>
      <c r="D10" s="515"/>
      <c r="E10" s="516"/>
      <c r="F10" s="517"/>
      <c r="G10" s="98"/>
      <c r="H10" s="163"/>
      <c r="I10" s="164"/>
      <c r="J10" s="164"/>
      <c r="K10" s="165"/>
      <c r="L10" s="104"/>
      <c r="M10" s="96"/>
      <c r="N10" s="98"/>
      <c r="O10" s="103"/>
      <c r="P10" s="505"/>
      <c r="Q10" s="505"/>
      <c r="R10" s="505"/>
      <c r="S10" s="505"/>
      <c r="T10" s="505"/>
      <c r="U10" s="505"/>
      <c r="V10" s="505"/>
      <c r="W10" s="506"/>
      <c r="X10" s="98"/>
    </row>
    <row r="11" spans="1:33" ht="15" customHeight="1" x14ac:dyDescent="0.3">
      <c r="A11" s="96"/>
      <c r="B11" s="103"/>
      <c r="C11" s="476"/>
      <c r="D11" s="515"/>
      <c r="E11" s="516"/>
      <c r="F11" s="517"/>
      <c r="G11" s="98"/>
      <c r="H11" s="166" t="s">
        <v>65</v>
      </c>
      <c r="I11" s="167" t="n">
        <f>AC8</f>
        <v>11</v>
      </c>
      <c r="J11" s="168" t="n">
        <f>AG8</f>
        <v>7</v>
      </c>
      <c r="K11" s="169" t="n">
        <f>IFERROR((J11-I11)/I11, "n/a")</f>
        <v>-0.363636363636364</v>
      </c>
      <c r="L11" s="104"/>
      <c r="M11" s="96"/>
      <c r="N11" s="98"/>
      <c r="O11" s="107"/>
      <c r="P11" s="507"/>
      <c r="Q11" s="507"/>
      <c r="R11" s="507"/>
      <c r="S11" s="507"/>
      <c r="T11" s="507"/>
      <c r="U11" s="507"/>
      <c r="V11" s="507"/>
      <c r="W11" s="508"/>
      <c r="X11" s="98"/>
    </row>
    <row r="12" spans="1:33" ht="15" customHeight="1" x14ac:dyDescent="0.3">
      <c r="A12" s="96"/>
      <c r="B12" s="103"/>
      <c r="C12" s="477"/>
      <c r="D12" s="518"/>
      <c r="E12" s="519"/>
      <c r="F12" s="520"/>
      <c r="G12" s="98"/>
      <c r="H12" s="160" t="s">
        <v>67</v>
      </c>
      <c r="I12" s="161" t="n">
        <f>AC9</f>
        <v>12.6</v>
      </c>
      <c r="J12" s="161" t="n">
        <f>AG9</f>
        <v>2.05714285714286</v>
      </c>
      <c r="K12" s="162" t="n">
        <f>IFERROR((J12-I12)/I12, "n/a")</f>
        <v>-0.836734693877551</v>
      </c>
      <c r="L12" s="104"/>
      <c r="M12" s="96"/>
      <c r="N12" s="98"/>
      <c r="O12" s="521" t="s">
        <v>47</v>
      </c>
      <c r="P12" s="503" t="s">
        <v>196</v>
      </c>
      <c r="Q12" s="503"/>
      <c r="R12" s="503"/>
      <c r="S12" s="503"/>
      <c r="T12" s="503"/>
      <c r="U12" s="503"/>
      <c r="V12" s="503"/>
      <c r="W12" s="504"/>
      <c r="X12" s="98"/>
    </row>
    <row r="13" spans="1:33" ht="15" customHeight="1" x14ac:dyDescent="0.3">
      <c r="A13" s="96"/>
      <c r="B13" s="103"/>
      <c r="C13" s="136" t="s">
        <v>205</v>
      </c>
      <c r="D13" s="492"/>
      <c r="E13" s="493"/>
      <c r="F13" s="494"/>
      <c r="G13" s="98"/>
      <c r="H13" s="163"/>
      <c r="I13" s="164"/>
      <c r="J13" s="164"/>
      <c r="K13" s="165"/>
      <c r="L13" s="104"/>
      <c r="M13" s="96"/>
      <c r="N13" s="98"/>
      <c r="O13" s="522"/>
      <c r="P13" s="505"/>
      <c r="Q13" s="505"/>
      <c r="R13" s="505"/>
      <c r="S13" s="505"/>
      <c r="T13" s="505"/>
      <c r="U13" s="505"/>
      <c r="V13" s="505"/>
      <c r="W13" s="506"/>
      <c r="X13" s="98"/>
    </row>
    <row r="14" spans="1:33" ht="15" customHeight="1" x14ac:dyDescent="0.3">
      <c r="A14" s="96"/>
      <c r="B14" s="103"/>
      <c r="C14" s="135" t="s">
        <v>154</v>
      </c>
      <c r="D14" s="452"/>
      <c r="E14" s="453"/>
      <c r="F14" s="454"/>
      <c r="G14" s="98"/>
      <c r="H14" s="166" t="s">
        <v>68</v>
      </c>
      <c r="I14" s="167" t="n">
        <f>AA8</f>
        <v>11</v>
      </c>
      <c r="J14" s="168" t="n">
        <f>AE8</f>
        <v>7</v>
      </c>
      <c r="K14" s="169" t="n">
        <f>IFERROR((J14-I14)/I14, "n/a")</f>
        <v>-0.363636363636364</v>
      </c>
      <c r="L14" s="104"/>
      <c r="M14" s="96"/>
      <c r="N14" s="98"/>
      <c r="O14" s="523"/>
      <c r="P14" s="507"/>
      <c r="Q14" s="507"/>
      <c r="R14" s="507"/>
      <c r="S14" s="507"/>
      <c r="T14" s="507"/>
      <c r="U14" s="507"/>
      <c r="V14" s="507"/>
      <c r="W14" s="508"/>
      <c r="X14" s="98"/>
    </row>
    <row r="15" spans="1:33" ht="15" customHeight="1" x14ac:dyDescent="0.3">
      <c r="A15" s="96"/>
      <c r="B15" s="103"/>
      <c r="C15" s="135" t="s">
        <v>155</v>
      </c>
      <c r="D15" s="452"/>
      <c r="E15" s="453"/>
      <c r="F15" s="454"/>
      <c r="G15" s="98"/>
      <c r="H15" s="160" t="s">
        <v>69</v>
      </c>
      <c r="I15" s="161" t="n">
        <f>AA9</f>
        <v>12.6</v>
      </c>
      <c r="J15" s="161" t="n">
        <f>AE9</f>
        <v>2.05714285714286</v>
      </c>
      <c r="K15" s="162" t="n">
        <f>IFERROR((J15-I15)/I15, "n/a")</f>
        <v>-0.836734693877551</v>
      </c>
      <c r="L15" s="104"/>
      <c r="M15" s="96"/>
      <c r="N15" s="98"/>
      <c r="O15" s="109" t="s">
        <v>47</v>
      </c>
      <c r="P15" s="503" t="s">
        <v>173</v>
      </c>
      <c r="Q15" s="503"/>
      <c r="R15" s="503"/>
      <c r="S15" s="503"/>
      <c r="T15" s="503"/>
      <c r="U15" s="503"/>
      <c r="V15" s="503"/>
      <c r="W15" s="504"/>
      <c r="X15" s="98"/>
    </row>
    <row r="16" spans="1:33" ht="15" customHeight="1" x14ac:dyDescent="0.3">
      <c r="A16" s="96"/>
      <c r="B16" s="103"/>
      <c r="C16" s="135" t="s">
        <v>156</v>
      </c>
      <c r="D16" s="452"/>
      <c r="E16" s="453"/>
      <c r="F16" s="454"/>
      <c r="G16" s="98"/>
      <c r="H16" s="163"/>
      <c r="I16" s="170"/>
      <c r="J16" s="170"/>
      <c r="K16" s="171"/>
      <c r="L16" s="104"/>
      <c r="M16" s="96"/>
      <c r="N16" s="98"/>
      <c r="O16" s="103"/>
      <c r="P16" s="505"/>
      <c r="Q16" s="505"/>
      <c r="R16" s="505"/>
      <c r="S16" s="505"/>
      <c r="T16" s="505"/>
      <c r="U16" s="505"/>
      <c r="V16" s="505"/>
      <c r="W16" s="506"/>
      <c r="X16" s="98"/>
    </row>
    <row r="17" spans="1:24" ht="15" customHeight="1" x14ac:dyDescent="0.3">
      <c r="A17" s="96"/>
      <c r="B17" s="103"/>
      <c r="C17" s="132"/>
      <c r="D17" s="105"/>
      <c r="E17" s="105"/>
      <c r="F17" s="105"/>
      <c r="G17" s="98"/>
      <c r="H17" s="166" t="s">
        <v>110</v>
      </c>
      <c r="I17" s="167" t="n">
        <f>AB8</f>
        <v>0</v>
      </c>
      <c r="J17" s="168" t="n">
        <f>AF8</f>
        <v>0</v>
      </c>
      <c r="K17" s="169" t="str">
        <f>IFERROR((J17-I17)/I17, "n/a")</f>
        <v>n/a</v>
      </c>
      <c r="L17" s="104"/>
      <c r="M17" s="96"/>
      <c r="N17" s="98"/>
      <c r="O17" s="107"/>
      <c r="P17" s="507"/>
      <c r="Q17" s="507"/>
      <c r="R17" s="507"/>
      <c r="S17" s="507"/>
      <c r="T17" s="507"/>
      <c r="U17" s="507"/>
      <c r="V17" s="507"/>
      <c r="W17" s="508"/>
      <c r="X17" s="98"/>
    </row>
    <row r="18" spans="1:24" ht="15" customHeight="1" x14ac:dyDescent="0.3">
      <c r="A18" s="96"/>
      <c r="B18" s="103"/>
      <c r="C18" s="475" t="s">
        <v>158</v>
      </c>
      <c r="D18" s="512"/>
      <c r="E18" s="513"/>
      <c r="F18" s="514"/>
      <c r="G18" s="98"/>
      <c r="H18" s="160" t="s">
        <v>111</v>
      </c>
      <c r="I18" s="161" t="n">
        <f>AB9</f>
        <v>0</v>
      </c>
      <c r="J18" s="161" t="n">
        <f>AF9</f>
        <v>0</v>
      </c>
      <c r="K18" s="162" t="str">
        <f>IFERROR((J18-I18)/I18, "n/a")</f>
        <v>n/a</v>
      </c>
      <c r="L18" s="104"/>
      <c r="M18" s="96"/>
      <c r="N18" s="98"/>
      <c r="O18" s="109" t="s">
        <v>47</v>
      </c>
      <c r="P18" s="524" t="s">
        <v>199</v>
      </c>
      <c r="Q18" s="524"/>
      <c r="R18" s="524"/>
      <c r="S18" s="524"/>
      <c r="T18" s="524"/>
      <c r="U18" s="524"/>
      <c r="V18" s="524"/>
      <c r="W18" s="525"/>
      <c r="X18" s="98"/>
    </row>
    <row r="19" spans="1:24" ht="15" customHeight="1" x14ac:dyDescent="0.3">
      <c r="A19" s="96"/>
      <c r="B19" s="103"/>
      <c r="C19" s="476"/>
      <c r="D19" s="515"/>
      <c r="E19" s="516"/>
      <c r="F19" s="517"/>
      <c r="G19" s="98"/>
      <c r="H19" s="163"/>
      <c r="I19" s="170"/>
      <c r="J19" s="170"/>
      <c r="K19" s="171"/>
      <c r="L19" s="104"/>
      <c r="M19" s="96"/>
      <c r="N19" s="98"/>
      <c r="O19" s="28"/>
      <c r="P19" s="526"/>
      <c r="Q19" s="526"/>
      <c r="R19" s="526"/>
      <c r="S19" s="526"/>
      <c r="T19" s="526"/>
      <c r="U19" s="526"/>
      <c r="V19" s="526"/>
      <c r="W19" s="527"/>
      <c r="X19" s="98"/>
    </row>
    <row r="20" spans="1:24" ht="15" customHeight="1" thickBot="1" x14ac:dyDescent="0.35">
      <c r="A20" s="96"/>
      <c r="B20" s="103"/>
      <c r="C20" s="476"/>
      <c r="D20" s="515"/>
      <c r="E20" s="516"/>
      <c r="F20" s="517"/>
      <c r="G20" s="98"/>
      <c r="H20" s="166" t="str">
        <f>"Volume ("&amp;'Evaluation Set-up'!$N$5&amp;", "&amp;'Evaluation Set-up'!$N$6&amp;")"</f>
        <v>Volume (2019, 2022)</v>
      </c>
      <c r="I20" s="172" t="n">
        <f>'Evaluation Set-up'!$R$5</f>
        <v>5100</v>
      </c>
      <c r="J20" s="172" t="n">
        <f>'Evaluation Set-up'!$R$6</f>
        <v>4200</v>
      </c>
      <c r="K20" s="169" t="n">
        <f>IFERROR((J20-I20)/I20, "n/a")</f>
        <v>-0.176470588235294</v>
      </c>
      <c r="L20" s="104"/>
      <c r="M20" s="96"/>
      <c r="N20" s="98"/>
      <c r="O20" s="110"/>
      <c r="P20" s="528"/>
      <c r="Q20" s="528"/>
      <c r="R20" s="528"/>
      <c r="S20" s="528"/>
      <c r="T20" s="528"/>
      <c r="U20" s="528"/>
      <c r="V20" s="528"/>
      <c r="W20" s="529"/>
      <c r="X20" s="98"/>
    </row>
    <row r="21" spans="1:24" ht="15" customHeight="1" x14ac:dyDescent="0.3">
      <c r="A21" s="96"/>
      <c r="B21" s="103"/>
      <c r="C21" s="476"/>
      <c r="D21" s="515"/>
      <c r="E21" s="516"/>
      <c r="F21" s="517"/>
      <c r="G21" s="98"/>
      <c r="H21" s="147"/>
      <c r="I21" s="148"/>
      <c r="J21" s="148"/>
      <c r="K21" s="149"/>
      <c r="L21" s="104"/>
      <c r="M21" s="96"/>
      <c r="N21" s="98"/>
      <c r="O21" s="72"/>
      <c r="P21" s="111"/>
      <c r="Q21" s="111"/>
      <c r="R21" s="111"/>
      <c r="S21" s="111"/>
      <c r="T21" s="16"/>
      <c r="U21" s="16"/>
      <c r="V21" s="16"/>
      <c r="W21" s="16"/>
      <c r="X21" s="98"/>
    </row>
    <row r="22" spans="1:24" ht="15" customHeight="1" x14ac:dyDescent="0.3">
      <c r="A22" s="96"/>
      <c r="B22" s="103"/>
      <c r="C22" s="477"/>
      <c r="D22" s="518"/>
      <c r="E22" s="519"/>
      <c r="F22" s="520"/>
      <c r="G22" s="98"/>
      <c r="H22" s="431" t="s">
        <v>24</v>
      </c>
      <c r="I22" s="433" t="s">
        <v>16</v>
      </c>
      <c r="J22" s="433" t="s">
        <v>17</v>
      </c>
      <c r="K22" s="435" t="s">
        <v>25</v>
      </c>
      <c r="L22" s="104"/>
      <c r="M22" s="96"/>
      <c r="N22" s="98"/>
      <c r="O22" s="112" t="s">
        <v>174</v>
      </c>
      <c r="P22" s="111"/>
      <c r="Q22" s="111"/>
      <c r="R22" s="111"/>
      <c r="S22" s="111"/>
      <c r="T22" s="16"/>
      <c r="U22" s="16"/>
      <c r="V22" s="16"/>
      <c r="W22" s="16"/>
      <c r="X22" s="98"/>
    </row>
    <row r="23" spans="1:24" ht="15" customHeight="1" x14ac:dyDescent="0.3">
      <c r="A23" s="96"/>
      <c r="B23" s="103"/>
      <c r="C23" s="106" t="s">
        <v>204</v>
      </c>
      <c r="D23" s="498"/>
      <c r="E23" s="499"/>
      <c r="F23" s="500"/>
      <c r="G23" s="98"/>
      <c r="H23" s="432"/>
      <c r="I23" s="434"/>
      <c r="J23" s="434"/>
      <c r="K23" s="436"/>
      <c r="L23" s="104"/>
      <c r="M23" s="96"/>
      <c r="N23" s="98"/>
      <c r="O23" s="114">
        <v>1</v>
      </c>
      <c r="P23" s="509" t="s">
        <v>175</v>
      </c>
      <c r="Q23" s="509"/>
      <c r="R23" s="509"/>
      <c r="S23" s="509"/>
      <c r="T23" s="509"/>
      <c r="U23" s="509"/>
      <c r="V23" s="509"/>
      <c r="W23" s="509"/>
      <c r="X23" s="98"/>
    </row>
    <row r="24" spans="1:24" ht="15" customHeight="1" x14ac:dyDescent="0.3">
      <c r="A24" s="96"/>
      <c r="B24" s="103"/>
      <c r="C24" s="106" t="s">
        <v>206</v>
      </c>
      <c r="D24" s="495"/>
      <c r="E24" s="496"/>
      <c r="F24" s="497"/>
      <c r="G24" s="98"/>
      <c r="H24" s="138" t="s">
        <v>121</v>
      </c>
      <c r="I24" s="140" t="n">
        <f>Z3</f>
        <v>0</v>
      </c>
      <c r="J24" s="140" t="n">
        <f>AD3</f>
        <v>0</v>
      </c>
      <c r="K24" s="141" t="str">
        <f>IFERROR((J24-I24)/I24, "n/a")</f>
        <v>n/a</v>
      </c>
      <c r="L24" s="104"/>
      <c r="M24" s="96"/>
      <c r="N24" s="98"/>
      <c r="O24" s="113">
        <v>2</v>
      </c>
      <c r="P24" s="509" t="s">
        <v>176</v>
      </c>
      <c r="Q24" s="509"/>
      <c r="R24" s="509"/>
      <c r="S24" s="509"/>
      <c r="T24" s="509"/>
      <c r="U24" s="509"/>
      <c r="V24" s="509"/>
      <c r="W24" s="509"/>
      <c r="X24" s="98"/>
    </row>
    <row r="25" spans="1:24" ht="15" customHeight="1" x14ac:dyDescent="0.3">
      <c r="A25" s="96"/>
      <c r="B25" s="103"/>
      <c r="C25" s="132"/>
      <c r="D25" s="105"/>
      <c r="E25" s="105"/>
      <c r="F25" s="105"/>
      <c r="G25" s="98"/>
      <c r="H25" s="138" t="s">
        <v>122</v>
      </c>
      <c r="I25" s="140" t="n">
        <f>Z4</f>
        <v>1</v>
      </c>
      <c r="J25" s="140" t="n">
        <f>AD4</f>
        <v>0</v>
      </c>
      <c r="K25" s="141" t="n">
        <f t="shared" ref="K25:K28" si="0">IFERROR((J25-I25)/I25, "n/a")</f>
        <v>-1</v>
      </c>
      <c r="L25" s="104"/>
      <c r="M25" s="96"/>
      <c r="N25" s="98"/>
      <c r="O25" s="459">
        <v>3</v>
      </c>
      <c r="P25" s="510" t="s">
        <v>177</v>
      </c>
      <c r="Q25" s="510"/>
      <c r="R25" s="510"/>
      <c r="S25" s="510"/>
      <c r="T25" s="510"/>
      <c r="U25" s="510"/>
      <c r="V25" s="510"/>
      <c r="W25" s="510"/>
      <c r="X25" s="98"/>
    </row>
    <row r="26" spans="1:24" ht="15" customHeight="1" x14ac:dyDescent="0.3">
      <c r="A26" s="96"/>
      <c r="B26" s="103"/>
      <c r="C26" s="132"/>
      <c r="D26" s="113" t="s">
        <v>159</v>
      </c>
      <c r="E26" s="113" t="s">
        <v>160</v>
      </c>
      <c r="F26" s="113" t="s">
        <v>161</v>
      </c>
      <c r="G26" s="98"/>
      <c r="H26" s="138" t="s">
        <v>123</v>
      </c>
      <c r="I26" s="140" t="n">
        <f>Z5</f>
        <v>3</v>
      </c>
      <c r="J26" s="140" t="n">
        <f>AD5</f>
        <v>0</v>
      </c>
      <c r="K26" s="141" t="n">
        <f>IFERROR((J26-I26)/I26, "n/a")</f>
        <v>-1</v>
      </c>
      <c r="L26" s="104"/>
      <c r="M26" s="96"/>
      <c r="N26" s="98"/>
      <c r="O26" s="459"/>
      <c r="P26" s="510"/>
      <c r="Q26" s="510"/>
      <c r="R26" s="510"/>
      <c r="S26" s="510"/>
      <c r="T26" s="510"/>
      <c r="U26" s="510"/>
      <c r="V26" s="510"/>
      <c r="W26" s="510"/>
      <c r="X26" s="98"/>
    </row>
    <row r="27" spans="1:24" ht="15" customHeight="1" x14ac:dyDescent="0.3">
      <c r="A27" s="96"/>
      <c r="B27" s="103"/>
      <c r="C27" s="135" t="s">
        <v>119</v>
      </c>
      <c r="D27" s="137" t="n">
        <f>'Evaluation Set-up'!D9</f>
        <v>42461</v>
      </c>
      <c r="E27" s="137" t="n">
        <f>'Evaluation Set-up'!E9</f>
        <v>44286</v>
      </c>
      <c r="F27" s="113" t="str">
        <f>'Evaluation Set-up'!F9&amp;"y, "&amp;'Evaluation Set-up'!G9&amp;"m"</f>
        <v>5y, 0m</v>
      </c>
      <c r="G27" s="98"/>
      <c r="H27" s="138" t="s">
        <v>26</v>
      </c>
      <c r="I27" s="140" t="n">
        <f>Z6</f>
        <v>4</v>
      </c>
      <c r="J27" s="140" t="n">
        <f>AD6</f>
        <v>2</v>
      </c>
      <c r="K27" s="141" t="n">
        <f t="shared" si="0"/>
        <v>-0.5</v>
      </c>
      <c r="L27" s="104"/>
      <c r="M27" s="96"/>
      <c r="N27" s="98"/>
      <c r="O27" s="459">
        <v>4</v>
      </c>
      <c r="P27" s="510" t="s">
        <v>178</v>
      </c>
      <c r="Q27" s="510"/>
      <c r="R27" s="510"/>
      <c r="S27" s="510"/>
      <c r="T27" s="510"/>
      <c r="U27" s="510"/>
      <c r="V27" s="510"/>
      <c r="W27" s="510"/>
      <c r="X27" s="98"/>
    </row>
    <row r="28" spans="1:24" ht="15" customHeight="1" x14ac:dyDescent="0.3">
      <c r="A28" s="96"/>
      <c r="B28" s="103"/>
      <c r="C28" s="135" t="s">
        <v>162</v>
      </c>
      <c r="D28" s="137" t="n">
        <f>'Evaluation Set-up'!D10</f>
        <v>44287</v>
      </c>
      <c r="E28" s="137" t="n">
        <f>'Evaluation Set-up'!E10</f>
        <v>44377</v>
      </c>
      <c r="F28" s="113" t="str">
        <f>'Evaluation Set-up'!F10&amp;"y, "&amp;'Evaluation Set-up'!G10&amp;"m"</f>
        <v>0y, 3m</v>
      </c>
      <c r="G28" s="98"/>
      <c r="H28" s="138" t="s">
        <v>27</v>
      </c>
      <c r="I28" s="140" t="n">
        <f>Z7</f>
        <v>7</v>
      </c>
      <c r="J28" s="140" t="n">
        <f>AD7</f>
        <v>6</v>
      </c>
      <c r="K28" s="141" t="n">
        <f t="shared" si="0"/>
        <v>-0.142857142857143</v>
      </c>
      <c r="L28" s="104"/>
      <c r="M28" s="96"/>
      <c r="N28" s="98"/>
      <c r="O28" s="459"/>
      <c r="P28" s="510"/>
      <c r="Q28" s="510"/>
      <c r="R28" s="510"/>
      <c r="S28" s="510"/>
      <c r="T28" s="510"/>
      <c r="U28" s="510"/>
      <c r="V28" s="510"/>
      <c r="W28" s="510"/>
      <c r="X28" s="98"/>
    </row>
    <row r="29" spans="1:24" ht="15" customHeight="1" x14ac:dyDescent="0.3">
      <c r="A29" s="96"/>
      <c r="B29" s="103"/>
      <c r="C29" s="135" t="s">
        <v>120</v>
      </c>
      <c r="D29" s="137" t="n">
        <f>'Evaluation Set-up'!D11</f>
        <v>44378</v>
      </c>
      <c r="E29" s="137" t="n">
        <f>'Evaluation Set-up'!E11</f>
        <v>46203</v>
      </c>
      <c r="F29" s="113" t="str">
        <f>'Evaluation Set-up'!F11&amp;"y, "&amp;'Evaluation Set-up'!G11&amp;"m"</f>
        <v>5y, 0m</v>
      </c>
      <c r="G29" s="98"/>
      <c r="H29" s="98"/>
      <c r="I29" s="98"/>
      <c r="J29" s="98"/>
      <c r="K29" s="98"/>
      <c r="L29" s="104"/>
      <c r="M29" s="96"/>
      <c r="N29" s="98"/>
      <c r="O29" s="459">
        <v>5</v>
      </c>
      <c r="P29" s="510" t="s">
        <v>202</v>
      </c>
      <c r="Q29" s="510"/>
      <c r="R29" s="510"/>
      <c r="S29" s="510"/>
      <c r="T29" s="510"/>
      <c r="U29" s="510"/>
      <c r="V29" s="510"/>
      <c r="W29" s="510"/>
      <c r="X29" s="98"/>
    </row>
    <row r="30" spans="1:24" ht="15" customHeight="1" x14ac:dyDescent="0.3">
      <c r="A30" s="96"/>
      <c r="B30" s="103"/>
      <c r="C30" s="132"/>
      <c r="D30" s="105"/>
      <c r="E30" s="105"/>
      <c r="F30" s="105"/>
      <c r="G30" s="98"/>
      <c r="H30" s="461" t="s">
        <v>200</v>
      </c>
      <c r="I30" s="433" t="s">
        <v>16</v>
      </c>
      <c r="J30" s="433" t="s">
        <v>17</v>
      </c>
      <c r="K30" s="435" t="s">
        <v>25</v>
      </c>
      <c r="L30" s="104"/>
      <c r="M30" s="96"/>
      <c r="N30" s="98"/>
      <c r="O30" s="459"/>
      <c r="P30" s="510"/>
      <c r="Q30" s="510"/>
      <c r="R30" s="510"/>
      <c r="S30" s="510"/>
      <c r="T30" s="510"/>
      <c r="U30" s="510"/>
      <c r="V30" s="510"/>
      <c r="W30" s="510"/>
      <c r="X30" s="98"/>
    </row>
    <row r="31" spans="1:24" ht="15" customHeight="1" x14ac:dyDescent="0.3">
      <c r="A31" s="96"/>
      <c r="B31" s="103"/>
      <c r="C31" s="478" t="s">
        <v>171</v>
      </c>
      <c r="D31" s="512"/>
      <c r="E31" s="513"/>
      <c r="F31" s="514"/>
      <c r="G31" s="98"/>
      <c r="H31" s="462"/>
      <c r="I31" s="434"/>
      <c r="J31" s="434"/>
      <c r="K31" s="436"/>
      <c r="L31" s="104"/>
      <c r="M31" s="96"/>
      <c r="N31" s="98"/>
      <c r="O31" s="459"/>
      <c r="P31" s="510"/>
      <c r="Q31" s="510"/>
      <c r="R31" s="510"/>
      <c r="S31" s="510"/>
      <c r="T31" s="510"/>
      <c r="U31" s="510"/>
      <c r="V31" s="510"/>
      <c r="W31" s="510"/>
      <c r="X31" s="98"/>
    </row>
    <row r="32" spans="1:24" ht="15" customHeight="1" x14ac:dyDescent="0.3">
      <c r="A32" s="96"/>
      <c r="B32" s="103"/>
      <c r="C32" s="479"/>
      <c r="D32" s="515"/>
      <c r="E32" s="516"/>
      <c r="F32" s="517"/>
      <c r="G32" s="98"/>
      <c r="H32" s="138" t="s">
        <v>121</v>
      </c>
      <c r="I32" s="140" t="n">
        <f>AC3</f>
        <v>0</v>
      </c>
      <c r="J32" s="140" t="n">
        <f>AG3</f>
        <v>0</v>
      </c>
      <c r="K32" s="141" t="str">
        <f>IFERROR((J32-I32)/I32, "n/a")</f>
        <v>n/a</v>
      </c>
      <c r="L32" s="104"/>
      <c r="M32" s="96"/>
      <c r="N32" s="98"/>
      <c r="O32" s="459"/>
      <c r="P32" s="510"/>
      <c r="Q32" s="510"/>
      <c r="R32" s="510"/>
      <c r="S32" s="510"/>
      <c r="T32" s="510"/>
      <c r="U32" s="510"/>
      <c r="V32" s="510"/>
      <c r="W32" s="510"/>
      <c r="X32" s="98"/>
    </row>
    <row r="33" spans="1:24" ht="15" customHeight="1" x14ac:dyDescent="0.3">
      <c r="A33" s="96"/>
      <c r="B33" s="103"/>
      <c r="C33" s="479"/>
      <c r="D33" s="515"/>
      <c r="E33" s="516"/>
      <c r="F33" s="517"/>
      <c r="G33" s="98"/>
      <c r="H33" s="138" t="s">
        <v>122</v>
      </c>
      <c r="I33" s="140" t="n">
        <f>AC4</f>
        <v>1</v>
      </c>
      <c r="J33" s="140" t="n">
        <f>AG4</f>
        <v>0</v>
      </c>
      <c r="K33" s="141" t="n">
        <f t="shared" ref="K33:K36" si="1">IFERROR((J33-I33)/I33, "n/a")</f>
        <v>-1</v>
      </c>
      <c r="L33" s="104"/>
      <c r="M33" s="96"/>
      <c r="N33" s="98"/>
      <c r="O33" s="459"/>
      <c r="P33" s="511"/>
      <c r="Q33" s="511"/>
      <c r="R33" s="511"/>
      <c r="S33" s="511"/>
      <c r="T33" s="511"/>
      <c r="U33" s="511"/>
      <c r="V33" s="511"/>
      <c r="W33" s="511"/>
      <c r="X33" s="98"/>
    </row>
    <row r="34" spans="1:24" ht="15" customHeight="1" x14ac:dyDescent="0.3">
      <c r="A34" s="96"/>
      <c r="B34" s="103"/>
      <c r="C34" s="479"/>
      <c r="D34" s="515"/>
      <c r="E34" s="516"/>
      <c r="F34" s="517"/>
      <c r="G34" s="98"/>
      <c r="H34" s="138" t="s">
        <v>123</v>
      </c>
      <c r="I34" s="140" t="n">
        <f>AC5</f>
        <v>3</v>
      </c>
      <c r="J34" s="140" t="n">
        <f>AG5</f>
        <v>0</v>
      </c>
      <c r="K34" s="141" t="n">
        <f t="shared" si="1"/>
        <v>-1</v>
      </c>
      <c r="L34" s="104"/>
      <c r="M34" s="96"/>
      <c r="N34" s="98"/>
      <c r="O34" s="452"/>
      <c r="P34" s="539" t="s">
        <v>47</v>
      </c>
      <c r="Q34" s="542"/>
      <c r="R34" s="542"/>
      <c r="S34" s="542"/>
      <c r="T34" s="542"/>
      <c r="U34" s="542"/>
      <c r="V34" s="542"/>
      <c r="W34" s="543"/>
      <c r="X34" s="98"/>
    </row>
    <row r="35" spans="1:24" ht="15" customHeight="1" x14ac:dyDescent="0.3">
      <c r="A35" s="96"/>
      <c r="B35" s="103"/>
      <c r="C35" s="480"/>
      <c r="D35" s="518"/>
      <c r="E35" s="519"/>
      <c r="F35" s="520"/>
      <c r="G35" s="98"/>
      <c r="H35" s="138" t="s">
        <v>26</v>
      </c>
      <c r="I35" s="140" t="n">
        <f>AC6</f>
        <v>4</v>
      </c>
      <c r="J35" s="140" t="n">
        <f>AG6</f>
        <v>1</v>
      </c>
      <c r="K35" s="141" t="n">
        <f t="shared" si="1"/>
        <v>-0.75</v>
      </c>
      <c r="L35" s="104"/>
      <c r="M35" s="96"/>
      <c r="N35" s="98"/>
      <c r="O35" s="452"/>
      <c r="P35" s="540"/>
      <c r="Q35" s="544"/>
      <c r="R35" s="544"/>
      <c r="S35" s="544"/>
      <c r="T35" s="544"/>
      <c r="U35" s="544"/>
      <c r="V35" s="544"/>
      <c r="W35" s="545"/>
      <c r="X35" s="98"/>
    </row>
    <row r="36" spans="1:24" ht="15" customHeight="1" x14ac:dyDescent="0.3">
      <c r="A36" s="96"/>
      <c r="B36" s="103"/>
      <c r="C36" s="132"/>
      <c r="D36" s="98"/>
      <c r="E36" s="98"/>
      <c r="F36" s="98"/>
      <c r="G36" s="98"/>
      <c r="H36" s="138" t="s">
        <v>27</v>
      </c>
      <c r="I36" s="140" t="n">
        <f>AC7</f>
        <v>3</v>
      </c>
      <c r="J36" s="140" t="n">
        <f>AG7</f>
        <v>6</v>
      </c>
      <c r="K36" s="141" t="n">
        <f t="shared" si="1"/>
        <v>1</v>
      </c>
      <c r="L36" s="104"/>
      <c r="M36" s="96"/>
      <c r="N36" s="98"/>
      <c r="O36" s="452"/>
      <c r="P36" s="540"/>
      <c r="Q36" s="544"/>
      <c r="R36" s="544"/>
      <c r="S36" s="544"/>
      <c r="T36" s="544"/>
      <c r="U36" s="544"/>
      <c r="V36" s="544"/>
      <c r="W36" s="545"/>
      <c r="X36" s="98"/>
    </row>
    <row r="37" spans="1:24" ht="15" customHeight="1" x14ac:dyDescent="0.3">
      <c r="A37" s="96"/>
      <c r="B37" s="103"/>
      <c r="C37" s="475" t="s">
        <v>181</v>
      </c>
      <c r="D37" s="512"/>
      <c r="E37" s="513"/>
      <c r="F37" s="514"/>
      <c r="G37" s="98"/>
      <c r="H37" s="98"/>
      <c r="I37" s="98"/>
      <c r="J37" s="98"/>
      <c r="K37" s="98"/>
      <c r="L37" s="104"/>
      <c r="M37" s="96"/>
      <c r="N37" s="117"/>
      <c r="O37" s="452"/>
      <c r="P37" s="540"/>
      <c r="Q37" s="544"/>
      <c r="R37" s="544"/>
      <c r="S37" s="544"/>
      <c r="T37" s="544"/>
      <c r="U37" s="544"/>
      <c r="V37" s="544"/>
      <c r="W37" s="545"/>
      <c r="X37" s="117"/>
    </row>
    <row r="38" spans="1:24" ht="15" customHeight="1" x14ac:dyDescent="0.3">
      <c r="A38" s="96"/>
      <c r="B38" s="103"/>
      <c r="C38" s="476"/>
      <c r="D38" s="515"/>
      <c r="E38" s="516"/>
      <c r="F38" s="517"/>
      <c r="G38" s="98"/>
      <c r="H38" s="461" t="s">
        <v>28</v>
      </c>
      <c r="I38" s="435" t="s">
        <v>16</v>
      </c>
      <c r="J38" s="435" t="s">
        <v>17</v>
      </c>
      <c r="K38" s="435" t="s">
        <v>29</v>
      </c>
      <c r="L38" s="104"/>
      <c r="M38" s="96"/>
      <c r="N38" s="98"/>
      <c r="O38" s="452"/>
      <c r="P38" s="540"/>
      <c r="Q38" s="544"/>
      <c r="R38" s="544"/>
      <c r="S38" s="544"/>
      <c r="T38" s="544"/>
      <c r="U38" s="544"/>
      <c r="V38" s="544"/>
      <c r="W38" s="545"/>
      <c r="X38" s="98"/>
    </row>
    <row r="39" spans="1:24" ht="15" customHeight="1" x14ac:dyDescent="0.3">
      <c r="A39" s="96"/>
      <c r="B39" s="103"/>
      <c r="C39" s="476"/>
      <c r="D39" s="515"/>
      <c r="E39" s="516"/>
      <c r="F39" s="517"/>
      <c r="G39" s="98"/>
      <c r="H39" s="462"/>
      <c r="I39" s="436"/>
      <c r="J39" s="436"/>
      <c r="K39" s="436"/>
      <c r="L39" s="104"/>
      <c r="M39" s="96"/>
      <c r="N39" s="98"/>
      <c r="O39" s="452"/>
      <c r="P39" s="540"/>
      <c r="Q39" s="544"/>
      <c r="R39" s="544"/>
      <c r="S39" s="544"/>
      <c r="T39" s="544"/>
      <c r="U39" s="544"/>
      <c r="V39" s="544"/>
      <c r="W39" s="545"/>
      <c r="X39" s="98"/>
    </row>
    <row r="40" spans="1:24" ht="15" customHeight="1" x14ac:dyDescent="0.3">
      <c r="A40" s="96"/>
      <c r="B40" s="103"/>
      <c r="C40" s="476"/>
      <c r="D40" s="515"/>
      <c r="E40" s="516"/>
      <c r="F40" s="517"/>
      <c r="G40" s="98"/>
      <c r="H40" s="150" t="s">
        <v>170</v>
      </c>
      <c r="I40" s="140"/>
      <c r="J40" s="140"/>
      <c r="K40" s="141" t="str">
        <f>IFERROR((J40-I40)/I40, "n/a")</f>
        <v>n/a</v>
      </c>
      <c r="L40" s="104"/>
      <c r="M40" s="96"/>
      <c r="N40" s="98"/>
      <c r="O40" s="452"/>
      <c r="P40" s="540"/>
      <c r="Q40" s="544"/>
      <c r="R40" s="544"/>
      <c r="S40" s="544"/>
      <c r="T40" s="544"/>
      <c r="U40" s="544"/>
      <c r="V40" s="544"/>
      <c r="W40" s="545"/>
      <c r="X40" s="98"/>
    </row>
    <row r="41" spans="1:24" ht="15" customHeight="1" x14ac:dyDescent="0.3">
      <c r="A41" s="96"/>
      <c r="B41" s="103"/>
      <c r="C41" s="477"/>
      <c r="D41" s="518"/>
      <c r="E41" s="519"/>
      <c r="F41" s="520"/>
      <c r="G41" s="98"/>
      <c r="H41" s="150" t="s">
        <v>170</v>
      </c>
      <c r="I41" s="140"/>
      <c r="J41" s="140"/>
      <c r="K41" s="141" t="str">
        <f t="shared" ref="K41" si="2">IFERROR((J41-I41)/I41, "n/a")</f>
        <v>n/a</v>
      </c>
      <c r="L41" s="104"/>
      <c r="M41" s="96"/>
      <c r="N41" s="98"/>
      <c r="O41" s="452"/>
      <c r="P41" s="540"/>
      <c r="Q41" s="544"/>
      <c r="R41" s="544"/>
      <c r="S41" s="544"/>
      <c r="T41" s="544"/>
      <c r="U41" s="544"/>
      <c r="V41" s="544"/>
      <c r="W41" s="545"/>
      <c r="X41" s="98"/>
    </row>
    <row r="42" spans="1:24" ht="15" customHeight="1" x14ac:dyDescent="0.3">
      <c r="A42" s="96"/>
      <c r="B42" s="103"/>
      <c r="C42" s="132"/>
      <c r="D42" s="134"/>
      <c r="E42" s="134"/>
      <c r="F42" s="134"/>
      <c r="G42" s="98"/>
      <c r="H42" s="150" t="s">
        <v>170</v>
      </c>
      <c r="I42" s="140"/>
      <c r="J42" s="140"/>
      <c r="K42" s="141" t="str">
        <f>IFERROR((J42-I42)/I42, "n/a")</f>
        <v>n/a</v>
      </c>
      <c r="L42" s="104"/>
      <c r="M42" s="96"/>
      <c r="N42" s="98"/>
      <c r="O42" s="452"/>
      <c r="P42" s="540"/>
      <c r="Q42" s="544"/>
      <c r="R42" s="544"/>
      <c r="S42" s="544"/>
      <c r="T42" s="544"/>
      <c r="U42" s="544"/>
      <c r="V42" s="544"/>
      <c r="W42" s="545"/>
      <c r="X42" s="98"/>
    </row>
    <row r="43" spans="1:24" ht="15" customHeight="1" x14ac:dyDescent="0.3">
      <c r="A43" s="96"/>
      <c r="B43" s="103"/>
      <c r="C43" s="475" t="s">
        <v>182</v>
      </c>
      <c r="D43" s="512"/>
      <c r="E43" s="513"/>
      <c r="F43" s="514"/>
      <c r="G43" s="98"/>
      <c r="H43" s="150" t="s">
        <v>170</v>
      </c>
      <c r="I43" s="140"/>
      <c r="J43" s="140"/>
      <c r="K43" s="141" t="str">
        <f t="shared" ref="K43" si="3">IFERROR((J43-I43)/I43, "n/a")</f>
        <v>n/a</v>
      </c>
      <c r="L43" s="104"/>
      <c r="M43" s="96"/>
      <c r="N43" s="98"/>
      <c r="O43" s="452"/>
      <c r="P43" s="540"/>
      <c r="Q43" s="544"/>
      <c r="R43" s="544"/>
      <c r="S43" s="544"/>
      <c r="T43" s="544"/>
      <c r="U43" s="544"/>
      <c r="V43" s="544"/>
      <c r="W43" s="545"/>
      <c r="X43" s="98"/>
    </row>
    <row r="44" spans="1:24" ht="15" customHeight="1" x14ac:dyDescent="0.3">
      <c r="A44" s="96"/>
      <c r="B44" s="103"/>
      <c r="C44" s="476"/>
      <c r="D44" s="515"/>
      <c r="E44" s="516"/>
      <c r="F44" s="517"/>
      <c r="G44" s="98"/>
      <c r="H44" s="151"/>
      <c r="I44" s="134"/>
      <c r="J44" s="134"/>
      <c r="K44" s="149"/>
      <c r="L44" s="104"/>
      <c r="M44" s="96"/>
      <c r="N44" s="98"/>
      <c r="O44" s="452"/>
      <c r="P44" s="540"/>
      <c r="Q44" s="544"/>
      <c r="R44" s="544"/>
      <c r="S44" s="544"/>
      <c r="T44" s="544"/>
      <c r="U44" s="544"/>
      <c r="V44" s="544"/>
      <c r="W44" s="545"/>
      <c r="X44" s="98"/>
    </row>
    <row r="45" spans="1:24" s="92" customFormat="1" ht="18" customHeight="1" x14ac:dyDescent="0.3">
      <c r="A45" s="96"/>
      <c r="B45" s="103"/>
      <c r="C45" s="476"/>
      <c r="D45" s="515"/>
      <c r="E45" s="516"/>
      <c r="F45" s="517"/>
      <c r="G45" s="98"/>
      <c r="H45" s="460" t="s">
        <v>163</v>
      </c>
      <c r="I45" s="460"/>
      <c r="J45" s="460"/>
      <c r="K45" s="460"/>
      <c r="L45" s="118"/>
      <c r="M45" s="115"/>
      <c r="N45" s="98"/>
      <c r="O45" s="452"/>
      <c r="P45" s="540"/>
      <c r="Q45" s="544"/>
      <c r="R45" s="544"/>
      <c r="S45" s="544"/>
      <c r="T45" s="544"/>
      <c r="U45" s="544"/>
      <c r="V45" s="544"/>
      <c r="W45" s="545"/>
      <c r="X45" s="98"/>
    </row>
    <row r="46" spans="1:24" ht="15" customHeight="1" x14ac:dyDescent="0.3">
      <c r="A46" s="115"/>
      <c r="B46" s="116"/>
      <c r="C46" s="476"/>
      <c r="D46" s="515"/>
      <c r="E46" s="516"/>
      <c r="F46" s="517"/>
      <c r="G46" s="117"/>
      <c r="H46" s="152"/>
      <c r="I46" s="152"/>
      <c r="J46" s="152"/>
      <c r="K46" s="152"/>
      <c r="L46" s="118"/>
      <c r="M46" s="115"/>
      <c r="N46" s="98"/>
      <c r="O46" s="452"/>
      <c r="P46" s="540"/>
      <c r="Q46" s="544"/>
      <c r="R46" s="544"/>
      <c r="S46" s="544"/>
      <c r="T46" s="544"/>
      <c r="U46" s="544"/>
      <c r="V46" s="544"/>
      <c r="W46" s="545"/>
      <c r="X46" s="98"/>
    </row>
    <row r="47" spans="1:24" ht="15" customHeight="1" x14ac:dyDescent="0.3">
      <c r="A47" s="96"/>
      <c r="B47" s="103"/>
      <c r="C47" s="477"/>
      <c r="D47" s="518"/>
      <c r="E47" s="519"/>
      <c r="F47" s="520"/>
      <c r="G47" s="98"/>
      <c r="H47" s="151"/>
      <c r="I47" s="134"/>
      <c r="J47" s="134"/>
      <c r="K47" s="149"/>
      <c r="L47" s="104"/>
      <c r="M47" s="96"/>
      <c r="N47" s="98"/>
      <c r="O47" s="452"/>
      <c r="P47" s="540"/>
      <c r="Q47" s="544"/>
      <c r="R47" s="544"/>
      <c r="S47" s="544"/>
      <c r="T47" s="544"/>
      <c r="U47" s="544"/>
      <c r="V47" s="544"/>
      <c r="W47" s="545"/>
      <c r="X47" s="98"/>
    </row>
    <row r="48" spans="1:24" ht="15" customHeight="1" x14ac:dyDescent="0.3">
      <c r="A48" s="96"/>
      <c r="B48" s="103"/>
      <c r="C48" s="98"/>
      <c r="D48" s="105"/>
      <c r="E48" s="105"/>
      <c r="F48" s="105"/>
      <c r="G48" s="98"/>
      <c r="H48" s="151"/>
      <c r="I48" s="134"/>
      <c r="J48" s="134"/>
      <c r="K48" s="149"/>
      <c r="L48" s="104"/>
      <c r="M48" s="96"/>
      <c r="N48" s="98"/>
      <c r="O48" s="452"/>
      <c r="P48" s="540"/>
      <c r="Q48" s="544"/>
      <c r="R48" s="544"/>
      <c r="S48" s="544"/>
      <c r="T48" s="544"/>
      <c r="U48" s="544"/>
      <c r="V48" s="544"/>
      <c r="W48" s="545"/>
      <c r="X48" s="98"/>
    </row>
    <row r="49" spans="1:24" ht="18" customHeight="1" x14ac:dyDescent="0.3">
      <c r="A49" s="96"/>
      <c r="B49" s="103"/>
      <c r="C49" s="460" t="s">
        <v>191</v>
      </c>
      <c r="D49" s="460"/>
      <c r="E49" s="460"/>
      <c r="F49" s="460"/>
      <c r="G49" s="98"/>
      <c r="H49" s="151"/>
      <c r="I49" s="134"/>
      <c r="J49" s="134"/>
      <c r="K49" s="149"/>
      <c r="L49" s="104"/>
      <c r="M49" s="96"/>
      <c r="N49" s="98"/>
      <c r="O49" s="452"/>
      <c r="P49" s="540"/>
      <c r="Q49" s="544"/>
      <c r="R49" s="544"/>
      <c r="S49" s="544"/>
      <c r="T49" s="544"/>
      <c r="U49" s="544"/>
      <c r="V49" s="544"/>
      <c r="W49" s="545"/>
      <c r="X49" s="98"/>
    </row>
    <row r="50" spans="1:24" ht="15" customHeight="1" x14ac:dyDescent="0.3">
      <c r="A50" s="96"/>
      <c r="B50" s="103"/>
      <c r="C50" s="472" t="s">
        <v>183</v>
      </c>
      <c r="D50" s="490" t="s">
        <v>118</v>
      </c>
      <c r="E50" s="490" t="s">
        <v>184</v>
      </c>
      <c r="F50" s="490" t="s">
        <v>185</v>
      </c>
      <c r="G50" s="98"/>
      <c r="H50" s="151"/>
      <c r="I50" s="134"/>
      <c r="J50" s="134"/>
      <c r="K50" s="149"/>
      <c r="L50" s="104"/>
      <c r="M50" s="96"/>
      <c r="N50" s="98"/>
      <c r="O50" s="452"/>
      <c r="P50" s="541"/>
      <c r="Q50" s="546"/>
      <c r="R50" s="546"/>
      <c r="S50" s="546"/>
      <c r="T50" s="546"/>
      <c r="U50" s="546"/>
      <c r="V50" s="546"/>
      <c r="W50" s="547"/>
      <c r="X50" s="98"/>
    </row>
    <row r="51" spans="1:24" ht="15" customHeight="1" x14ac:dyDescent="0.3">
      <c r="A51" s="96"/>
      <c r="B51" s="103"/>
      <c r="C51" s="473"/>
      <c r="D51" s="548"/>
      <c r="E51" s="548"/>
      <c r="F51" s="548"/>
      <c r="G51" s="98"/>
      <c r="H51" s="151"/>
      <c r="I51" s="134"/>
      <c r="J51" s="134"/>
      <c r="K51" s="149"/>
      <c r="L51" s="104"/>
      <c r="M51" s="96"/>
      <c r="N51" s="98"/>
      <c r="O51" s="113">
        <v>6</v>
      </c>
      <c r="P51" s="477" t="s">
        <v>179</v>
      </c>
      <c r="Q51" s="477"/>
      <c r="R51" s="477"/>
      <c r="S51" s="477"/>
      <c r="T51" s="477"/>
      <c r="U51" s="477"/>
      <c r="V51" s="477"/>
      <c r="W51" s="477"/>
      <c r="X51" s="98"/>
    </row>
    <row r="52" spans="1:24" ht="15" customHeight="1" x14ac:dyDescent="0.3">
      <c r="A52" s="96"/>
      <c r="B52" s="103"/>
      <c r="C52" s="106" t="s">
        <v>186</v>
      </c>
      <c r="D52" s="113"/>
      <c r="E52" s="113" t="str">
        <f>TEXT(ROUND('Evaluation Set-up'!$F$9+'Evaluation Set-up'!$G$9/12, 2), "0.00")&amp;" years"</f>
        <v>5.00 years</v>
      </c>
      <c r="F52" s="113" t="str">
        <f>TEXT(ROUND('Evaluation Set-up'!$F$11+'Evaluation Set-up'!$G$11/12, 2), "0.00")&amp;" years"</f>
        <v>5.00 years</v>
      </c>
      <c r="G52" s="98"/>
      <c r="H52" s="151"/>
      <c r="I52" s="134"/>
      <c r="J52" s="134"/>
      <c r="K52" s="149"/>
      <c r="L52" s="104"/>
      <c r="M52" s="96"/>
      <c r="N52" s="98"/>
      <c r="O52" s="113">
        <v>7</v>
      </c>
      <c r="P52" s="509" t="s">
        <v>180</v>
      </c>
      <c r="Q52" s="509"/>
      <c r="R52" s="509"/>
      <c r="S52" s="509"/>
      <c r="T52" s="509"/>
      <c r="U52" s="509"/>
      <c r="V52" s="509"/>
      <c r="W52" s="509"/>
      <c r="X52" s="98"/>
    </row>
    <row r="53" spans="1:24" ht="15" customHeight="1" x14ac:dyDescent="0.3">
      <c r="A53" s="96"/>
      <c r="B53" s="103"/>
      <c r="C53" s="106" t="s">
        <v>159</v>
      </c>
      <c r="D53" s="137"/>
      <c r="E53" s="137" t="n">
        <f>'Evaluation Set-up'!D9</f>
        <v>42461</v>
      </c>
      <c r="F53" s="137" t="n">
        <f>'Evaluation Set-up'!D11</f>
        <v>44378</v>
      </c>
      <c r="G53" s="98"/>
      <c r="H53" s="151"/>
      <c r="I53" s="134"/>
      <c r="J53" s="134"/>
      <c r="K53" s="149"/>
      <c r="L53" s="104"/>
      <c r="M53" s="96"/>
      <c r="N53" s="98"/>
      <c r="O53" s="536" t="s">
        <v>194</v>
      </c>
      <c r="P53" s="530" t="s">
        <v>197</v>
      </c>
      <c r="Q53" s="503"/>
      <c r="R53" s="503"/>
      <c r="S53" s="503"/>
      <c r="T53" s="503"/>
      <c r="U53" s="503"/>
      <c r="V53" s="503"/>
      <c r="W53" s="531"/>
      <c r="X53" s="16"/>
    </row>
    <row r="54" spans="1:24" ht="15" customHeight="1" x14ac:dyDescent="0.3">
      <c r="A54" s="96"/>
      <c r="B54" s="103"/>
      <c r="C54" s="106" t="s">
        <v>160</v>
      </c>
      <c r="D54" s="137"/>
      <c r="E54" s="137" t="n">
        <f>'Evaluation Set-up'!E9</f>
        <v>44286</v>
      </c>
      <c r="F54" s="137" t="n">
        <f>'Evaluation Set-up'!E11</f>
        <v>46203</v>
      </c>
      <c r="G54" s="98"/>
      <c r="H54" s="151"/>
      <c r="I54" s="134"/>
      <c r="J54" s="134"/>
      <c r="K54" s="149"/>
      <c r="L54" s="104"/>
      <c r="M54" s="96"/>
      <c r="N54" s="98"/>
      <c r="O54" s="537"/>
      <c r="P54" s="532"/>
      <c r="Q54" s="505"/>
      <c r="R54" s="505"/>
      <c r="S54" s="505"/>
      <c r="T54" s="505"/>
      <c r="U54" s="505"/>
      <c r="V54" s="505"/>
      <c r="W54" s="533"/>
      <c r="X54" s="16"/>
    </row>
    <row r="55" spans="1:24" ht="15" customHeight="1" x14ac:dyDescent="0.3">
      <c r="A55" s="96"/>
      <c r="B55" s="103"/>
      <c r="C55" s="153"/>
      <c r="D55" s="119"/>
      <c r="E55" s="120"/>
      <c r="F55" s="120"/>
      <c r="G55" s="98"/>
      <c r="H55" s="151"/>
      <c r="I55" s="134"/>
      <c r="J55" s="134"/>
      <c r="K55" s="149"/>
      <c r="L55" s="104"/>
      <c r="M55" s="96"/>
      <c r="N55" s="98"/>
      <c r="O55" s="538"/>
      <c r="P55" s="534"/>
      <c r="Q55" s="507"/>
      <c r="R55" s="507"/>
      <c r="S55" s="507"/>
      <c r="T55" s="507"/>
      <c r="U55" s="507"/>
      <c r="V55" s="507"/>
      <c r="W55" s="535"/>
      <c r="X55" s="16"/>
    </row>
    <row r="56" spans="1:24" ht="15" customHeight="1" x14ac:dyDescent="0.3">
      <c r="A56" s="96"/>
      <c r="B56" s="103"/>
      <c r="C56" s="154" t="s">
        <v>13</v>
      </c>
      <c r="D56" s="121"/>
      <c r="E56" s="121" t="n">
        <f>I8/('Evaluation Set-up'!$F$9+'Evaluation Set-up'!$G$9/12)</f>
        <v>3</v>
      </c>
      <c r="F56" s="121" t="n">
        <f>J8/('Evaluation Set-up'!$F$11+'Evaluation Set-up'!$G$11/12)</f>
        <v>1.6</v>
      </c>
      <c r="G56" s="98"/>
      <c r="H56" s="151"/>
      <c r="I56" s="134"/>
      <c r="J56" s="134"/>
      <c r="K56" s="149"/>
      <c r="L56" s="104"/>
      <c r="M56" s="96"/>
      <c r="N56" s="98"/>
      <c r="O56" s="98"/>
      <c r="P56" s="98"/>
      <c r="Q56" s="98"/>
      <c r="R56" s="98"/>
      <c r="S56" s="98"/>
      <c r="T56" s="98"/>
      <c r="U56" s="98"/>
      <c r="V56" s="98"/>
      <c r="W56" s="98"/>
      <c r="X56" s="16"/>
    </row>
    <row r="57" spans="1:24" ht="15" customHeight="1" x14ac:dyDescent="0.3">
      <c r="A57" s="96"/>
      <c r="B57" s="103"/>
      <c r="C57" s="138" t="s">
        <v>187</v>
      </c>
      <c r="D57" s="121"/>
      <c r="E57" s="121" t="n">
        <f>I24/('Evaluation Set-up'!$F$9+'Evaluation Set-up'!$G$9/12)</f>
        <v>0</v>
      </c>
      <c r="F57" s="121" t="n">
        <f>J24/('Evaluation Set-up'!$F$11+'Evaluation Set-up'!$G$11/12)</f>
        <v>0</v>
      </c>
      <c r="G57" s="98"/>
      <c r="H57" s="151"/>
      <c r="I57" s="134"/>
      <c r="J57" s="134"/>
      <c r="K57" s="149"/>
      <c r="L57" s="104"/>
      <c r="M57" s="96"/>
      <c r="N57" s="98"/>
      <c r="O57" s="98"/>
      <c r="P57" s="98"/>
      <c r="Q57" s="98"/>
      <c r="R57" s="98"/>
      <c r="S57" s="98"/>
      <c r="T57" s="98"/>
      <c r="U57" s="98"/>
      <c r="V57" s="98"/>
      <c r="W57" s="98"/>
      <c r="X57" s="16"/>
    </row>
    <row r="58" spans="1:24" ht="15" customHeight="1" x14ac:dyDescent="0.3">
      <c r="A58" s="96"/>
      <c r="B58" s="103"/>
      <c r="C58" s="138" t="s">
        <v>188</v>
      </c>
      <c r="D58" s="121"/>
      <c r="E58" s="121" t="n">
        <f>I25/('Evaluation Set-up'!$F$9+'Evaluation Set-up'!$G$9/12)</f>
        <v>0.2</v>
      </c>
      <c r="F58" s="121" t="n">
        <f>J25/('Evaluation Set-up'!$F$11+'Evaluation Set-up'!$G$11/12)</f>
        <v>0</v>
      </c>
      <c r="G58" s="98"/>
      <c r="H58" s="151"/>
      <c r="I58" s="134"/>
      <c r="J58" s="134"/>
      <c r="K58" s="149"/>
      <c r="L58" s="104"/>
      <c r="M58" s="96"/>
      <c r="N58" s="98"/>
      <c r="O58" s="98"/>
      <c r="P58" s="98"/>
      <c r="Q58" s="98"/>
      <c r="R58" s="98"/>
      <c r="S58" s="98"/>
      <c r="T58" s="98"/>
      <c r="U58" s="98"/>
      <c r="V58" s="98"/>
      <c r="W58" s="98"/>
      <c r="X58" s="16"/>
    </row>
    <row r="59" spans="1:24" ht="15" customHeight="1" x14ac:dyDescent="0.3">
      <c r="A59" s="96"/>
      <c r="B59" s="103"/>
      <c r="C59" s="138" t="s">
        <v>189</v>
      </c>
      <c r="D59" s="121"/>
      <c r="E59" s="121" t="n">
        <f>I26/('Evaluation Set-up'!$F$9+'Evaluation Set-up'!$G$9/12)</f>
        <v>0.6</v>
      </c>
      <c r="F59" s="121" t="n">
        <f>J26/('Evaluation Set-up'!$F$11+'Evaluation Set-up'!$G$11/12)</f>
        <v>0</v>
      </c>
      <c r="G59" s="98"/>
      <c r="H59" s="98"/>
      <c r="I59" s="98"/>
      <c r="J59" s="156"/>
      <c r="K59" s="132"/>
      <c r="L59" s="104"/>
      <c r="M59" s="96"/>
      <c r="N59" s="98"/>
      <c r="O59" s="98"/>
      <c r="P59" s="98"/>
      <c r="Q59" s="98"/>
      <c r="R59" s="98"/>
      <c r="S59" s="98"/>
      <c r="T59" s="98"/>
      <c r="U59" s="98"/>
      <c r="V59" s="98"/>
      <c r="W59" s="98"/>
      <c r="X59" s="16"/>
    </row>
    <row r="60" spans="1:24" ht="15" customHeight="1" x14ac:dyDescent="0.3">
      <c r="A60" s="96"/>
      <c r="B60" s="103"/>
      <c r="C60" s="138" t="s">
        <v>190</v>
      </c>
      <c r="D60" s="121"/>
      <c r="E60" s="121" t="n">
        <f>I27/('Evaluation Set-up'!$F$9+'Evaluation Set-up'!$G$9/12)</f>
        <v>0.8</v>
      </c>
      <c r="F60" s="121" t="n">
        <f>J27/('Evaluation Set-up'!$F$11+'Evaluation Set-up'!$G$11/12)</f>
        <v>0.4</v>
      </c>
      <c r="G60" s="98"/>
      <c r="H60" s="98"/>
      <c r="I60" s="98"/>
      <c r="J60" s="156"/>
      <c r="K60" s="132"/>
      <c r="L60" s="104"/>
      <c r="M60" s="96"/>
      <c r="N60" s="98"/>
      <c r="O60" s="98"/>
      <c r="P60" s="98"/>
      <c r="Q60" s="98"/>
      <c r="R60" s="98"/>
      <c r="S60" s="98"/>
      <c r="T60" s="16"/>
      <c r="U60" s="16"/>
      <c r="V60" s="16"/>
      <c r="W60" s="16"/>
      <c r="X60" s="16"/>
    </row>
    <row r="61" spans="1:24" ht="15" customHeight="1" x14ac:dyDescent="0.3">
      <c r="A61" s="96"/>
      <c r="B61" s="103"/>
      <c r="C61" s="138" t="s">
        <v>27</v>
      </c>
      <c r="D61" s="121"/>
      <c r="E61" s="121" t="n">
        <f>I28/('Evaluation Set-up'!$F$9+'Evaluation Set-up'!$G$9/12)</f>
        <v>1.4</v>
      </c>
      <c r="F61" s="121" t="n">
        <f>J28/('Evaluation Set-up'!$F$11+'Evaluation Set-up'!$G$11/12)</f>
        <v>1.2</v>
      </c>
      <c r="G61" s="98"/>
      <c r="H61" s="98"/>
      <c r="I61" s="98"/>
      <c r="J61" s="156"/>
      <c r="K61" s="132"/>
      <c r="L61" s="104"/>
      <c r="M61" s="96"/>
      <c r="N61" s="98"/>
      <c r="O61" s="98"/>
      <c r="P61" s="98"/>
      <c r="Q61" s="98"/>
      <c r="R61" s="98"/>
      <c r="S61" s="98"/>
      <c r="T61" s="16"/>
      <c r="U61" s="16"/>
      <c r="V61" s="16"/>
      <c r="W61" s="16"/>
      <c r="X61" s="16"/>
    </row>
    <row r="62" spans="1:24" customFormat="1" ht="15" customHeight="1" x14ac:dyDescent="0.3">
      <c r="A62" s="96"/>
      <c r="B62" s="103"/>
      <c r="C62" s="98"/>
      <c r="D62" s="105"/>
      <c r="E62" s="105"/>
      <c r="F62" s="105"/>
      <c r="G62" s="98"/>
      <c r="H62" s="98"/>
      <c r="I62" s="98"/>
      <c r="J62" s="156"/>
      <c r="K62" s="132"/>
      <c r="L62" s="104"/>
      <c r="M62" s="96"/>
      <c r="N62" s="98"/>
      <c r="O62" s="98"/>
      <c r="P62" s="98"/>
      <c r="Q62" s="98"/>
      <c r="R62" s="98"/>
      <c r="S62" s="98"/>
      <c r="T62" s="98"/>
      <c r="U62" s="98"/>
      <c r="V62" s="98"/>
      <c r="W62" s="98"/>
      <c r="X62" s="98"/>
    </row>
    <row r="63" spans="1:24" customFormat="1" ht="18" customHeight="1" x14ac:dyDescent="0.3">
      <c r="A63" s="96"/>
      <c r="B63" s="103"/>
      <c r="C63" s="474" t="s">
        <v>192</v>
      </c>
      <c r="D63" s="474"/>
      <c r="E63" s="474"/>
      <c r="F63" s="474"/>
      <c r="G63" s="98"/>
      <c r="H63" s="151"/>
      <c r="I63" s="134"/>
      <c r="J63" s="134"/>
      <c r="K63" s="149"/>
      <c r="L63" s="104"/>
      <c r="M63" s="96"/>
      <c r="N63" s="98"/>
      <c r="O63" s="133"/>
      <c r="P63" s="133"/>
      <c r="Q63" s="133"/>
      <c r="R63" s="98"/>
      <c r="S63" s="98"/>
      <c r="T63" s="98"/>
      <c r="U63" s="98"/>
      <c r="V63" s="98"/>
      <c r="W63" s="98"/>
      <c r="X63" s="98"/>
    </row>
    <row r="64" spans="1:24" customFormat="1" ht="15" customHeight="1" x14ac:dyDescent="0.3">
      <c r="A64" s="96"/>
      <c r="B64" s="103"/>
      <c r="C64" s="463"/>
      <c r="D64" s="464"/>
      <c r="E64" s="464"/>
      <c r="F64" s="464"/>
      <c r="G64" s="464"/>
      <c r="H64" s="464"/>
      <c r="I64" s="464"/>
      <c r="J64" s="464"/>
      <c r="K64" s="465"/>
      <c r="L64" s="104"/>
      <c r="M64" s="96"/>
      <c r="N64" s="98"/>
      <c r="O64" s="133"/>
      <c r="P64" s="133"/>
      <c r="Q64" s="133"/>
      <c r="R64" s="98"/>
      <c r="S64" s="98"/>
      <c r="T64" s="98"/>
      <c r="U64" s="98"/>
      <c r="V64" s="98"/>
      <c r="W64" s="98"/>
      <c r="X64" s="98"/>
    </row>
    <row r="65" spans="1:24" customFormat="1" ht="15" customHeight="1" x14ac:dyDescent="0.3">
      <c r="A65" s="96"/>
      <c r="B65" s="103"/>
      <c r="C65" s="466"/>
      <c r="D65" s="467"/>
      <c r="E65" s="467"/>
      <c r="F65" s="467"/>
      <c r="G65" s="467"/>
      <c r="H65" s="467"/>
      <c r="I65" s="467"/>
      <c r="J65" s="467"/>
      <c r="K65" s="468"/>
      <c r="L65" s="104"/>
      <c r="M65" s="96"/>
      <c r="N65" s="98"/>
      <c r="O65" s="133"/>
      <c r="P65" s="133"/>
      <c r="Q65" s="133"/>
      <c r="R65" s="98"/>
      <c r="S65" s="98"/>
      <c r="T65" s="98"/>
      <c r="U65" s="98"/>
      <c r="V65" s="98"/>
      <c r="W65" s="98"/>
      <c r="X65" s="98"/>
    </row>
    <row r="66" spans="1:24" customFormat="1" ht="15" customHeight="1" x14ac:dyDescent="0.3">
      <c r="A66" s="96"/>
      <c r="B66" s="103"/>
      <c r="C66" s="466"/>
      <c r="D66" s="467"/>
      <c r="E66" s="467"/>
      <c r="F66" s="467"/>
      <c r="G66" s="467"/>
      <c r="H66" s="467"/>
      <c r="I66" s="467"/>
      <c r="J66" s="467"/>
      <c r="K66" s="468"/>
      <c r="L66" s="104"/>
      <c r="M66" s="96"/>
      <c r="N66" s="98"/>
      <c r="O66" s="133"/>
      <c r="P66" s="133"/>
      <c r="Q66" s="133"/>
      <c r="R66" s="98"/>
      <c r="S66" s="98"/>
      <c r="T66" s="98"/>
      <c r="U66" s="98"/>
      <c r="V66" s="98"/>
      <c r="W66" s="98"/>
      <c r="X66" s="98"/>
    </row>
    <row r="67" spans="1:24" customFormat="1" ht="15" customHeight="1" x14ac:dyDescent="0.3">
      <c r="A67" s="96"/>
      <c r="B67" s="103"/>
      <c r="C67" s="466"/>
      <c r="D67" s="467"/>
      <c r="E67" s="467"/>
      <c r="F67" s="467"/>
      <c r="G67" s="467"/>
      <c r="H67" s="467"/>
      <c r="I67" s="467"/>
      <c r="J67" s="467"/>
      <c r="K67" s="468"/>
      <c r="L67" s="104"/>
      <c r="M67" s="96"/>
      <c r="N67" s="98"/>
      <c r="O67" s="133"/>
      <c r="P67" s="133"/>
      <c r="Q67" s="133"/>
      <c r="R67" s="98"/>
      <c r="S67" s="98"/>
      <c r="T67" s="98"/>
      <c r="U67" s="98"/>
      <c r="V67" s="98"/>
      <c r="W67" s="98"/>
      <c r="X67" s="98"/>
    </row>
    <row r="68" spans="1:24" customFormat="1" ht="15" customHeight="1" x14ac:dyDescent="0.3">
      <c r="A68" s="96"/>
      <c r="B68" s="103"/>
      <c r="C68" s="466"/>
      <c r="D68" s="467"/>
      <c r="E68" s="467"/>
      <c r="F68" s="467"/>
      <c r="G68" s="467"/>
      <c r="H68" s="467"/>
      <c r="I68" s="467"/>
      <c r="J68" s="467"/>
      <c r="K68" s="468"/>
      <c r="L68" s="104"/>
      <c r="M68" s="96"/>
      <c r="N68" s="98"/>
      <c r="O68" s="133"/>
      <c r="P68" s="133"/>
      <c r="Q68" s="133"/>
      <c r="R68" s="98"/>
      <c r="S68" s="98"/>
      <c r="T68" s="98"/>
      <c r="U68" s="98"/>
      <c r="V68" s="98"/>
      <c r="W68" s="98"/>
      <c r="X68" s="98"/>
    </row>
    <row r="69" spans="1:24" customFormat="1" ht="15" customHeight="1" x14ac:dyDescent="0.3">
      <c r="A69" s="96"/>
      <c r="B69" s="103"/>
      <c r="C69" s="466"/>
      <c r="D69" s="467"/>
      <c r="E69" s="467"/>
      <c r="F69" s="467"/>
      <c r="G69" s="467"/>
      <c r="H69" s="467"/>
      <c r="I69" s="467"/>
      <c r="J69" s="467"/>
      <c r="K69" s="468"/>
      <c r="L69" s="104"/>
      <c r="M69" s="96"/>
      <c r="N69" s="98"/>
      <c r="O69" s="98"/>
      <c r="P69" s="98"/>
      <c r="Q69" s="98"/>
      <c r="R69" s="98"/>
      <c r="S69" s="98"/>
      <c r="T69" s="98"/>
      <c r="U69" s="98"/>
      <c r="V69" s="98"/>
      <c r="W69" s="98"/>
      <c r="X69" s="98"/>
    </row>
    <row r="70" spans="1:24" customFormat="1" ht="15" customHeight="1" x14ac:dyDescent="0.3">
      <c r="A70" s="96"/>
      <c r="B70" s="103"/>
      <c r="C70" s="466"/>
      <c r="D70" s="467"/>
      <c r="E70" s="467"/>
      <c r="F70" s="467"/>
      <c r="G70" s="467"/>
      <c r="H70" s="467"/>
      <c r="I70" s="467"/>
      <c r="J70" s="467"/>
      <c r="K70" s="468"/>
      <c r="L70" s="104"/>
      <c r="M70" s="96"/>
      <c r="N70" s="98"/>
      <c r="O70" s="98"/>
      <c r="P70" s="98"/>
      <c r="Q70" s="98"/>
      <c r="R70" s="98"/>
      <c r="S70" s="98"/>
      <c r="T70" s="98"/>
      <c r="U70" s="98"/>
      <c r="V70" s="98"/>
      <c r="W70" s="98"/>
      <c r="X70" s="98"/>
    </row>
    <row r="71" spans="1:24" ht="15" customHeight="1" x14ac:dyDescent="0.3">
      <c r="A71" s="96"/>
      <c r="B71" s="103"/>
      <c r="C71" s="469"/>
      <c r="D71" s="470"/>
      <c r="E71" s="470"/>
      <c r="F71" s="470"/>
      <c r="G71" s="470"/>
      <c r="H71" s="470"/>
      <c r="I71" s="470"/>
      <c r="J71" s="470"/>
      <c r="K71" s="471"/>
      <c r="L71" s="104"/>
      <c r="M71" s="96"/>
      <c r="N71" s="98"/>
      <c r="O71" s="98"/>
      <c r="P71" s="98"/>
      <c r="Q71" s="98"/>
      <c r="R71" s="98"/>
      <c r="S71" s="98"/>
      <c r="T71" s="98"/>
      <c r="U71" s="98"/>
      <c r="V71" s="98"/>
      <c r="W71" s="98"/>
      <c r="X71" s="98"/>
    </row>
    <row r="72" spans="1:24" ht="15" customHeight="1" x14ac:dyDescent="0.3">
      <c r="A72" s="96"/>
      <c r="B72" s="103"/>
      <c r="C72" s="98"/>
      <c r="D72" s="105"/>
      <c r="E72" s="105"/>
      <c r="F72" s="105"/>
      <c r="G72" s="98"/>
      <c r="H72" s="98"/>
      <c r="I72" s="98"/>
      <c r="J72" s="156"/>
      <c r="K72" s="132"/>
      <c r="L72" s="104"/>
      <c r="M72" s="96"/>
      <c r="N72" s="98"/>
      <c r="O72" s="98"/>
      <c r="P72" s="98"/>
      <c r="Q72" s="98"/>
      <c r="R72" s="98"/>
      <c r="S72" s="98"/>
      <c r="T72" s="98"/>
      <c r="U72" s="98"/>
      <c r="V72" s="98"/>
      <c r="W72" s="98"/>
      <c r="X72" s="98"/>
    </row>
    <row r="73" spans="1:24" ht="18" customHeight="1" x14ac:dyDescent="0.3">
      <c r="A73" s="96"/>
      <c r="B73" s="103"/>
      <c r="C73" s="155" t="s">
        <v>164</v>
      </c>
      <c r="D73" s="105"/>
      <c r="E73" s="105"/>
      <c r="F73" s="105"/>
      <c r="G73" s="98"/>
      <c r="H73" s="98"/>
      <c r="I73" s="98"/>
      <c r="J73" s="156"/>
      <c r="K73" s="132"/>
      <c r="L73" s="104"/>
      <c r="M73" s="96"/>
      <c r="N73" s="98"/>
      <c r="O73" s="98"/>
      <c r="P73" s="98"/>
      <c r="Q73" s="98"/>
      <c r="R73" s="98"/>
      <c r="S73" s="98"/>
      <c r="T73" s="98"/>
      <c r="U73" s="98"/>
      <c r="V73" s="98"/>
      <c r="W73" s="98"/>
      <c r="X73" s="98"/>
    </row>
    <row r="74" spans="1:24" ht="18" customHeight="1" x14ac:dyDescent="0.3">
      <c r="A74" s="96"/>
      <c r="B74" s="103"/>
      <c r="C74" s="98" t="s">
        <v>208</v>
      </c>
      <c r="D74" s="105"/>
      <c r="E74" s="105"/>
      <c r="F74" s="105"/>
      <c r="G74" s="98"/>
      <c r="H74" s="157" t="s">
        <v>166</v>
      </c>
      <c r="I74" s="98"/>
      <c r="J74" s="156"/>
      <c r="K74" s="132"/>
      <c r="L74" s="104"/>
      <c r="M74" s="96"/>
      <c r="N74" s="98"/>
      <c r="O74" s="98"/>
      <c r="P74" s="98"/>
      <c r="Q74" s="98"/>
      <c r="R74" s="98"/>
      <c r="S74" s="98"/>
      <c r="T74" s="98"/>
      <c r="U74" s="98"/>
      <c r="V74" s="98"/>
      <c r="W74" s="98"/>
      <c r="X74" s="98"/>
    </row>
    <row r="75" spans="1:24" ht="15" customHeight="1" x14ac:dyDescent="0.3">
      <c r="A75" s="96"/>
      <c r="B75" s="103"/>
      <c r="C75" s="98" t="s">
        <v>209</v>
      </c>
      <c r="D75" s="105"/>
      <c r="E75" s="105"/>
      <c r="F75" s="105"/>
      <c r="G75" s="98"/>
      <c r="H75" s="106" t="s">
        <v>169</v>
      </c>
      <c r="I75" s="459"/>
      <c r="J75" s="459"/>
      <c r="K75" s="459"/>
      <c r="L75" s="104"/>
      <c r="M75" s="96"/>
      <c r="N75" s="98"/>
      <c r="O75" s="98"/>
      <c r="P75" s="98"/>
      <c r="Q75" s="98"/>
      <c r="R75" s="98"/>
      <c r="S75" s="98"/>
      <c r="T75" s="98"/>
      <c r="U75" s="98"/>
      <c r="V75" s="98"/>
      <c r="W75" s="98"/>
      <c r="X75" s="98"/>
    </row>
    <row r="76" spans="1:24" ht="15" customHeight="1" x14ac:dyDescent="0.3">
      <c r="A76" s="96"/>
      <c r="B76" s="103"/>
      <c r="C76" s="98" t="s">
        <v>210</v>
      </c>
      <c r="D76" s="105"/>
      <c r="E76" s="105"/>
      <c r="F76" s="105"/>
      <c r="G76" s="98"/>
      <c r="H76" s="106" t="s">
        <v>167</v>
      </c>
      <c r="I76" s="459"/>
      <c r="J76" s="459"/>
      <c r="K76" s="459"/>
      <c r="L76" s="104"/>
      <c r="M76" s="96"/>
      <c r="N76" s="98"/>
      <c r="O76" s="98"/>
      <c r="P76" s="98"/>
      <c r="Q76" s="98"/>
      <c r="R76" s="98"/>
      <c r="S76" s="98"/>
      <c r="T76" s="98"/>
      <c r="U76" s="98"/>
      <c r="V76" s="98"/>
      <c r="W76" s="98"/>
      <c r="X76" s="98"/>
    </row>
    <row r="77" spans="1:24" ht="15" customHeight="1" x14ac:dyDescent="0.3">
      <c r="A77" s="96"/>
      <c r="B77" s="103"/>
      <c r="C77" s="98" t="s">
        <v>165</v>
      </c>
      <c r="D77" s="105"/>
      <c r="E77" s="105"/>
      <c r="F77" s="105"/>
      <c r="G77" s="98"/>
      <c r="H77" s="106" t="s">
        <v>168</v>
      </c>
      <c r="I77" s="459"/>
      <c r="J77" s="459"/>
      <c r="K77" s="459"/>
      <c r="L77" s="104"/>
      <c r="M77" s="96"/>
      <c r="N77" s="98"/>
      <c r="O77" s="98"/>
      <c r="P77" s="98"/>
      <c r="Q77" s="98"/>
      <c r="R77" s="98"/>
      <c r="S77" s="98"/>
      <c r="T77" s="98"/>
      <c r="U77" s="98"/>
      <c r="V77" s="98"/>
      <c r="W77" s="98"/>
      <c r="X77" s="98"/>
    </row>
    <row r="78" spans="1:24" ht="15" customHeight="1" thickBot="1" x14ac:dyDescent="0.35">
      <c r="A78" s="96"/>
      <c r="B78" s="124"/>
      <c r="C78" s="125"/>
      <c r="D78" s="126"/>
      <c r="E78" s="126"/>
      <c r="F78" s="126"/>
      <c r="G78" s="125"/>
      <c r="H78" s="125"/>
      <c r="I78" s="125"/>
      <c r="J78" s="158"/>
      <c r="K78" s="159"/>
      <c r="L78" s="127"/>
      <c r="M78" s="96"/>
      <c r="N78" s="98"/>
      <c r="O78" s="98"/>
      <c r="P78" s="98"/>
      <c r="Q78" s="98"/>
      <c r="R78" s="98"/>
      <c r="S78" s="98"/>
      <c r="T78" s="98"/>
      <c r="U78" s="98"/>
      <c r="V78" s="98"/>
      <c r="W78" s="98"/>
      <c r="X78" s="98"/>
    </row>
    <row r="79" spans="1:24" ht="15.75" customHeight="1" x14ac:dyDescent="0.3">
      <c r="A79" s="96"/>
      <c r="B79" s="96"/>
      <c r="C79" s="96"/>
      <c r="D79" s="97"/>
      <c r="E79" s="97"/>
      <c r="F79" s="97"/>
      <c r="G79" s="96"/>
      <c r="H79" s="96"/>
      <c r="I79" s="96"/>
      <c r="J79" s="128"/>
      <c r="K79" s="129"/>
      <c r="L79" s="96"/>
      <c r="M79" s="96"/>
      <c r="N79" s="98"/>
      <c r="O79" s="98"/>
      <c r="P79" s="98"/>
      <c r="Q79" s="98"/>
      <c r="R79" s="98"/>
      <c r="S79" s="98"/>
      <c r="T79" s="98"/>
      <c r="U79" s="98"/>
      <c r="V79" s="98"/>
      <c r="W79" s="98"/>
      <c r="X79" s="98"/>
    </row>
    <row r="80" spans="1:24" ht="15.75" customHeight="1" x14ac:dyDescent="0.3">
      <c r="A80" s="98"/>
      <c r="B80" s="98"/>
      <c r="C80" s="98"/>
      <c r="D80" s="98"/>
      <c r="E80" s="98"/>
      <c r="F80" s="98"/>
      <c r="G80" s="98"/>
      <c r="H80" s="98"/>
      <c r="I80" s="98"/>
      <c r="J80" s="98"/>
      <c r="K80" s="98"/>
      <c r="L80" s="98"/>
      <c r="M80" s="98"/>
      <c r="N80" s="98"/>
      <c r="O80" s="98"/>
      <c r="P80" s="98"/>
      <c r="Q80" s="98"/>
      <c r="R80" s="98"/>
      <c r="S80" s="98"/>
      <c r="T80" s="98"/>
      <c r="U80" s="98"/>
      <c r="V80" s="98"/>
      <c r="W80" s="98"/>
      <c r="X80" s="98"/>
    </row>
    <row r="81" spans="1:24" ht="15.75" customHeight="1" x14ac:dyDescent="0.3">
      <c r="A81" s="98"/>
      <c r="B81" s="98"/>
      <c r="C81" s="98"/>
      <c r="D81" s="98"/>
      <c r="E81" s="98"/>
      <c r="F81" s="98"/>
      <c r="G81" s="98"/>
      <c r="H81" s="98"/>
      <c r="I81" s="98"/>
      <c r="J81" s="98"/>
      <c r="K81" s="98"/>
      <c r="L81" s="98"/>
      <c r="M81" s="98"/>
      <c r="N81" s="98"/>
      <c r="O81" s="98"/>
      <c r="P81" s="98"/>
      <c r="Q81" s="98"/>
      <c r="R81" s="98"/>
      <c r="S81" s="98"/>
      <c r="T81" s="98"/>
      <c r="U81" s="98"/>
      <c r="V81" s="98"/>
      <c r="W81" s="98"/>
      <c r="X81" s="98"/>
    </row>
  </sheetData>
  <sheetProtection formatCells="0" formatColumns="0" formatRows="0" insertColumns="0" insertRows="0" deleteColumns="0" deleteRows="0"/>
  <mergeCells count="73">
    <mergeCell ref="C9:C12"/>
    <mergeCell ref="D9:F12"/>
    <mergeCell ref="Q34:W50"/>
    <mergeCell ref="C18:C22"/>
    <mergeCell ref="D18:F22"/>
    <mergeCell ref="D16:F16"/>
    <mergeCell ref="D15:F15"/>
    <mergeCell ref="H22:H23"/>
    <mergeCell ref="D31:F35"/>
    <mergeCell ref="D13:F13"/>
    <mergeCell ref="D14:F14"/>
    <mergeCell ref="P34:P50"/>
    <mergeCell ref="P27:W28"/>
    <mergeCell ref="I22:I23"/>
    <mergeCell ref="J22:J23"/>
    <mergeCell ref="K22:K23"/>
    <mergeCell ref="AD1:AG1"/>
    <mergeCell ref="Z1:AC1"/>
    <mergeCell ref="O7:W7"/>
    <mergeCell ref="O12:O14"/>
    <mergeCell ref="O25:O26"/>
    <mergeCell ref="P8:W8"/>
    <mergeCell ref="P2:S2"/>
    <mergeCell ref="P18:W20"/>
    <mergeCell ref="P23:W23"/>
    <mergeCell ref="P24:W24"/>
    <mergeCell ref="P25:W26"/>
    <mergeCell ref="D23:F23"/>
    <mergeCell ref="C31:C35"/>
    <mergeCell ref="H45:K45"/>
    <mergeCell ref="C49:F49"/>
    <mergeCell ref="D43:F47"/>
    <mergeCell ref="C43:C47"/>
    <mergeCell ref="H38:H39"/>
    <mergeCell ref="I38:I39"/>
    <mergeCell ref="J38:J39"/>
    <mergeCell ref="D37:F41"/>
    <mergeCell ref="H30:H31"/>
    <mergeCell ref="I30:I31"/>
    <mergeCell ref="J30:J31"/>
    <mergeCell ref="K30:K31"/>
    <mergeCell ref="O29:O50"/>
    <mergeCell ref="P29:W33"/>
    <mergeCell ref="I75:K75"/>
    <mergeCell ref="I76:K76"/>
    <mergeCell ref="C63:F63"/>
    <mergeCell ref="C37:C41"/>
    <mergeCell ref="I77:K77"/>
    <mergeCell ref="P9:W11"/>
    <mergeCell ref="P51:W51"/>
    <mergeCell ref="P52:W52"/>
    <mergeCell ref="O53:O55"/>
    <mergeCell ref="P53:W55"/>
    <mergeCell ref="P12:W14"/>
    <mergeCell ref="K38:K39"/>
    <mergeCell ref="P15:W17"/>
    <mergeCell ref="C64:K71"/>
    <mergeCell ref="D24:F24"/>
    <mergeCell ref="C50:C51"/>
    <mergeCell ref="D50:D51"/>
    <mergeCell ref="E50:E51"/>
    <mergeCell ref="F50:F51"/>
    <mergeCell ref="O27:O28"/>
    <mergeCell ref="D8:F8"/>
    <mergeCell ref="C3:K4"/>
    <mergeCell ref="P3:S3"/>
    <mergeCell ref="P4:S4"/>
    <mergeCell ref="D6:F6"/>
    <mergeCell ref="H6:H7"/>
    <mergeCell ref="I6:I7"/>
    <mergeCell ref="J6:J7"/>
    <mergeCell ref="K6:K7"/>
    <mergeCell ref="D7:F7"/>
  </mergeCells>
  <conditionalFormatting sqref="C64">
    <cfRule type="containsBlanks" dxfId="5" priority="2">
      <formula>LEN(TRIM(C64))=0</formula>
    </cfRule>
  </conditionalFormatting>
  <conditionalFormatting sqref="D9 D13:F16 D18:F23 D31:F35 D37:F41 D43:F47 D52:D54 D56:D61 I75:K77">
    <cfRule type="containsBlanks" dxfId="4" priority="4">
      <formula>LEN(TRIM(D9))=0</formula>
    </cfRule>
  </conditionalFormatting>
  <conditionalFormatting sqref="D24">
    <cfRule type="containsBlanks" dxfId="3" priority="1">
      <formula>LEN(TRIM(D24))=0</formula>
    </cfRule>
  </conditionalFormatting>
  <conditionalFormatting sqref="D6:F8">
    <cfRule type="containsBlanks" dxfId="2" priority="3">
      <formula>LEN(TRIM(D6))=0</formula>
    </cfRule>
  </conditionalFormatting>
  <printOptions horizontalCentered="1" verticalCentered="1"/>
  <pageMargins left="0.1" right="0.1" top="0.3" bottom="0.3" header="0.3" footer="0.3"/>
  <pageSetup scale="64"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67809-F558-487E-A7EF-3E2F3FD328F8}">
  <dimension ref="A1:BB78"/>
  <sheetViews>
    <sheetView zoomScale="85" zoomScaleNormal="85" workbookViewId="0">
      <selection activeCell="N17" sqref="N17"/>
    </sheetView>
  </sheetViews>
  <sheetFormatPr defaultRowHeight="14.4" x14ac:dyDescent="0.3"/>
  <cols>
    <col min="1" max="1" width="7.6640625" customWidth="1"/>
    <col min="2" max="2" width="11.33203125" customWidth="1"/>
    <col min="3" max="3" width="11" customWidth="1"/>
    <col min="4" max="5" width="9.6640625" customWidth="1"/>
    <col min="6" max="6" width="9.5546875" customWidth="1"/>
    <col min="7" max="7" width="14.109375" style="2" customWidth="1"/>
    <col min="8" max="8" width="14.33203125" style="2" customWidth="1"/>
    <col min="9" max="9" width="9.88671875" style="2" customWidth="1"/>
    <col min="10" max="10" width="9" style="2" customWidth="1"/>
    <col min="11" max="11" width="9" customWidth="1"/>
    <col min="12" max="14" width="8" customWidth="1"/>
    <col min="15" max="17" width="7.109375" customWidth="1"/>
    <col min="18" max="18" width="10.44140625" customWidth="1"/>
    <col min="19" max="54" width="7.88671875" customWidth="1"/>
    <col min="55" max="102" width="9.6640625" customWidth="1"/>
  </cols>
  <sheetData>
    <row r="1" spans="1:54" s="314" customFormat="1" ht="21" x14ac:dyDescent="0.4">
      <c r="B1" s="314" t="s">
        <v>290</v>
      </c>
      <c r="G1" s="315"/>
      <c r="H1" s="315"/>
      <c r="I1" s="315"/>
      <c r="J1" s="315"/>
    </row>
    <row r="3" spans="1:54" x14ac:dyDescent="0.3">
      <c r="Q3" s="2"/>
      <c r="R3" s="2"/>
      <c r="S3" s="555" t="s">
        <v>256</v>
      </c>
      <c r="T3" s="555"/>
      <c r="U3" s="555"/>
      <c r="V3" s="555"/>
      <c r="W3" s="555"/>
      <c r="X3" s="555"/>
      <c r="Y3" s="555" t="s">
        <v>257</v>
      </c>
      <c r="Z3" s="555"/>
      <c r="AA3" s="555"/>
      <c r="AB3" s="555"/>
      <c r="AC3" s="555"/>
      <c r="AD3" s="555"/>
      <c r="AE3" s="555" t="s">
        <v>258</v>
      </c>
      <c r="AF3" s="555"/>
      <c r="AG3" s="555"/>
      <c r="AH3" s="555"/>
      <c r="AI3" s="555"/>
      <c r="AJ3" s="555"/>
      <c r="AK3" s="555" t="s">
        <v>259</v>
      </c>
      <c r="AL3" s="555"/>
      <c r="AM3" s="555"/>
      <c r="AN3" s="555"/>
      <c r="AO3" s="555"/>
      <c r="AP3" s="555"/>
      <c r="AQ3" s="555" t="s">
        <v>260</v>
      </c>
      <c r="AR3" s="555"/>
      <c r="AS3" s="555"/>
      <c r="AT3" s="555"/>
      <c r="AU3" s="555"/>
      <c r="AV3" s="555"/>
      <c r="AW3" s="555" t="s">
        <v>261</v>
      </c>
      <c r="AX3" s="555"/>
      <c r="AY3" s="555"/>
      <c r="AZ3" s="555"/>
      <c r="BA3" s="555"/>
      <c r="BB3" s="555"/>
    </row>
    <row r="4" spans="1:54" s="287" customFormat="1" ht="43.2" x14ac:dyDescent="0.3">
      <c r="B4" s="286" t="s">
        <v>239</v>
      </c>
      <c r="C4" s="286" t="s">
        <v>240</v>
      </c>
      <c r="D4" s="286" t="s">
        <v>241</v>
      </c>
      <c r="E4" s="286" t="s">
        <v>242</v>
      </c>
      <c r="F4" s="286" t="s">
        <v>243</v>
      </c>
      <c r="G4" s="286" t="s">
        <v>244</v>
      </c>
      <c r="H4" s="286" t="s">
        <v>245</v>
      </c>
      <c r="I4" s="286" t="s">
        <v>246</v>
      </c>
      <c r="J4" s="286" t="s">
        <v>247</v>
      </c>
      <c r="K4" s="286" t="s">
        <v>248</v>
      </c>
      <c r="L4" s="286" t="s">
        <v>249</v>
      </c>
      <c r="M4" s="286" t="s">
        <v>250</v>
      </c>
      <c r="N4" s="286" t="s">
        <v>251</v>
      </c>
      <c r="O4" s="286" t="s">
        <v>252</v>
      </c>
      <c r="P4" s="286" t="s">
        <v>253</v>
      </c>
      <c r="Q4" s="286" t="s">
        <v>254</v>
      </c>
      <c r="R4" s="293" t="s">
        <v>255</v>
      </c>
      <c r="S4" s="291" t="s">
        <v>19</v>
      </c>
      <c r="T4" s="291" t="s">
        <v>71</v>
      </c>
      <c r="U4" s="291" t="s">
        <v>41</v>
      </c>
      <c r="V4" s="291" t="s">
        <v>285</v>
      </c>
      <c r="W4" s="291" t="s">
        <v>72</v>
      </c>
      <c r="X4" s="291" t="s">
        <v>73</v>
      </c>
      <c r="Y4" s="291" t="s">
        <v>19</v>
      </c>
      <c r="Z4" s="291" t="s">
        <v>71</v>
      </c>
      <c r="AA4" s="291" t="s">
        <v>41</v>
      </c>
      <c r="AB4" s="291" t="s">
        <v>285</v>
      </c>
      <c r="AC4" s="291" t="s">
        <v>72</v>
      </c>
      <c r="AD4" s="291" t="s">
        <v>73</v>
      </c>
      <c r="AE4" s="291" t="s">
        <v>19</v>
      </c>
      <c r="AF4" s="291" t="s">
        <v>71</v>
      </c>
      <c r="AG4" s="291" t="s">
        <v>41</v>
      </c>
      <c r="AH4" s="291" t="s">
        <v>285</v>
      </c>
      <c r="AI4" s="291" t="s">
        <v>72</v>
      </c>
      <c r="AJ4" s="291" t="s">
        <v>73</v>
      </c>
      <c r="AK4" s="291" t="s">
        <v>19</v>
      </c>
      <c r="AL4" s="291" t="s">
        <v>71</v>
      </c>
      <c r="AM4" s="291" t="s">
        <v>41</v>
      </c>
      <c r="AN4" s="291" t="s">
        <v>285</v>
      </c>
      <c r="AO4" s="291" t="s">
        <v>72</v>
      </c>
      <c r="AP4" s="291" t="s">
        <v>73</v>
      </c>
      <c r="AQ4" s="291" t="s">
        <v>19</v>
      </c>
      <c r="AR4" s="291" t="s">
        <v>71</v>
      </c>
      <c r="AS4" s="291" t="s">
        <v>41</v>
      </c>
      <c r="AT4" s="291" t="s">
        <v>285</v>
      </c>
      <c r="AU4" s="291" t="s">
        <v>72</v>
      </c>
      <c r="AV4" s="291" t="s">
        <v>73</v>
      </c>
      <c r="AW4" s="291" t="s">
        <v>19</v>
      </c>
      <c r="AX4" s="291" t="s">
        <v>71</v>
      </c>
      <c r="AY4" s="291" t="s">
        <v>41</v>
      </c>
      <c r="AZ4" s="291" t="s">
        <v>285</v>
      </c>
      <c r="BA4" s="291" t="s">
        <v>72</v>
      </c>
      <c r="BB4" s="291" t="s">
        <v>73</v>
      </c>
    </row>
    <row r="5" spans="1:54" x14ac:dyDescent="0.3">
      <c r="A5" s="80" t="s">
        <v>293</v>
      </c>
      <c r="B5" s="292" t="str">
        <f>IF('1 page results - 1 Target'!D7&lt;&gt;"",'1 page results - 1 Target'!D7,IF('1 page results - 2 Targets'!D7&lt;&gt;"",'1 page results - 2 Targets'!D7,"blank"))</f>
        <v>10-18-223 (TIP #W-5710AM)</v>
      </c>
      <c r="C5" s="292" t="str">
        <f>IF('1 page results - 1 Target'!D9&lt;&gt;"",'1 page results - 1 Target'!D9,IF('1 page results - 2 Targets'!D9&lt;&gt;"",'1 page results - 2 Targets'!D9,"blank"))</f>
        <v>SR 1001 (Sikes Mill Road) at SR 1617 (Tom Boyd Road)</v>
      </c>
      <c r="D5" s="292" t="str">
        <f>IF('1 page results - 1 Target'!D14&lt;&gt;"",'1 page results - 1 Target'!D14,IF('1 page results - 2 Targets'!D14&lt;&gt;"",'1 page results - 2 Targets'!D14,"blank"))</f>
        <v>Union</v>
      </c>
      <c r="E5" s="292" t="str">
        <f>IF('1 page results - 1 Target'!D13&lt;&gt;"",'1 page results - 1 Target'!D13,IF('1 page results - 2 Targets'!D13&lt;&gt;"",'1 page results - 2 Targets'!D13,"blank"))</f>
        <v>35.081578, -80.500362</v>
      </c>
      <c r="F5" s="292" t="str">
        <f>IF('1 page results - 1 Target'!D23&lt;&gt;"",'1 page results - 1 Target'!D23,IF('1 page results - 2 Targets'!D23&lt;&gt;"",'1 page results - 2 Targets'!D23,"blank"))</f>
        <v>$30,000</v>
      </c>
      <c r="G5" s="292" t="str">
        <f>IF('1 page results - 1 Target'!D18&lt;&gt;"",'1 page results - 1 Target'!D18,IF('1 page results - 2 Targets'!D18&lt;&gt;"",'1 page results - 2 Targets'!D18,"blank"))</f>
        <v>Convert intersection to All-Way STOP Control (AWSC), including:
   • On SR 1001 approaches,
      - Installation of 36" STOP signs (R1-1)
      - Replacement of Cross Road (W2-1) Warning signs with STOP Ahead (W3-1) Warning signs with flashing beacons
   • On SR 1617 approaches,
      - Replacement of the existing 30" STOP signs with 36" STOP signs (R1-1)
   • On all approaches, installation of STOP AHEAD and STOP pavement markings and stop bars</v>
      </c>
      <c r="H5" s="94"/>
      <c r="I5" s="94"/>
      <c r="J5" s="94"/>
      <c r="K5" s="94" t="n">
        <f>IF(YEAR('Evaluation Set-up'!$D$10) = YEAR('Evaluation Set-up'!$E$10), YEAR('Evaluation Set-up'!$D$10), YEAR('Evaluation Set-up'!$D$10)&amp;" - "&amp;YEAR('Evaluation Set-up'!$E$10))</f>
        <v>2021</v>
      </c>
      <c r="L5" s="94" t="n">
        <f>IF(VLOOKUP(YEAR('Evaluation Set-up'!$D$10)-3,$J$13:$K$37,2,0)&lt;&gt;12,"",YEAR('Evaluation Set-up'!$D$10)-3)</f>
        <v>2018</v>
      </c>
      <c r="M5" s="94" t="n">
        <f>IF(VLOOKUP(YEAR('Evaluation Set-up'!$D$10)-2,$J$13:$K$37,2,0)&lt;&gt;12,"",YEAR('Evaluation Set-up'!$D$10)-2)</f>
        <v>2019</v>
      </c>
      <c r="N5" s="94" t="n">
        <f>IF(VLOOKUP(YEAR('Evaluation Set-up'!$D$10)-1,$J$13:$K$37,2,0)&lt;&gt;12,"",YEAR('Evaluation Set-up'!$D$10)-1)</f>
        <v>2020</v>
      </c>
      <c r="O5" s="94" t="n">
        <f>IF(VLOOKUP(YEAR('Evaluation Set-up'!$E$10)+1,$Y$13:$Z$37,2,0)&lt;&gt;12,"",YEAR('Evaluation Set-up'!$E$10)+1)</f>
        <v>2022</v>
      </c>
      <c r="P5" s="94" t="n">
        <f>IF(VLOOKUP(YEAR('Evaluation Set-up'!$E$10)+2,$Y$13:$Z$37,2,0)&lt;&gt;12,"",YEAR('Evaluation Set-up'!$E$10)+2)</f>
        <v>2023</v>
      </c>
      <c r="Q5" s="94" t="n">
        <f>IF(VLOOKUP(YEAR('Evaluation Set-up'!$E$10)+3,$Y$13:$Z$37,2,0)&lt;&gt;12,"",YEAR('Evaluation Set-up'!$E$10)+3)</f>
        <v>2024</v>
      </c>
      <c r="R5" s="294"/>
      <c r="S5" s="94" t="n">
        <f>VLOOKUP($L5, $B$12:$H$37, 2, 0)</f>
        <v>4</v>
      </c>
      <c r="T5" s="94" t="n">
        <f>VLOOKUP($L5, $B$12:$H$37, 3, 0)</f>
        <v>2</v>
      </c>
      <c r="U5" s="94" t="n">
        <f>VLOOKUP($L5, $B$12:$H$37, 4, 0)</f>
        <v>0</v>
      </c>
      <c r="V5" s="94" t="n">
        <f>VLOOKUP($L5, $B$12:$H$37, 5, 0)</f>
        <v>2</v>
      </c>
      <c r="W5" s="94" t="n">
        <f>VLOOKUP($L5, $B$12:$H$37, 6, 0)</f>
        <v>3700</v>
      </c>
      <c r="X5" s="94" t="n">
        <f>VLOOKUP($L5, $B$12:$H$37, 7, 0)</f>
        <v>1400</v>
      </c>
      <c r="Y5" s="94" t="n">
        <f>VLOOKUP($M5, $B$12:$H$37, 2, 0)</f>
        <v>1</v>
      </c>
      <c r="Z5" s="94" t="n">
        <f>VLOOKUP($M5, $B$12:$H$37, 3, 0)</f>
        <v>0</v>
      </c>
      <c r="AA5" s="94" t="n">
        <f>VLOOKUP($M5, $B$12:$H$37, 4, 0)</f>
        <v>0</v>
      </c>
      <c r="AB5" s="94" t="n">
        <f>VLOOKUP($M5, $B$12:$H$37, 5, 0)</f>
        <v>0</v>
      </c>
      <c r="AC5" s="94" t="n">
        <f>VLOOKUP($M5, $B$12:$H$37, 6, 0)</f>
        <v>3675</v>
      </c>
      <c r="AD5" s="94" t="n">
        <f>VLOOKUP($M5, $B$12:$H$37, 7, 0)</f>
        <v>1400</v>
      </c>
      <c r="AE5" s="94" t="n">
        <f>VLOOKUP($N5, $B$12:$H$37, 2, 0)</f>
        <v>3</v>
      </c>
      <c r="AF5" s="94" t="n">
        <f>VLOOKUP($N5, $B$12:$H$37, 3, 0)</f>
        <v>2</v>
      </c>
      <c r="AG5" s="94" t="n">
        <f>VLOOKUP($N5, $B$12:$H$37, 4, 0)</f>
        <v>1</v>
      </c>
      <c r="AH5" s="94" t="n">
        <f>VLOOKUP($N5, $B$12:$H$37, 5, 0)</f>
        <v>1</v>
      </c>
      <c r="AI5" s="94" t="n">
        <f>VLOOKUP($N5, $B$12:$H$37, 6, 0)</f>
        <v>3300</v>
      </c>
      <c r="AJ5" s="94" t="n">
        <f>VLOOKUP($N5, $B$12:$H$37, 7, 0)</f>
        <v>1400</v>
      </c>
      <c r="AK5" s="94" t="n">
        <f>VLOOKUP($O5, $B$12:$H$37, 2, 0)</f>
        <v>0</v>
      </c>
      <c r="AL5" s="94" t="n">
        <f>VLOOKUP($O5, $B$12:$H$37, 3, 0)</f>
        <v>0</v>
      </c>
      <c r="AM5" s="94" t="n">
        <f>VLOOKUP($O5, $B$12:$H$37, 4, 0)</f>
        <v>0</v>
      </c>
      <c r="AN5" s="94" t="n">
        <f>VLOOKUP($O5, $B$12:$H$37, 5, 0)</f>
        <v>0</v>
      </c>
      <c r="AO5" s="94" t="n">
        <f>VLOOKUP($O5, $B$12:$H$37, 6, 0)</f>
        <v>2800</v>
      </c>
      <c r="AP5" s="94" t="n">
        <f>VLOOKUP($O5, $B$12:$H$37, 7, 0)</f>
        <v>1400</v>
      </c>
      <c r="AQ5" s="94" t="n">
        <f>VLOOKUP($P5, $B$12:$H$37, 2, 0)</f>
        <v>0</v>
      </c>
      <c r="AR5" s="94" t="n">
        <f>VLOOKUP($P5, $B$12:$H$37, 3, 0)</f>
        <v>0</v>
      </c>
      <c r="AS5" s="94" t="n">
        <f>VLOOKUP($P5, $B$12:$H$37, 4, 0)</f>
        <v>0</v>
      </c>
      <c r="AT5" s="94" t="n">
        <f>VLOOKUP($P5, $B$12:$H$37, 5, 0)</f>
        <v>0</v>
      </c>
      <c r="AU5" s="94" t="n">
        <f>VLOOKUP($P5, $B$12:$H$37, 6, 0)</f>
        <v>2800</v>
      </c>
      <c r="AV5" s="94" t="n">
        <f>VLOOKUP($P5, $B$12:$H$37, 7, 0)</f>
        <v>1400</v>
      </c>
      <c r="AW5" s="94" t="n">
        <f>VLOOKUP($Q5, $B$12:$H$37, 2, 0)</f>
        <v>4</v>
      </c>
      <c r="AX5" s="94" t="n">
        <f>VLOOKUP($Q5, $B$12:$H$37, 3, 0)</f>
        <v>3</v>
      </c>
      <c r="AY5" s="94" t="n">
        <f>VLOOKUP($Q5, $B$12:$H$37, 4, 0)</f>
        <v>1</v>
      </c>
      <c r="AZ5" s="94" t="n">
        <f>VLOOKUP($Q5, $B$12:$H$37, 5, 0)</f>
        <v>1</v>
      </c>
      <c r="BA5" s="94" t="n">
        <f>VLOOKUP($Q5, $B$12:$H$37, 6, 0)</f>
        <v>2800</v>
      </c>
      <c r="BB5" s="94" t="n">
        <f>VLOOKUP($Q5, $B$12:$H$37, 7, 0)</f>
        <v>1400</v>
      </c>
    </row>
    <row r="6" spans="1:54" x14ac:dyDescent="0.3">
      <c r="Q6" s="2"/>
      <c r="R6" s="2"/>
      <c r="S6" s="2"/>
    </row>
    <row r="7" spans="1:54" x14ac:dyDescent="0.3">
      <c r="A7" t="s">
        <v>294</v>
      </c>
      <c r="Q7" s="2"/>
      <c r="R7" s="2"/>
      <c r="S7" s="2"/>
    </row>
    <row r="8" spans="1:54" x14ac:dyDescent="0.3">
      <c r="Q8" s="2"/>
      <c r="R8" s="2"/>
      <c r="S8" s="2"/>
    </row>
    <row r="9" spans="1:54" x14ac:dyDescent="0.3">
      <c r="Q9" s="2"/>
      <c r="R9" s="2"/>
      <c r="S9" s="2"/>
    </row>
    <row r="10" spans="1:54" ht="15" thickBot="1" x14ac:dyDescent="0.35">
      <c r="J10"/>
      <c r="P10" s="2"/>
      <c r="Q10" s="2"/>
      <c r="R10" s="2"/>
    </row>
    <row r="11" spans="1:54" s="316" customFormat="1" ht="30" customHeight="1" thickBot="1" x14ac:dyDescent="0.35">
      <c r="G11" s="289"/>
      <c r="H11" s="289"/>
      <c r="I11" s="289"/>
      <c r="J11" s="552" t="s">
        <v>288</v>
      </c>
      <c r="K11" s="554"/>
      <c r="L11" s="552" t="s">
        <v>284</v>
      </c>
      <c r="M11" s="553"/>
      <c r="N11" s="553"/>
      <c r="O11" s="553"/>
      <c r="P11" s="553"/>
      <c r="Q11" s="553"/>
      <c r="R11" s="553"/>
      <c r="S11" s="553"/>
      <c r="T11" s="553"/>
      <c r="U11" s="553"/>
      <c r="V11" s="553"/>
      <c r="W11" s="554"/>
      <c r="X11" s="289"/>
      <c r="Y11" s="552" t="s">
        <v>289</v>
      </c>
      <c r="Z11" s="554"/>
      <c r="AA11" s="552" t="s">
        <v>284</v>
      </c>
      <c r="AB11" s="553"/>
      <c r="AC11" s="553"/>
      <c r="AD11" s="553"/>
      <c r="AE11" s="553"/>
      <c r="AF11" s="553"/>
      <c r="AG11" s="553"/>
      <c r="AH11" s="553"/>
      <c r="AI11" s="553"/>
      <c r="AJ11" s="553"/>
      <c r="AK11" s="553"/>
      <c r="AL11" s="554"/>
    </row>
    <row r="12" spans="1:54" s="288" customFormat="1" ht="29.4" thickBot="1" x14ac:dyDescent="0.35">
      <c r="B12" s="317" t="s">
        <v>32</v>
      </c>
      <c r="C12" s="298" t="s">
        <v>19</v>
      </c>
      <c r="D12" s="299" t="s">
        <v>71</v>
      </c>
      <c r="E12" s="299" t="s">
        <v>41</v>
      </c>
      <c r="F12" s="300" t="s">
        <v>285</v>
      </c>
      <c r="G12" s="298" t="s">
        <v>72</v>
      </c>
      <c r="H12" s="300" t="s">
        <v>73</v>
      </c>
      <c r="I12" s="287"/>
      <c r="J12" s="277" t="s">
        <v>295</v>
      </c>
      <c r="K12" s="278" t="s">
        <v>286</v>
      </c>
      <c r="L12" s="302">
        <v>1</v>
      </c>
      <c r="M12" s="303">
        <v>2</v>
      </c>
      <c r="N12" s="303">
        <v>3</v>
      </c>
      <c r="O12" s="303">
        <v>4</v>
      </c>
      <c r="P12" s="303">
        <v>5</v>
      </c>
      <c r="Q12" s="303">
        <v>6</v>
      </c>
      <c r="R12" s="303">
        <v>7</v>
      </c>
      <c r="S12" s="303">
        <v>8</v>
      </c>
      <c r="T12" s="303">
        <v>9</v>
      </c>
      <c r="U12" s="303">
        <v>10</v>
      </c>
      <c r="V12" s="303">
        <v>11</v>
      </c>
      <c r="W12" s="304">
        <v>12</v>
      </c>
      <c r="X12" s="287"/>
      <c r="Y12" s="277" t="s">
        <v>295</v>
      </c>
      <c r="Z12" s="278" t="s">
        <v>287</v>
      </c>
      <c r="AA12" s="303">
        <v>1</v>
      </c>
      <c r="AB12" s="303">
        <v>2</v>
      </c>
      <c r="AC12" s="303">
        <v>3</v>
      </c>
      <c r="AD12" s="303">
        <v>4</v>
      </c>
      <c r="AE12" s="303">
        <v>5</v>
      </c>
      <c r="AF12" s="303">
        <v>6</v>
      </c>
      <c r="AG12" s="303">
        <v>7</v>
      </c>
      <c r="AH12" s="303">
        <v>8</v>
      </c>
      <c r="AI12" s="303">
        <v>9</v>
      </c>
      <c r="AJ12" s="303">
        <v>10</v>
      </c>
      <c r="AK12" s="303">
        <v>11</v>
      </c>
      <c r="AL12" s="304">
        <v>12</v>
      </c>
    </row>
    <row r="13" spans="1:54" x14ac:dyDescent="0.3">
      <c r="B13" s="318">
        <v>2006</v>
      </c>
      <c r="C13" s="320" t="n">
        <f>COUNTIF(Before!$P:$P,B13) + COUNTIF(After!$P:$P,B13)</f>
        <v>0</v>
      </c>
      <c r="D13" s="321" t="n">
        <f>COUNTIFS(Before!$C:$C,"&gt;=23",Before!$C:$C,"&lt;=27", Before!$P:$P,B13)+COUNTIFS(Before!$C:$C,"30", Before!$P:$P,B13) + COUNTIFS(After!$C:$C,"&gt;=23",After!$C:$C,"&lt;=27", After!$P:$P,B13)+COUNTIFS(After!$C:$C,"30", After!$P:$P,B13)</f>
        <v>0</v>
      </c>
      <c r="E13" s="321" t="n">
        <f>COUNTIFS(Before!$C:$C,"&gt;=21",Before!$C:$C,"&lt;=22", Before!$P:$P,B13) + COUNTIFS(After!$C:$C,"&gt;=21",After!$C:$C,"&lt;=22", After!$P:$P,B13)</f>
        <v>0</v>
      </c>
      <c r="F13" s="322" t="n">
        <f>COUNTIFS(Before!$P:$P,$B13, Before!$G:$G, "K") + COUNTIFS(Before!$P:$P,$B13, Before!$G:$G, "A") + COUNTIFS(Before!$P:$P,$B13, Before!$G:$G, "B") + COUNTIFS(Before!$P:$P,$B13, Before!$G:$G, "C")
+ COUNTIFS(After!$P:$P,$B13, After!$G:$G, "K") + COUNTIFS(After!$P:$P,$B13, After!$G:$G, "A") + COUNTIFS(After!$P:$P,$B13, After!$G:$G, "B") + COUNTIFS(After!$P:$P,$B13, After!$G:$G, "C")</f>
        <v>0</v>
      </c>
      <c r="G13" s="325" t="str">
        <f>VLOOKUP($B13, 'Evaluation Set-up'!$K$11:$R$35, 4, FALSE)</f>
        <v/>
      </c>
      <c r="H13" s="326" t="str">
        <f>VLOOKUP($B13, 'Evaluation Set-up'!$K$11:$R$35, 7, FALSE)</f>
        <v/>
      </c>
      <c r="J13" s="305">
        <v>2006</v>
      </c>
      <c r="K13" s="306" t="n">
        <f>COUNTIFS(L13:W13, "Before")</f>
        <v>0</v>
      </c>
      <c r="L13" s="305" t="str">
        <f>IF(OR(DATE($J13, L$12, 1) &lt; 'Evaluation Set-up'!$D$9, DATE($J13, L$12, 1) &gt;= 'Evaluation Set-up'!$E$9), "", "Before")</f>
        <v/>
      </c>
      <c r="M13" s="310" t="str">
        <f>IF(OR(DATE($J13, M$12, 1) &lt; 'Evaluation Set-up'!$D$9, DATE($J13, M$12, 1) &gt;= 'Evaluation Set-up'!$E$9), "", "Before")</f>
        <v/>
      </c>
      <c r="N13" s="310" t="str">
        <f>IF(OR(DATE($J13, N$12, 1) &lt; 'Evaluation Set-up'!$D$9, DATE($J13, N$12, 1) &gt;= 'Evaluation Set-up'!$E$9), "", "Before")</f>
        <v/>
      </c>
      <c r="O13" s="310" t="str">
        <f>IF(OR(DATE($J13, O$12, 1) &lt; 'Evaluation Set-up'!$D$9, DATE($J13, O$12, 1) &gt;= 'Evaluation Set-up'!$E$9), "", "Before")</f>
        <v/>
      </c>
      <c r="P13" s="310" t="str">
        <f>IF(OR(DATE($J13, P$12, 1) &lt; 'Evaluation Set-up'!$D$9, DATE($J13, P$12, 1) &gt;= 'Evaluation Set-up'!$E$9), "", "Before")</f>
        <v/>
      </c>
      <c r="Q13" s="310" t="str">
        <f>IF(OR(DATE($J13, Q$12, 1) &lt; 'Evaluation Set-up'!$D$9, DATE($J13, Q$12, 1) &gt;= 'Evaluation Set-up'!$E$9), "", "Before")</f>
        <v/>
      </c>
      <c r="R13" s="310" t="str">
        <f>IF(OR(DATE($J13, R$12, 1) &lt; 'Evaluation Set-up'!$D$9, DATE($J13, R$12, 1) &gt;= 'Evaluation Set-up'!$E$9), "", "Before")</f>
        <v/>
      </c>
      <c r="S13" s="310" t="str">
        <f>IF(OR(DATE($J13, S$12, 1) &lt; 'Evaluation Set-up'!$D$9, DATE($J13, S$12, 1) &gt;= 'Evaluation Set-up'!$E$9), "", "Before")</f>
        <v/>
      </c>
      <c r="T13" s="310" t="str">
        <f>IF(OR(DATE($J13, T$12, 1) &lt; 'Evaluation Set-up'!$D$9, DATE($J13, T$12, 1) &gt;= 'Evaluation Set-up'!$E$9), "", "Before")</f>
        <v/>
      </c>
      <c r="U13" s="310" t="str">
        <f>IF(OR(DATE($J13, U$12, 1) &lt; 'Evaluation Set-up'!$D$9, DATE($J13, U$12, 1) &gt;= 'Evaluation Set-up'!$E$9), "", "Before")</f>
        <v/>
      </c>
      <c r="V13" s="310" t="str">
        <f>IF(OR(DATE($J13, V$12, 1) &lt; 'Evaluation Set-up'!$D$9, DATE($J13, V$12, 1) &gt;= 'Evaluation Set-up'!$E$9), "", "Before")</f>
        <v/>
      </c>
      <c r="W13" s="311" t="str">
        <f>IF(OR(DATE($J13, W$12, 1) &lt; 'Evaluation Set-up'!$D$9, DATE($J13, W$12, 1) &gt;= 'Evaluation Set-up'!$E$9), "", "Before")</f>
        <v/>
      </c>
      <c r="X13" s="2"/>
      <c r="Y13" s="305">
        <v>2006</v>
      </c>
      <c r="Z13" s="306" t="n">
        <f>COUNTIFS(AA13:AL13, "After")</f>
        <v>0</v>
      </c>
      <c r="AA13" s="310" t="str">
        <f>IF(OR(DATE($Y13, L$12, 1) &lt; 'Evaluation Set-up'!$D$11, DATE($Y13, L$12, 1) &gt;= 'Evaluation Set-up'!$E$11), "", "After")</f>
        <v/>
      </c>
      <c r="AB13" s="310" t="str">
        <f>IF(OR(DATE($Y13, M$12, 1) &lt; 'Evaluation Set-up'!$D$11, DATE($Y13, M$12, 1) &gt;= 'Evaluation Set-up'!$E$11), "", "After")</f>
        <v/>
      </c>
      <c r="AC13" s="310" t="str">
        <f>IF(OR(DATE($Y13, N$12, 1) &lt; 'Evaluation Set-up'!$D$11, DATE($Y13, N$12, 1) &gt;= 'Evaluation Set-up'!$E$11), "", "After")</f>
        <v/>
      </c>
      <c r="AD13" s="310" t="str">
        <f>IF(OR(DATE($Y13, O$12, 1) &lt; 'Evaluation Set-up'!$D$11, DATE($Y13, O$12, 1) &gt;= 'Evaluation Set-up'!$E$11), "", "After")</f>
        <v/>
      </c>
      <c r="AE13" s="310" t="str">
        <f>IF(OR(DATE($Y13, P$12, 1) &lt; 'Evaluation Set-up'!$D$11, DATE($Y13, P$12, 1) &gt;= 'Evaluation Set-up'!$E$11), "", "After")</f>
        <v/>
      </c>
      <c r="AF13" s="310" t="str">
        <f>IF(OR(DATE($Y13, Q$12, 1) &lt; 'Evaluation Set-up'!$D$11, DATE($Y13, Q$12, 1) &gt;= 'Evaluation Set-up'!$E$11), "", "After")</f>
        <v/>
      </c>
      <c r="AG13" s="310" t="str">
        <f>IF(OR(DATE($Y13, R$12, 1) &lt; 'Evaluation Set-up'!$D$11, DATE($Y13, R$12, 1) &gt;= 'Evaluation Set-up'!$E$11), "", "After")</f>
        <v/>
      </c>
      <c r="AH13" s="310" t="str">
        <f>IF(OR(DATE($Y13, S$12, 1) &lt; 'Evaluation Set-up'!$D$11, DATE($Y13, S$12, 1) &gt;= 'Evaluation Set-up'!$E$11), "", "After")</f>
        <v/>
      </c>
      <c r="AI13" s="310" t="str">
        <f>IF(OR(DATE($Y13, T$12, 1) &lt; 'Evaluation Set-up'!$D$11, DATE($Y13, T$12, 1) &gt;= 'Evaluation Set-up'!$E$11), "", "After")</f>
        <v/>
      </c>
      <c r="AJ13" s="310" t="str">
        <f>IF(OR(DATE($Y13, U$12, 1) &lt; 'Evaluation Set-up'!$D$11, DATE($Y13, U$12, 1) &gt;= 'Evaluation Set-up'!$E$11), "", "After")</f>
        <v/>
      </c>
      <c r="AK13" s="310" t="str">
        <f>IF(OR(DATE($Y13, V$12, 1) &lt; 'Evaluation Set-up'!$D$11, DATE($Y13, V$12, 1) &gt;= 'Evaluation Set-up'!$E$11), "", "After")</f>
        <v/>
      </c>
      <c r="AL13" s="311" t="str">
        <f>IF(OR(DATE($Y13, W$12, 1) &lt; 'Evaluation Set-up'!$D$11, DATE($Y13, W$12, 1) &gt;= 'Evaluation Set-up'!$E$11), "", "After")</f>
        <v/>
      </c>
    </row>
    <row r="14" spans="1:54" x14ac:dyDescent="0.3">
      <c r="B14" s="319">
        <v>2007</v>
      </c>
      <c r="C14" s="323" t="n">
        <f>COUNTIF(Before!$P:$P,B14) + COUNTIF(After!$P:$P,B14)</f>
        <v>0</v>
      </c>
      <c r="D14" s="94" t="n">
        <f>COUNTIFS(Before!$C:$C,"&gt;=23",Before!$C:$C,"&lt;=27", Before!$P:$P,B14)+COUNTIFS(Before!$C:$C,"30", Before!$P:$P,B14) + COUNTIFS(After!$C:$C,"&gt;=23",After!$C:$C,"&lt;=27", After!$P:$P,B14)+COUNTIFS(After!$C:$C,"30", After!$P:$P,B14)</f>
        <v>0</v>
      </c>
      <c r="E14" s="94" t="n">
        <f>COUNTIFS(Before!$C:$C,"&gt;=21",Before!$C:$C,"&lt;=22", Before!$P:$P,B14) + COUNTIFS(After!$C:$C,"&gt;=21",After!$C:$C,"&lt;=22", After!$P:$P,B14)</f>
        <v>0</v>
      </c>
      <c r="F14" s="324" t="n">
        <f>COUNTIFS(Before!$P:$P,$B14, Before!$G:$G, "K") + COUNTIFS(Before!$P:$P,$B14, Before!$G:$G, "A") + COUNTIFS(Before!$P:$P,$B14, Before!$G:$G, "B") + COUNTIFS(Before!$P:$P,$B14, Before!$G:$G, "C")
+ COUNTIFS(After!$P:$P,$B14, After!$G:$G, "K") + COUNTIFS(After!$P:$P,$B14, After!$G:$G, "A") + COUNTIFS(After!$P:$P,$B14, After!$G:$G, "B") + COUNTIFS(After!$P:$P,$B14, After!$G:$G, "C")</f>
        <v>0</v>
      </c>
      <c r="G14" s="327" t="str">
        <f>VLOOKUP($B14, 'Evaluation Set-up'!$K$11:$R$35, 4, FALSE)</f>
        <v/>
      </c>
      <c r="H14" s="328" t="str">
        <f>VLOOKUP($B14, 'Evaluation Set-up'!$K$11:$R$35, 7, FALSE)</f>
        <v/>
      </c>
      <c r="J14" s="290">
        <v>2007</v>
      </c>
      <c r="K14" s="307" t="n">
        <f t="shared" ref="K14:K37" si="0">COUNTIFS(L14:W14, "Before")</f>
        <v>0</v>
      </c>
      <c r="L14" s="290" t="str">
        <f>IF(OR(DATE($J14, L$12, 1) &lt; 'Evaluation Set-up'!$D$9, DATE($J14, L$12, 1) &gt;= 'Evaluation Set-up'!$E$9), "", "Before")</f>
        <v/>
      </c>
      <c r="M14" s="2" t="str">
        <f>IF(OR(DATE($J14, M$12, 1) &lt; 'Evaluation Set-up'!$D$9, DATE($J14, M$12, 1) &gt;= 'Evaluation Set-up'!$E$9), "", "Before")</f>
        <v/>
      </c>
      <c r="N14" s="2" t="str">
        <f>IF(OR(DATE($J14, N$12, 1) &lt; 'Evaluation Set-up'!$D$9, DATE($J14, N$12, 1) &gt;= 'Evaluation Set-up'!$E$9), "", "Before")</f>
        <v/>
      </c>
      <c r="O14" s="2" t="str">
        <f>IF(OR(DATE($J14, O$12, 1) &lt; 'Evaluation Set-up'!$D$9, DATE($J14, O$12, 1) &gt;= 'Evaluation Set-up'!$E$9), "", "Before")</f>
        <v/>
      </c>
      <c r="P14" s="2" t="str">
        <f>IF(OR(DATE($J14, P$12, 1) &lt; 'Evaluation Set-up'!$D$9, DATE($J14, P$12, 1) &gt;= 'Evaluation Set-up'!$E$9), "", "Before")</f>
        <v/>
      </c>
      <c r="Q14" s="2" t="str">
        <f>IF(OR(DATE($J14, Q$12, 1) &lt; 'Evaluation Set-up'!$D$9, DATE($J14, Q$12, 1) &gt;= 'Evaluation Set-up'!$E$9), "", "Before")</f>
        <v/>
      </c>
      <c r="R14" s="2" t="str">
        <f>IF(OR(DATE($J14, R$12, 1) &lt; 'Evaluation Set-up'!$D$9, DATE($J14, R$12, 1) &gt;= 'Evaluation Set-up'!$E$9), "", "Before")</f>
        <v/>
      </c>
      <c r="S14" s="2" t="str">
        <f>IF(OR(DATE($J14, S$12, 1) &lt; 'Evaluation Set-up'!$D$9, DATE($J14, S$12, 1) &gt;= 'Evaluation Set-up'!$E$9), "", "Before")</f>
        <v/>
      </c>
      <c r="T14" s="2" t="str">
        <f>IF(OR(DATE($J14, T$12, 1) &lt; 'Evaluation Set-up'!$D$9, DATE($J14, T$12, 1) &gt;= 'Evaluation Set-up'!$E$9), "", "Before")</f>
        <v/>
      </c>
      <c r="U14" s="2" t="str">
        <f>IF(OR(DATE($J14, U$12, 1) &lt; 'Evaluation Set-up'!$D$9, DATE($J14, U$12, 1) &gt;= 'Evaluation Set-up'!$E$9), "", "Before")</f>
        <v/>
      </c>
      <c r="V14" s="2" t="str">
        <f>IF(OR(DATE($J14, V$12, 1) &lt; 'Evaluation Set-up'!$D$9, DATE($J14, V$12, 1) &gt;= 'Evaluation Set-up'!$E$9), "", "Before")</f>
        <v/>
      </c>
      <c r="W14" s="312" t="str">
        <f>IF(OR(DATE($J14, W$12, 1) &lt; 'Evaluation Set-up'!$D$9, DATE($J14, W$12, 1) &gt;= 'Evaluation Set-up'!$E$9), "", "Before")</f>
        <v/>
      </c>
      <c r="X14" s="2"/>
      <c r="Y14" s="290">
        <v>2007</v>
      </c>
      <c r="Z14" s="307" t="n">
        <f t="shared" ref="Z14:Z37" si="1">COUNTIFS(AA14:AL14, "After")</f>
        <v>0</v>
      </c>
      <c r="AA14" s="2" t="str">
        <f>IF(OR(DATE($Y14, L$12, 1) &lt; 'Evaluation Set-up'!$D$11, DATE($Y14, L$12, 1) &gt;= 'Evaluation Set-up'!$E$11), "", "After")</f>
        <v/>
      </c>
      <c r="AB14" s="2" t="str">
        <f>IF(OR(DATE($Y14, M$12, 1) &lt; 'Evaluation Set-up'!$D$11, DATE($Y14, M$12, 1) &gt;= 'Evaluation Set-up'!$E$11), "", "After")</f>
        <v/>
      </c>
      <c r="AC14" s="2" t="str">
        <f>IF(OR(DATE($Y14, N$12, 1) &lt; 'Evaluation Set-up'!$D$11, DATE($Y14, N$12, 1) &gt;= 'Evaluation Set-up'!$E$11), "", "After")</f>
        <v/>
      </c>
      <c r="AD14" s="2" t="str">
        <f>IF(OR(DATE($Y14, O$12, 1) &lt; 'Evaluation Set-up'!$D$11, DATE($Y14, O$12, 1) &gt;= 'Evaluation Set-up'!$E$11), "", "After")</f>
        <v/>
      </c>
      <c r="AE14" s="2" t="str">
        <f>IF(OR(DATE($Y14, P$12, 1) &lt; 'Evaluation Set-up'!$D$11, DATE($Y14, P$12, 1) &gt;= 'Evaluation Set-up'!$E$11), "", "After")</f>
        <v/>
      </c>
      <c r="AF14" s="2" t="str">
        <f>IF(OR(DATE($Y14, Q$12, 1) &lt; 'Evaluation Set-up'!$D$11, DATE($Y14, Q$12, 1) &gt;= 'Evaluation Set-up'!$E$11), "", "After")</f>
        <v/>
      </c>
      <c r="AG14" s="2" t="str">
        <f>IF(OR(DATE($Y14, R$12, 1) &lt; 'Evaluation Set-up'!$D$11, DATE($Y14, R$12, 1) &gt;= 'Evaluation Set-up'!$E$11), "", "After")</f>
        <v/>
      </c>
      <c r="AH14" s="2" t="str">
        <f>IF(OR(DATE($Y14, S$12, 1) &lt; 'Evaluation Set-up'!$D$11, DATE($Y14, S$12, 1) &gt;= 'Evaluation Set-up'!$E$11), "", "After")</f>
        <v/>
      </c>
      <c r="AI14" s="2" t="str">
        <f>IF(OR(DATE($Y14, T$12, 1) &lt; 'Evaluation Set-up'!$D$11, DATE($Y14, T$12, 1) &gt;= 'Evaluation Set-up'!$E$11), "", "After")</f>
        <v/>
      </c>
      <c r="AJ14" s="2" t="str">
        <f>IF(OR(DATE($Y14, U$12, 1) &lt; 'Evaluation Set-up'!$D$11, DATE($Y14, U$12, 1) &gt;= 'Evaluation Set-up'!$E$11), "", "After")</f>
        <v/>
      </c>
      <c r="AK14" s="2" t="str">
        <f>IF(OR(DATE($Y14, V$12, 1) &lt; 'Evaluation Set-up'!$D$11, DATE($Y14, V$12, 1) &gt;= 'Evaluation Set-up'!$E$11), "", "After")</f>
        <v/>
      </c>
      <c r="AL14" s="312" t="str">
        <f>IF(OR(DATE($Y14, W$12, 1) &lt; 'Evaluation Set-up'!$D$11, DATE($Y14, W$12, 1) &gt;= 'Evaluation Set-up'!$E$11), "", "After")</f>
        <v/>
      </c>
      <c r="AM14" s="2"/>
      <c r="AN14" s="2"/>
      <c r="AO14" s="2"/>
      <c r="AP14" s="2"/>
      <c r="AQ14" s="2"/>
    </row>
    <row r="15" spans="1:54" x14ac:dyDescent="0.3">
      <c r="B15" s="319">
        <v>2008</v>
      </c>
      <c r="C15" s="323" t="n">
        <f>COUNTIF(Before!$P:$P,B15) + COUNTIF(After!$P:$P,B15)</f>
        <v>0</v>
      </c>
      <c r="D15" s="94" t="n">
        <f>COUNTIFS(Before!$C:$C,"&gt;=23",Before!$C:$C,"&lt;=27", Before!$P:$P,B15)+COUNTIFS(Before!$C:$C,"30", Before!$P:$P,B15) + COUNTIFS(After!$C:$C,"&gt;=23",After!$C:$C,"&lt;=27", After!$P:$P,B15)+COUNTIFS(After!$C:$C,"30", After!$P:$P,B15)</f>
        <v>0</v>
      </c>
      <c r="E15" s="94" t="n">
        <f>COUNTIFS(Before!$C:$C,"&gt;=21",Before!$C:$C,"&lt;=22", Before!$P:$P,B15) + COUNTIFS(After!$C:$C,"&gt;=21",After!$C:$C,"&lt;=22", After!$P:$P,B15)</f>
        <v>0</v>
      </c>
      <c r="F15" s="324" t="n">
        <f>COUNTIFS(Before!$P:$P,$B15, Before!$G:$G, "K") + COUNTIFS(Before!$P:$P,$B15, Before!$G:$G, "A") + COUNTIFS(Before!$P:$P,$B15, Before!$G:$G, "B") + COUNTIFS(Before!$P:$P,$B15, Before!$G:$G, "C")
+ COUNTIFS(After!$P:$P,$B15, After!$G:$G, "K") + COUNTIFS(After!$P:$P,$B15, After!$G:$G, "A") + COUNTIFS(After!$P:$P,$B15, After!$G:$G, "B") + COUNTIFS(After!$P:$P,$B15, After!$G:$G, "C")</f>
        <v>0</v>
      </c>
      <c r="G15" s="327" t="str">
        <f>VLOOKUP($B15, 'Evaluation Set-up'!$K$11:$R$35, 4, FALSE)</f>
        <v/>
      </c>
      <c r="H15" s="328" t="str">
        <f>VLOOKUP($B15, 'Evaluation Set-up'!$K$11:$R$35, 7, FALSE)</f>
        <v/>
      </c>
      <c r="J15" s="290">
        <v>2008</v>
      </c>
      <c r="K15" s="307" t="n">
        <f t="shared" si="0"/>
        <v>0</v>
      </c>
      <c r="L15" s="290" t="str">
        <f>IF(OR(DATE($J15, L$12, 1) &lt; 'Evaluation Set-up'!$D$9, DATE($J15, L$12, 1) &gt;= 'Evaluation Set-up'!$E$9), "", "Before")</f>
        <v/>
      </c>
      <c r="M15" s="2" t="str">
        <f>IF(OR(DATE($J15, M$12, 1) &lt; 'Evaluation Set-up'!$D$9, DATE($J15, M$12, 1) &gt;= 'Evaluation Set-up'!$E$9), "", "Before")</f>
        <v/>
      </c>
      <c r="N15" s="2" t="str">
        <f>IF(OR(DATE($J15, N$12, 1) &lt; 'Evaluation Set-up'!$D$9, DATE($J15, N$12, 1) &gt;= 'Evaluation Set-up'!$E$9), "", "Before")</f>
        <v/>
      </c>
      <c r="O15" s="2" t="str">
        <f>IF(OR(DATE($J15, O$12, 1) &lt; 'Evaluation Set-up'!$D$9, DATE($J15, O$12, 1) &gt;= 'Evaluation Set-up'!$E$9), "", "Before")</f>
        <v/>
      </c>
      <c r="P15" s="2" t="str">
        <f>IF(OR(DATE($J15, P$12, 1) &lt; 'Evaluation Set-up'!$D$9, DATE($J15, P$12, 1) &gt;= 'Evaluation Set-up'!$E$9), "", "Before")</f>
        <v/>
      </c>
      <c r="Q15" s="2" t="str">
        <f>IF(OR(DATE($J15, Q$12, 1) &lt; 'Evaluation Set-up'!$D$9, DATE($J15, Q$12, 1) &gt;= 'Evaluation Set-up'!$E$9), "", "Before")</f>
        <v/>
      </c>
      <c r="R15" s="2" t="str">
        <f>IF(OR(DATE($J15, R$12, 1) &lt; 'Evaluation Set-up'!$D$9, DATE($J15, R$12, 1) &gt;= 'Evaluation Set-up'!$E$9), "", "Before")</f>
        <v/>
      </c>
      <c r="S15" s="2" t="str">
        <f>IF(OR(DATE($J15, S$12, 1) &lt; 'Evaluation Set-up'!$D$9, DATE($J15, S$12, 1) &gt;= 'Evaluation Set-up'!$E$9), "", "Before")</f>
        <v/>
      </c>
      <c r="T15" s="2" t="str">
        <f>IF(OR(DATE($J15, T$12, 1) &lt; 'Evaluation Set-up'!$D$9, DATE($J15, T$12, 1) &gt;= 'Evaluation Set-up'!$E$9), "", "Before")</f>
        <v/>
      </c>
      <c r="U15" s="2" t="str">
        <f>IF(OR(DATE($J15, U$12, 1) &lt; 'Evaluation Set-up'!$D$9, DATE($J15, U$12, 1) &gt;= 'Evaluation Set-up'!$E$9), "", "Before")</f>
        <v/>
      </c>
      <c r="V15" s="2" t="str">
        <f>IF(OR(DATE($J15, V$12, 1) &lt; 'Evaluation Set-up'!$D$9, DATE($J15, V$12, 1) &gt;= 'Evaluation Set-up'!$E$9), "", "Before")</f>
        <v/>
      </c>
      <c r="W15" s="312" t="str">
        <f>IF(OR(DATE($J15, W$12, 1) &lt; 'Evaluation Set-up'!$D$9, DATE($J15, W$12, 1) &gt;= 'Evaluation Set-up'!$E$9), "", "Before")</f>
        <v/>
      </c>
      <c r="X15" s="2"/>
      <c r="Y15" s="290">
        <v>2008</v>
      </c>
      <c r="Z15" s="307" t="n">
        <f t="shared" si="1"/>
        <v>0</v>
      </c>
      <c r="AA15" s="2" t="str">
        <f>IF(OR(DATE($Y15, L$12, 1) &lt; 'Evaluation Set-up'!$D$11, DATE($Y15, L$12, 1) &gt;= 'Evaluation Set-up'!$E$11), "", "After")</f>
        <v/>
      </c>
      <c r="AB15" s="2" t="str">
        <f>IF(OR(DATE($Y15, M$12, 1) &lt; 'Evaluation Set-up'!$D$11, DATE($Y15, M$12, 1) &gt;= 'Evaluation Set-up'!$E$11), "", "After")</f>
        <v/>
      </c>
      <c r="AC15" s="2" t="str">
        <f>IF(OR(DATE($Y15, N$12, 1) &lt; 'Evaluation Set-up'!$D$11, DATE($Y15, N$12, 1) &gt;= 'Evaluation Set-up'!$E$11), "", "After")</f>
        <v/>
      </c>
      <c r="AD15" s="2" t="str">
        <f>IF(OR(DATE($Y15, O$12, 1) &lt; 'Evaluation Set-up'!$D$11, DATE($Y15, O$12, 1) &gt;= 'Evaluation Set-up'!$E$11), "", "After")</f>
        <v/>
      </c>
      <c r="AE15" s="2" t="str">
        <f>IF(OR(DATE($Y15, P$12, 1) &lt; 'Evaluation Set-up'!$D$11, DATE($Y15, P$12, 1) &gt;= 'Evaluation Set-up'!$E$11), "", "After")</f>
        <v/>
      </c>
      <c r="AF15" s="2" t="str">
        <f>IF(OR(DATE($Y15, Q$12, 1) &lt; 'Evaluation Set-up'!$D$11, DATE($Y15, Q$12, 1) &gt;= 'Evaluation Set-up'!$E$11), "", "After")</f>
        <v/>
      </c>
      <c r="AG15" s="2" t="str">
        <f>IF(OR(DATE($Y15, R$12, 1) &lt; 'Evaluation Set-up'!$D$11, DATE($Y15, R$12, 1) &gt;= 'Evaluation Set-up'!$E$11), "", "After")</f>
        <v/>
      </c>
      <c r="AH15" s="2" t="str">
        <f>IF(OR(DATE($Y15, S$12, 1) &lt; 'Evaluation Set-up'!$D$11, DATE($Y15, S$12, 1) &gt;= 'Evaluation Set-up'!$E$11), "", "After")</f>
        <v/>
      </c>
      <c r="AI15" s="2" t="str">
        <f>IF(OR(DATE($Y15, T$12, 1) &lt; 'Evaluation Set-up'!$D$11, DATE($Y15, T$12, 1) &gt;= 'Evaluation Set-up'!$E$11), "", "After")</f>
        <v/>
      </c>
      <c r="AJ15" s="2" t="str">
        <f>IF(OR(DATE($Y15, U$12, 1) &lt; 'Evaluation Set-up'!$D$11, DATE($Y15, U$12, 1) &gt;= 'Evaluation Set-up'!$E$11), "", "After")</f>
        <v/>
      </c>
      <c r="AK15" s="2" t="str">
        <f>IF(OR(DATE($Y15, V$12, 1) &lt; 'Evaluation Set-up'!$D$11, DATE($Y15, V$12, 1) &gt;= 'Evaluation Set-up'!$E$11), "", "After")</f>
        <v/>
      </c>
      <c r="AL15" s="312" t="str">
        <f>IF(OR(DATE($Y15, W$12, 1) &lt; 'Evaluation Set-up'!$D$11, DATE($Y15, W$12, 1) &gt;= 'Evaluation Set-up'!$E$11), "", "After")</f>
        <v/>
      </c>
    </row>
    <row r="16" spans="1:54" x14ac:dyDescent="0.3">
      <c r="B16" s="319">
        <v>2009</v>
      </c>
      <c r="C16" s="323" t="n">
        <f>COUNTIF(Before!$P:$P,B16) + COUNTIF(After!$P:$P,B16)</f>
        <v>0</v>
      </c>
      <c r="D16" s="94" t="n">
        <f>COUNTIFS(Before!$C:$C,"&gt;=23",Before!$C:$C,"&lt;=27", Before!$P:$P,B16)+COUNTIFS(Before!$C:$C,"30", Before!$P:$P,B16) + COUNTIFS(After!$C:$C,"&gt;=23",After!$C:$C,"&lt;=27", After!$P:$P,B16)+COUNTIFS(After!$C:$C,"30", After!$P:$P,B16)</f>
        <v>0</v>
      </c>
      <c r="E16" s="94" t="n">
        <f>COUNTIFS(Before!$C:$C,"&gt;=21",Before!$C:$C,"&lt;=22", Before!$P:$P,B16) + COUNTIFS(After!$C:$C,"&gt;=21",After!$C:$C,"&lt;=22", After!$P:$P,B16)</f>
        <v>0</v>
      </c>
      <c r="F16" s="324" t="n">
        <f>COUNTIFS(Before!$P:$P,$B16, Before!$G:$G, "K") + COUNTIFS(Before!$P:$P,$B16, Before!$G:$G, "A") + COUNTIFS(Before!$P:$P,$B16, Before!$G:$G, "B") + COUNTIFS(Before!$P:$P,$B16, Before!$G:$G, "C")
+ COUNTIFS(After!$P:$P,$B16, After!$G:$G, "K") + COUNTIFS(After!$P:$P,$B16, After!$G:$G, "A") + COUNTIFS(After!$P:$P,$B16, After!$G:$G, "B") + COUNTIFS(After!$P:$P,$B16, After!$G:$G, "C")</f>
        <v>0</v>
      </c>
      <c r="G16" s="327" t="str">
        <f>VLOOKUP($B16, 'Evaluation Set-up'!$K$11:$R$35, 4, FALSE)</f>
        <v/>
      </c>
      <c r="H16" s="328" t="str">
        <f>VLOOKUP($B16, 'Evaluation Set-up'!$K$11:$R$35, 7, FALSE)</f>
        <v/>
      </c>
      <c r="J16" s="290">
        <v>2009</v>
      </c>
      <c r="K16" s="307" t="n">
        <f t="shared" si="0"/>
        <v>0</v>
      </c>
      <c r="L16" s="290" t="str">
        <f>IF(OR(DATE($J16, L$12, 1) &lt; 'Evaluation Set-up'!$D$9, DATE($J16, L$12, 1) &gt;= 'Evaluation Set-up'!$E$9), "", "Before")</f>
        <v/>
      </c>
      <c r="M16" s="2" t="str">
        <f>IF(OR(DATE($J16, M$12, 1) &lt; 'Evaluation Set-up'!$D$9, DATE($J16, M$12, 1) &gt;= 'Evaluation Set-up'!$E$9), "", "Before")</f>
        <v/>
      </c>
      <c r="N16" s="2" t="str">
        <f>IF(OR(DATE($J16, N$12, 1) &lt; 'Evaluation Set-up'!$D$9, DATE($J16, N$12, 1) &gt;= 'Evaluation Set-up'!$E$9), "", "Before")</f>
        <v/>
      </c>
      <c r="O16" s="2" t="str">
        <f>IF(OR(DATE($J16, O$12, 1) &lt; 'Evaluation Set-up'!$D$9, DATE($J16, O$12, 1) &gt;= 'Evaluation Set-up'!$E$9), "", "Before")</f>
        <v/>
      </c>
      <c r="P16" s="2" t="str">
        <f>IF(OR(DATE($J16, P$12, 1) &lt; 'Evaluation Set-up'!$D$9, DATE($J16, P$12, 1) &gt;= 'Evaluation Set-up'!$E$9), "", "Before")</f>
        <v/>
      </c>
      <c r="Q16" s="2" t="str">
        <f>IF(OR(DATE($J16, Q$12, 1) &lt; 'Evaluation Set-up'!$D$9, DATE($J16, Q$12, 1) &gt;= 'Evaluation Set-up'!$E$9), "", "Before")</f>
        <v/>
      </c>
      <c r="R16" s="2" t="str">
        <f>IF(OR(DATE($J16, R$12, 1) &lt; 'Evaluation Set-up'!$D$9, DATE($J16, R$12, 1) &gt;= 'Evaluation Set-up'!$E$9), "", "Before")</f>
        <v/>
      </c>
      <c r="S16" s="2" t="str">
        <f>IF(OR(DATE($J16, S$12, 1) &lt; 'Evaluation Set-up'!$D$9, DATE($J16, S$12, 1) &gt;= 'Evaluation Set-up'!$E$9), "", "Before")</f>
        <v/>
      </c>
      <c r="T16" s="2" t="str">
        <f>IF(OR(DATE($J16, T$12, 1) &lt; 'Evaluation Set-up'!$D$9, DATE($J16, T$12, 1) &gt;= 'Evaluation Set-up'!$E$9), "", "Before")</f>
        <v/>
      </c>
      <c r="U16" s="2" t="str">
        <f>IF(OR(DATE($J16, U$12, 1) &lt; 'Evaluation Set-up'!$D$9, DATE($J16, U$12, 1) &gt;= 'Evaluation Set-up'!$E$9), "", "Before")</f>
        <v/>
      </c>
      <c r="V16" s="2" t="str">
        <f>IF(OR(DATE($J16, V$12, 1) &lt; 'Evaluation Set-up'!$D$9, DATE($J16, V$12, 1) &gt;= 'Evaluation Set-up'!$E$9), "", "Before")</f>
        <v/>
      </c>
      <c r="W16" s="312" t="str">
        <f>IF(OR(DATE($J16, W$12, 1) &lt; 'Evaluation Set-up'!$D$9, DATE($J16, W$12, 1) &gt;= 'Evaluation Set-up'!$E$9), "", "Before")</f>
        <v/>
      </c>
      <c r="X16" s="2"/>
      <c r="Y16" s="290">
        <v>2009</v>
      </c>
      <c r="Z16" s="307" t="n">
        <f t="shared" si="1"/>
        <v>0</v>
      </c>
      <c r="AA16" s="2" t="str">
        <f>IF(OR(DATE($Y16, L$12, 1) &lt; 'Evaluation Set-up'!$D$11, DATE($Y16, L$12, 1) &gt;= 'Evaluation Set-up'!$E$11), "", "After")</f>
        <v/>
      </c>
      <c r="AB16" s="2" t="str">
        <f>IF(OR(DATE($Y16, M$12, 1) &lt; 'Evaluation Set-up'!$D$11, DATE($Y16, M$12, 1) &gt;= 'Evaluation Set-up'!$E$11), "", "After")</f>
        <v/>
      </c>
      <c r="AC16" s="2" t="str">
        <f>IF(OR(DATE($Y16, N$12, 1) &lt; 'Evaluation Set-up'!$D$11, DATE($Y16, N$12, 1) &gt;= 'Evaluation Set-up'!$E$11), "", "After")</f>
        <v/>
      </c>
      <c r="AD16" s="2" t="str">
        <f>IF(OR(DATE($Y16, O$12, 1) &lt; 'Evaluation Set-up'!$D$11, DATE($Y16, O$12, 1) &gt;= 'Evaluation Set-up'!$E$11), "", "After")</f>
        <v/>
      </c>
      <c r="AE16" s="2" t="str">
        <f>IF(OR(DATE($Y16, P$12, 1) &lt; 'Evaluation Set-up'!$D$11, DATE($Y16, P$12, 1) &gt;= 'Evaluation Set-up'!$E$11), "", "After")</f>
        <v/>
      </c>
      <c r="AF16" s="2" t="str">
        <f>IF(OR(DATE($Y16, Q$12, 1) &lt; 'Evaluation Set-up'!$D$11, DATE($Y16, Q$12, 1) &gt;= 'Evaluation Set-up'!$E$11), "", "After")</f>
        <v/>
      </c>
      <c r="AG16" s="2" t="str">
        <f>IF(OR(DATE($Y16, R$12, 1) &lt; 'Evaluation Set-up'!$D$11, DATE($Y16, R$12, 1) &gt;= 'Evaluation Set-up'!$E$11), "", "After")</f>
        <v/>
      </c>
      <c r="AH16" s="2" t="str">
        <f>IF(OR(DATE($Y16, S$12, 1) &lt; 'Evaluation Set-up'!$D$11, DATE($Y16, S$12, 1) &gt;= 'Evaluation Set-up'!$E$11), "", "After")</f>
        <v/>
      </c>
      <c r="AI16" s="2" t="str">
        <f>IF(OR(DATE($Y16, T$12, 1) &lt; 'Evaluation Set-up'!$D$11, DATE($Y16, T$12, 1) &gt;= 'Evaluation Set-up'!$E$11), "", "After")</f>
        <v/>
      </c>
      <c r="AJ16" s="2" t="str">
        <f>IF(OR(DATE($Y16, U$12, 1) &lt; 'Evaluation Set-up'!$D$11, DATE($Y16, U$12, 1) &gt;= 'Evaluation Set-up'!$E$11), "", "After")</f>
        <v/>
      </c>
      <c r="AK16" s="2" t="str">
        <f>IF(OR(DATE($Y16, V$12, 1) &lt; 'Evaluation Set-up'!$D$11, DATE($Y16, V$12, 1) &gt;= 'Evaluation Set-up'!$E$11), "", "After")</f>
        <v/>
      </c>
      <c r="AL16" s="312" t="str">
        <f>IF(OR(DATE($Y16, W$12, 1) &lt; 'Evaluation Set-up'!$D$11, DATE($Y16, W$12, 1) &gt;= 'Evaluation Set-up'!$E$11), "", "After")</f>
        <v/>
      </c>
    </row>
    <row r="17" spans="2:38" x14ac:dyDescent="0.3">
      <c r="B17" s="319">
        <v>2010</v>
      </c>
      <c r="C17" s="323" t="n">
        <f>COUNTIF(Before!$P:$P,B17) + COUNTIF(After!$P:$P,B17)</f>
        <v>0</v>
      </c>
      <c r="D17" s="94" t="n">
        <f>COUNTIFS(Before!$C:$C,"&gt;=23",Before!$C:$C,"&lt;=27", Before!$P:$P,B17)+COUNTIFS(Before!$C:$C,"30", Before!$P:$P,B17) + COUNTIFS(After!$C:$C,"&gt;=23",After!$C:$C,"&lt;=27", After!$P:$P,B17)+COUNTIFS(After!$C:$C,"30", After!$P:$P,B17)</f>
        <v>0</v>
      </c>
      <c r="E17" s="94" t="n">
        <f>COUNTIFS(Before!$C:$C,"&gt;=21",Before!$C:$C,"&lt;=22", Before!$P:$P,B17) + COUNTIFS(After!$C:$C,"&gt;=21",After!$C:$C,"&lt;=22", After!$P:$P,B17)</f>
        <v>0</v>
      </c>
      <c r="F17" s="324" t="n">
        <f>COUNTIFS(Before!$P:$P,$B17, Before!$G:$G, "K") + COUNTIFS(Before!$P:$P,$B17, Before!$G:$G, "A") + COUNTIFS(Before!$P:$P,$B17, Before!$G:$G, "B") + COUNTIFS(Before!$P:$P,$B17, Before!$G:$G, "C")
+ COUNTIFS(After!$P:$P,$B17, After!$G:$G, "K") + COUNTIFS(After!$P:$P,$B17, After!$G:$G, "A") + COUNTIFS(After!$P:$P,$B17, After!$G:$G, "B") + COUNTIFS(After!$P:$P,$B17, After!$G:$G, "C")</f>
        <v>0</v>
      </c>
      <c r="G17" s="327" t="str">
        <f>VLOOKUP($B17, 'Evaluation Set-up'!$K$11:$R$35, 4, FALSE)</f>
        <v/>
      </c>
      <c r="H17" s="328" t="str">
        <f>VLOOKUP($B17, 'Evaluation Set-up'!$K$11:$R$35, 7, FALSE)</f>
        <v/>
      </c>
      <c r="J17" s="290">
        <v>2010</v>
      </c>
      <c r="K17" s="307" t="n">
        <f t="shared" si="0"/>
        <v>0</v>
      </c>
      <c r="L17" s="290" t="str">
        <f>IF(OR(DATE($J17, L$12, 1) &lt; 'Evaluation Set-up'!$D$9, DATE($J17, L$12, 1) &gt;= 'Evaluation Set-up'!$E$9), "", "Before")</f>
        <v/>
      </c>
      <c r="M17" s="2" t="str">
        <f>IF(OR(DATE($J17, M$12, 1) &lt; 'Evaluation Set-up'!$D$9, DATE($J17, M$12, 1) &gt;= 'Evaluation Set-up'!$E$9), "", "Before")</f>
        <v/>
      </c>
      <c r="N17" s="2" t="str">
        <f>IF(OR(DATE($J17, N$12, 1) &lt; 'Evaluation Set-up'!$D$9, DATE($J17, N$12, 1) &gt;= 'Evaluation Set-up'!$E$9), "", "Before")</f>
        <v/>
      </c>
      <c r="O17" s="2" t="str">
        <f>IF(OR(DATE($J17, O$12, 1) &lt; 'Evaluation Set-up'!$D$9, DATE($J17, O$12, 1) &gt;= 'Evaluation Set-up'!$E$9), "", "Before")</f>
        <v/>
      </c>
      <c r="P17" s="2" t="str">
        <f>IF(OR(DATE($J17, P$12, 1) &lt; 'Evaluation Set-up'!$D$9, DATE($J17, P$12, 1) &gt;= 'Evaluation Set-up'!$E$9), "", "Before")</f>
        <v/>
      </c>
      <c r="Q17" s="2" t="str">
        <f>IF(OR(DATE($J17, Q$12, 1) &lt; 'Evaluation Set-up'!$D$9, DATE($J17, Q$12, 1) &gt;= 'Evaluation Set-up'!$E$9), "", "Before")</f>
        <v/>
      </c>
      <c r="R17" s="2" t="str">
        <f>IF(OR(DATE($J17, R$12, 1) &lt; 'Evaluation Set-up'!$D$9, DATE($J17, R$12, 1) &gt;= 'Evaluation Set-up'!$E$9), "", "Before")</f>
        <v/>
      </c>
      <c r="S17" s="2" t="str">
        <f>IF(OR(DATE($J17, S$12, 1) &lt; 'Evaluation Set-up'!$D$9, DATE($J17, S$12, 1) &gt;= 'Evaluation Set-up'!$E$9), "", "Before")</f>
        <v/>
      </c>
      <c r="T17" s="2" t="str">
        <f>IF(OR(DATE($J17, T$12, 1) &lt; 'Evaluation Set-up'!$D$9, DATE($J17, T$12, 1) &gt;= 'Evaluation Set-up'!$E$9), "", "Before")</f>
        <v/>
      </c>
      <c r="U17" s="2" t="str">
        <f>IF(OR(DATE($J17, U$12, 1) &lt; 'Evaluation Set-up'!$D$9, DATE($J17, U$12, 1) &gt;= 'Evaluation Set-up'!$E$9), "", "Before")</f>
        <v/>
      </c>
      <c r="V17" s="2" t="str">
        <f>IF(OR(DATE($J17, V$12, 1) &lt; 'Evaluation Set-up'!$D$9, DATE($J17, V$12, 1) &gt;= 'Evaluation Set-up'!$E$9), "", "Before")</f>
        <v/>
      </c>
      <c r="W17" s="312" t="str">
        <f>IF(OR(DATE($J17, W$12, 1) &lt; 'Evaluation Set-up'!$D$9, DATE($J17, W$12, 1) &gt;= 'Evaluation Set-up'!$E$9), "", "Before")</f>
        <v/>
      </c>
      <c r="X17" s="287"/>
      <c r="Y17" s="290">
        <v>2010</v>
      </c>
      <c r="Z17" s="307" t="n">
        <f t="shared" si="1"/>
        <v>0</v>
      </c>
      <c r="AA17" s="2" t="str">
        <f>IF(OR(DATE($Y17, L$12, 1) &lt; 'Evaluation Set-up'!$D$11, DATE($Y17, L$12, 1) &gt;= 'Evaluation Set-up'!$E$11), "", "After")</f>
        <v/>
      </c>
      <c r="AB17" s="2" t="str">
        <f>IF(OR(DATE($Y17, M$12, 1) &lt; 'Evaluation Set-up'!$D$11, DATE($Y17, M$12, 1) &gt;= 'Evaluation Set-up'!$E$11), "", "After")</f>
        <v/>
      </c>
      <c r="AC17" s="2" t="str">
        <f>IF(OR(DATE($Y17, N$12, 1) &lt; 'Evaluation Set-up'!$D$11, DATE($Y17, N$12, 1) &gt;= 'Evaluation Set-up'!$E$11), "", "After")</f>
        <v/>
      </c>
      <c r="AD17" s="2" t="str">
        <f>IF(OR(DATE($Y17, O$12, 1) &lt; 'Evaluation Set-up'!$D$11, DATE($Y17, O$12, 1) &gt;= 'Evaluation Set-up'!$E$11), "", "After")</f>
        <v/>
      </c>
      <c r="AE17" s="2" t="str">
        <f>IF(OR(DATE($Y17, P$12, 1) &lt; 'Evaluation Set-up'!$D$11, DATE($Y17, P$12, 1) &gt;= 'Evaluation Set-up'!$E$11), "", "After")</f>
        <v/>
      </c>
      <c r="AF17" s="2" t="str">
        <f>IF(OR(DATE($Y17, Q$12, 1) &lt; 'Evaluation Set-up'!$D$11, DATE($Y17, Q$12, 1) &gt;= 'Evaluation Set-up'!$E$11), "", "After")</f>
        <v/>
      </c>
      <c r="AG17" s="2" t="str">
        <f>IF(OR(DATE($Y17, R$12, 1) &lt; 'Evaluation Set-up'!$D$11, DATE($Y17, R$12, 1) &gt;= 'Evaluation Set-up'!$E$11), "", "After")</f>
        <v/>
      </c>
      <c r="AH17" s="2" t="str">
        <f>IF(OR(DATE($Y17, S$12, 1) &lt; 'Evaluation Set-up'!$D$11, DATE($Y17, S$12, 1) &gt;= 'Evaluation Set-up'!$E$11), "", "After")</f>
        <v/>
      </c>
      <c r="AI17" s="2" t="str">
        <f>IF(OR(DATE($Y17, T$12, 1) &lt; 'Evaluation Set-up'!$D$11, DATE($Y17, T$12, 1) &gt;= 'Evaluation Set-up'!$E$11), "", "After")</f>
        <v/>
      </c>
      <c r="AJ17" s="2" t="str">
        <f>IF(OR(DATE($Y17, U$12, 1) &lt; 'Evaluation Set-up'!$D$11, DATE($Y17, U$12, 1) &gt;= 'Evaluation Set-up'!$E$11), "", "After")</f>
        <v/>
      </c>
      <c r="AK17" s="2" t="str">
        <f>IF(OR(DATE($Y17, V$12, 1) &lt; 'Evaluation Set-up'!$D$11, DATE($Y17, V$12, 1) &gt;= 'Evaluation Set-up'!$E$11), "", "After")</f>
        <v/>
      </c>
      <c r="AL17" s="312" t="str">
        <f>IF(OR(DATE($Y17, W$12, 1) &lt; 'Evaluation Set-up'!$D$11, DATE($Y17, W$12, 1) &gt;= 'Evaluation Set-up'!$E$11), "", "After")</f>
        <v/>
      </c>
    </row>
    <row r="18" spans="2:38" x14ac:dyDescent="0.3">
      <c r="B18" s="319">
        <v>2011</v>
      </c>
      <c r="C18" s="323" t="n">
        <f>COUNTIF(Before!$P:$P,B18) + COUNTIF(After!$P:$P,B18)</f>
        <v>0</v>
      </c>
      <c r="D18" s="94" t="n">
        <f>COUNTIFS(Before!$C:$C,"&gt;=23",Before!$C:$C,"&lt;=27", Before!$P:$P,B18)+COUNTIFS(Before!$C:$C,"30", Before!$P:$P,B18) + COUNTIFS(After!$C:$C,"&gt;=23",After!$C:$C,"&lt;=27", After!$P:$P,B18)+COUNTIFS(After!$C:$C,"30", After!$P:$P,B18)</f>
        <v>0</v>
      </c>
      <c r="E18" s="94" t="n">
        <f>COUNTIFS(Before!$C:$C,"&gt;=21",Before!$C:$C,"&lt;=22", Before!$P:$P,B18) + COUNTIFS(After!$C:$C,"&gt;=21",After!$C:$C,"&lt;=22", After!$P:$P,B18)</f>
        <v>0</v>
      </c>
      <c r="F18" s="324" t="n">
        <f>COUNTIFS(Before!$P:$P,$B18, Before!$G:$G, "K") + COUNTIFS(Before!$P:$P,$B18, Before!$G:$G, "A") + COUNTIFS(Before!$P:$P,$B18, Before!$G:$G, "B") + COUNTIFS(Before!$P:$P,$B18, Before!$G:$G, "C")
+ COUNTIFS(After!$P:$P,$B18, After!$G:$G, "K") + COUNTIFS(After!$P:$P,$B18, After!$G:$G, "A") + COUNTIFS(After!$P:$P,$B18, After!$G:$G, "B") + COUNTIFS(After!$P:$P,$B18, After!$G:$G, "C")</f>
        <v>0</v>
      </c>
      <c r="G18" s="327" t="str">
        <f>VLOOKUP($B18, 'Evaluation Set-up'!$K$11:$R$35, 4, FALSE)</f>
        <v/>
      </c>
      <c r="H18" s="328" t="str">
        <f>VLOOKUP($B18, 'Evaluation Set-up'!$K$11:$R$35, 7, FALSE)</f>
        <v/>
      </c>
      <c r="J18" s="290">
        <v>2011</v>
      </c>
      <c r="K18" s="307" t="n">
        <f t="shared" si="0"/>
        <v>0</v>
      </c>
      <c r="L18" s="290" t="str">
        <f>IF(OR(DATE($J18, L$12, 1) &lt; 'Evaluation Set-up'!$D$9, DATE($J18, L$12, 1) &gt;= 'Evaluation Set-up'!$E$9), "", "Before")</f>
        <v/>
      </c>
      <c r="M18" s="2" t="str">
        <f>IF(OR(DATE($J18, M$12, 1) &lt; 'Evaluation Set-up'!$D$9, DATE($J18, M$12, 1) &gt;= 'Evaluation Set-up'!$E$9), "", "Before")</f>
        <v/>
      </c>
      <c r="N18" s="2" t="str">
        <f>IF(OR(DATE($J18, N$12, 1) &lt; 'Evaluation Set-up'!$D$9, DATE($J18, N$12, 1) &gt;= 'Evaluation Set-up'!$E$9), "", "Before")</f>
        <v/>
      </c>
      <c r="O18" s="2" t="str">
        <f>IF(OR(DATE($J18, O$12, 1) &lt; 'Evaluation Set-up'!$D$9, DATE($J18, O$12, 1) &gt;= 'Evaluation Set-up'!$E$9), "", "Before")</f>
        <v/>
      </c>
      <c r="P18" s="2" t="str">
        <f>IF(OR(DATE($J18, P$12, 1) &lt; 'Evaluation Set-up'!$D$9, DATE($J18, P$12, 1) &gt;= 'Evaluation Set-up'!$E$9), "", "Before")</f>
        <v/>
      </c>
      <c r="Q18" s="2" t="str">
        <f>IF(OR(DATE($J18, Q$12, 1) &lt; 'Evaluation Set-up'!$D$9, DATE($J18, Q$12, 1) &gt;= 'Evaluation Set-up'!$E$9), "", "Before")</f>
        <v/>
      </c>
      <c r="R18" s="2" t="str">
        <f>IF(OR(DATE($J18, R$12, 1) &lt; 'Evaluation Set-up'!$D$9, DATE($J18, R$12, 1) &gt;= 'Evaluation Set-up'!$E$9), "", "Before")</f>
        <v/>
      </c>
      <c r="S18" s="2" t="str">
        <f>IF(OR(DATE($J18, S$12, 1) &lt; 'Evaluation Set-up'!$D$9, DATE($J18, S$12, 1) &gt;= 'Evaluation Set-up'!$E$9), "", "Before")</f>
        <v/>
      </c>
      <c r="T18" s="2" t="str">
        <f>IF(OR(DATE($J18, T$12, 1) &lt; 'Evaluation Set-up'!$D$9, DATE($J18, T$12, 1) &gt;= 'Evaluation Set-up'!$E$9), "", "Before")</f>
        <v/>
      </c>
      <c r="U18" s="2" t="str">
        <f>IF(OR(DATE($J18, U$12, 1) &lt; 'Evaluation Set-up'!$D$9, DATE($J18, U$12, 1) &gt;= 'Evaluation Set-up'!$E$9), "", "Before")</f>
        <v/>
      </c>
      <c r="V18" s="2" t="str">
        <f>IF(OR(DATE($J18, V$12, 1) &lt; 'Evaluation Set-up'!$D$9, DATE($J18, V$12, 1) &gt;= 'Evaluation Set-up'!$E$9), "", "Before")</f>
        <v/>
      </c>
      <c r="W18" s="312" t="str">
        <f>IF(OR(DATE($J18, W$12, 1) &lt; 'Evaluation Set-up'!$D$9, DATE($J18, W$12, 1) &gt;= 'Evaluation Set-up'!$E$9), "", "Before")</f>
        <v/>
      </c>
      <c r="X18" s="2"/>
      <c r="Y18" s="290">
        <v>2011</v>
      </c>
      <c r="Z18" s="307" t="n">
        <f t="shared" si="1"/>
        <v>0</v>
      </c>
      <c r="AA18" s="2" t="str">
        <f>IF(OR(DATE($Y18, L$12, 1) &lt; 'Evaluation Set-up'!$D$11, DATE($Y18, L$12, 1) &gt;= 'Evaluation Set-up'!$E$11), "", "After")</f>
        <v/>
      </c>
      <c r="AB18" s="2" t="str">
        <f>IF(OR(DATE($Y18, M$12, 1) &lt; 'Evaluation Set-up'!$D$11, DATE($Y18, M$12, 1) &gt;= 'Evaluation Set-up'!$E$11), "", "After")</f>
        <v/>
      </c>
      <c r="AC18" s="2" t="str">
        <f>IF(OR(DATE($Y18, N$12, 1) &lt; 'Evaluation Set-up'!$D$11, DATE($Y18, N$12, 1) &gt;= 'Evaluation Set-up'!$E$11), "", "After")</f>
        <v/>
      </c>
      <c r="AD18" s="2" t="str">
        <f>IF(OR(DATE($Y18, O$12, 1) &lt; 'Evaluation Set-up'!$D$11, DATE($Y18, O$12, 1) &gt;= 'Evaluation Set-up'!$E$11), "", "After")</f>
        <v/>
      </c>
      <c r="AE18" s="2" t="str">
        <f>IF(OR(DATE($Y18, P$12, 1) &lt; 'Evaluation Set-up'!$D$11, DATE($Y18, P$12, 1) &gt;= 'Evaluation Set-up'!$E$11), "", "After")</f>
        <v/>
      </c>
      <c r="AF18" s="2" t="str">
        <f>IF(OR(DATE($Y18, Q$12, 1) &lt; 'Evaluation Set-up'!$D$11, DATE($Y18, Q$12, 1) &gt;= 'Evaluation Set-up'!$E$11), "", "After")</f>
        <v/>
      </c>
      <c r="AG18" s="2" t="str">
        <f>IF(OR(DATE($Y18, R$12, 1) &lt; 'Evaluation Set-up'!$D$11, DATE($Y18, R$12, 1) &gt;= 'Evaluation Set-up'!$E$11), "", "After")</f>
        <v/>
      </c>
      <c r="AH18" s="2" t="str">
        <f>IF(OR(DATE($Y18, S$12, 1) &lt; 'Evaluation Set-up'!$D$11, DATE($Y18, S$12, 1) &gt;= 'Evaluation Set-up'!$E$11), "", "After")</f>
        <v/>
      </c>
      <c r="AI18" s="2" t="str">
        <f>IF(OR(DATE($Y18, T$12, 1) &lt; 'Evaluation Set-up'!$D$11, DATE($Y18, T$12, 1) &gt;= 'Evaluation Set-up'!$E$11), "", "After")</f>
        <v/>
      </c>
      <c r="AJ18" s="2" t="str">
        <f>IF(OR(DATE($Y18, U$12, 1) &lt; 'Evaluation Set-up'!$D$11, DATE($Y18, U$12, 1) &gt;= 'Evaluation Set-up'!$E$11), "", "After")</f>
        <v/>
      </c>
      <c r="AK18" s="2" t="str">
        <f>IF(OR(DATE($Y18, V$12, 1) &lt; 'Evaluation Set-up'!$D$11, DATE($Y18, V$12, 1) &gt;= 'Evaluation Set-up'!$E$11), "", "After")</f>
        <v/>
      </c>
      <c r="AL18" s="312" t="str">
        <f>IF(OR(DATE($Y18, W$12, 1) &lt; 'Evaluation Set-up'!$D$11, DATE($Y18, W$12, 1) &gt;= 'Evaluation Set-up'!$E$11), "", "After")</f>
        <v/>
      </c>
    </row>
    <row r="19" spans="2:38" x14ac:dyDescent="0.3">
      <c r="B19" s="319">
        <v>2012</v>
      </c>
      <c r="C19" s="323" t="n">
        <f>COUNTIF(Before!$P:$P,B19) + COUNTIF(After!$P:$P,B19)</f>
        <v>0</v>
      </c>
      <c r="D19" s="94" t="n">
        <f>COUNTIFS(Before!$C:$C,"&gt;=23",Before!$C:$C,"&lt;=27", Before!$P:$P,B19)+COUNTIFS(Before!$C:$C,"30", Before!$P:$P,B19) + COUNTIFS(After!$C:$C,"&gt;=23",After!$C:$C,"&lt;=27", After!$P:$P,B19)+COUNTIFS(After!$C:$C,"30", After!$P:$P,B19)</f>
        <v>0</v>
      </c>
      <c r="E19" s="94" t="n">
        <f>COUNTIFS(Before!$C:$C,"&gt;=21",Before!$C:$C,"&lt;=22", Before!$P:$P,B19) + COUNTIFS(After!$C:$C,"&gt;=21",After!$C:$C,"&lt;=22", After!$P:$P,B19)</f>
        <v>0</v>
      </c>
      <c r="F19" s="324" t="n">
        <f>COUNTIFS(Before!$P:$P,$B19, Before!$G:$G, "K") + COUNTIFS(Before!$P:$P,$B19, Before!$G:$G, "A") + COUNTIFS(Before!$P:$P,$B19, Before!$G:$G, "B") + COUNTIFS(Before!$P:$P,$B19, Before!$G:$G, "C")
+ COUNTIFS(After!$P:$P,$B19, After!$G:$G, "K") + COUNTIFS(After!$P:$P,$B19, After!$G:$G, "A") + COUNTIFS(After!$P:$P,$B19, After!$G:$G, "B") + COUNTIFS(After!$P:$P,$B19, After!$G:$G, "C")</f>
        <v>0</v>
      </c>
      <c r="G19" s="327" t="str">
        <f>VLOOKUP($B19, 'Evaluation Set-up'!$K$11:$R$35, 4, FALSE)</f>
        <v/>
      </c>
      <c r="H19" s="328" t="str">
        <f>VLOOKUP($B19, 'Evaluation Set-up'!$K$11:$R$35, 7, FALSE)</f>
        <v/>
      </c>
      <c r="J19" s="290">
        <v>2012</v>
      </c>
      <c r="K19" s="307" t="n">
        <f t="shared" si="0"/>
        <v>0</v>
      </c>
      <c r="L19" s="290" t="str">
        <f>IF(OR(DATE($J19, L$12, 1) &lt; 'Evaluation Set-up'!$D$9, DATE($J19, L$12, 1) &gt;= 'Evaluation Set-up'!$E$9), "", "Before")</f>
        <v/>
      </c>
      <c r="M19" s="2" t="str">
        <f>IF(OR(DATE($J19, M$12, 1) &lt; 'Evaluation Set-up'!$D$9, DATE($J19, M$12, 1) &gt;= 'Evaluation Set-up'!$E$9), "", "Before")</f>
        <v/>
      </c>
      <c r="N19" s="2" t="str">
        <f>IF(OR(DATE($J19, N$12, 1) &lt; 'Evaluation Set-up'!$D$9, DATE($J19, N$12, 1) &gt;= 'Evaluation Set-up'!$E$9), "", "Before")</f>
        <v/>
      </c>
      <c r="O19" s="2" t="str">
        <f>IF(OR(DATE($J19, O$12, 1) &lt; 'Evaluation Set-up'!$D$9, DATE($J19, O$12, 1) &gt;= 'Evaluation Set-up'!$E$9), "", "Before")</f>
        <v/>
      </c>
      <c r="P19" s="2" t="str">
        <f>IF(OR(DATE($J19, P$12, 1) &lt; 'Evaluation Set-up'!$D$9, DATE($J19, P$12, 1) &gt;= 'Evaluation Set-up'!$E$9), "", "Before")</f>
        <v/>
      </c>
      <c r="Q19" s="2" t="str">
        <f>IF(OR(DATE($J19, Q$12, 1) &lt; 'Evaluation Set-up'!$D$9, DATE($J19, Q$12, 1) &gt;= 'Evaluation Set-up'!$E$9), "", "Before")</f>
        <v/>
      </c>
      <c r="R19" s="2" t="str">
        <f>IF(OR(DATE($J19, R$12, 1) &lt; 'Evaluation Set-up'!$D$9, DATE($J19, R$12, 1) &gt;= 'Evaluation Set-up'!$E$9), "", "Before")</f>
        <v/>
      </c>
      <c r="S19" s="2" t="str">
        <f>IF(OR(DATE($J19, S$12, 1) &lt; 'Evaluation Set-up'!$D$9, DATE($J19, S$12, 1) &gt;= 'Evaluation Set-up'!$E$9), "", "Before")</f>
        <v/>
      </c>
      <c r="T19" s="2" t="str">
        <f>IF(OR(DATE($J19, T$12, 1) &lt; 'Evaluation Set-up'!$D$9, DATE($J19, T$12, 1) &gt;= 'Evaluation Set-up'!$E$9), "", "Before")</f>
        <v/>
      </c>
      <c r="U19" s="2" t="str">
        <f>IF(OR(DATE($J19, U$12, 1) &lt; 'Evaluation Set-up'!$D$9, DATE($J19, U$12, 1) &gt;= 'Evaluation Set-up'!$E$9), "", "Before")</f>
        <v/>
      </c>
      <c r="V19" s="2" t="str">
        <f>IF(OR(DATE($J19, V$12, 1) &lt; 'Evaluation Set-up'!$D$9, DATE($J19, V$12, 1) &gt;= 'Evaluation Set-up'!$E$9), "", "Before")</f>
        <v/>
      </c>
      <c r="W19" s="312" t="str">
        <f>IF(OR(DATE($J19, W$12, 1) &lt; 'Evaluation Set-up'!$D$9, DATE($J19, W$12, 1) &gt;= 'Evaluation Set-up'!$E$9), "", "Before")</f>
        <v/>
      </c>
      <c r="X19" s="2"/>
      <c r="Y19" s="290">
        <v>2012</v>
      </c>
      <c r="Z19" s="307" t="n">
        <f t="shared" si="1"/>
        <v>0</v>
      </c>
      <c r="AA19" s="2" t="str">
        <f>IF(OR(DATE($Y19, L$12, 1) &lt; 'Evaluation Set-up'!$D$11, DATE($Y19, L$12, 1) &gt;= 'Evaluation Set-up'!$E$11), "", "After")</f>
        <v/>
      </c>
      <c r="AB19" s="2" t="str">
        <f>IF(OR(DATE($Y19, M$12, 1) &lt; 'Evaluation Set-up'!$D$11, DATE($Y19, M$12, 1) &gt;= 'Evaluation Set-up'!$E$11), "", "After")</f>
        <v/>
      </c>
      <c r="AC19" s="2" t="str">
        <f>IF(OR(DATE($Y19, N$12, 1) &lt; 'Evaluation Set-up'!$D$11, DATE($Y19, N$12, 1) &gt;= 'Evaluation Set-up'!$E$11), "", "After")</f>
        <v/>
      </c>
      <c r="AD19" s="2" t="str">
        <f>IF(OR(DATE($Y19, O$12, 1) &lt; 'Evaluation Set-up'!$D$11, DATE($Y19, O$12, 1) &gt;= 'Evaluation Set-up'!$E$11), "", "After")</f>
        <v/>
      </c>
      <c r="AE19" s="2" t="str">
        <f>IF(OR(DATE($Y19, P$12, 1) &lt; 'Evaluation Set-up'!$D$11, DATE($Y19, P$12, 1) &gt;= 'Evaluation Set-up'!$E$11), "", "After")</f>
        <v/>
      </c>
      <c r="AF19" s="2" t="str">
        <f>IF(OR(DATE($Y19, Q$12, 1) &lt; 'Evaluation Set-up'!$D$11, DATE($Y19, Q$12, 1) &gt;= 'Evaluation Set-up'!$E$11), "", "After")</f>
        <v/>
      </c>
      <c r="AG19" s="2" t="str">
        <f>IF(OR(DATE($Y19, R$12, 1) &lt; 'Evaluation Set-up'!$D$11, DATE($Y19, R$12, 1) &gt;= 'Evaluation Set-up'!$E$11), "", "After")</f>
        <v/>
      </c>
      <c r="AH19" s="2" t="str">
        <f>IF(OR(DATE($Y19, S$12, 1) &lt; 'Evaluation Set-up'!$D$11, DATE($Y19, S$12, 1) &gt;= 'Evaluation Set-up'!$E$11), "", "After")</f>
        <v/>
      </c>
      <c r="AI19" s="2" t="str">
        <f>IF(OR(DATE($Y19, T$12, 1) &lt; 'Evaluation Set-up'!$D$11, DATE($Y19, T$12, 1) &gt;= 'Evaluation Set-up'!$E$11), "", "After")</f>
        <v/>
      </c>
      <c r="AJ19" s="2" t="str">
        <f>IF(OR(DATE($Y19, U$12, 1) &lt; 'Evaluation Set-up'!$D$11, DATE($Y19, U$12, 1) &gt;= 'Evaluation Set-up'!$E$11), "", "After")</f>
        <v/>
      </c>
      <c r="AK19" s="2" t="str">
        <f>IF(OR(DATE($Y19, V$12, 1) &lt; 'Evaluation Set-up'!$D$11, DATE($Y19, V$12, 1) &gt;= 'Evaluation Set-up'!$E$11), "", "After")</f>
        <v/>
      </c>
      <c r="AL19" s="312" t="str">
        <f>IF(OR(DATE($Y19, W$12, 1) &lt; 'Evaluation Set-up'!$D$11, DATE($Y19, W$12, 1) &gt;= 'Evaluation Set-up'!$E$11), "", "After")</f>
        <v/>
      </c>
    </row>
    <row r="20" spans="2:38" x14ac:dyDescent="0.3">
      <c r="B20" s="319">
        <v>2013</v>
      </c>
      <c r="C20" s="323" t="n">
        <f>COUNTIF(Before!$P:$P,B20) + COUNTIF(After!$P:$P,B20)</f>
        <v>0</v>
      </c>
      <c r="D20" s="94" t="n">
        <f>COUNTIFS(Before!$C:$C,"&gt;=23",Before!$C:$C,"&lt;=27", Before!$P:$P,B20)+COUNTIFS(Before!$C:$C,"30", Before!$P:$P,B20) + COUNTIFS(After!$C:$C,"&gt;=23",After!$C:$C,"&lt;=27", After!$P:$P,B20)+COUNTIFS(After!$C:$C,"30", After!$P:$P,B20)</f>
        <v>0</v>
      </c>
      <c r="E20" s="94" t="n">
        <f>COUNTIFS(Before!$C:$C,"&gt;=21",Before!$C:$C,"&lt;=22", Before!$P:$P,B20) + COUNTIFS(After!$C:$C,"&gt;=21",After!$C:$C,"&lt;=22", After!$P:$P,B20)</f>
        <v>0</v>
      </c>
      <c r="F20" s="324" t="n">
        <f>COUNTIFS(Before!$P:$P,$B20, Before!$G:$G, "K") + COUNTIFS(Before!$P:$P,$B20, Before!$G:$G, "A") + COUNTIFS(Before!$P:$P,$B20, Before!$G:$G, "B") + COUNTIFS(Before!$P:$P,$B20, Before!$G:$G, "C")
+ COUNTIFS(After!$P:$P,$B20, After!$G:$G, "K") + COUNTIFS(After!$P:$P,$B20, After!$G:$G, "A") + COUNTIFS(After!$P:$P,$B20, After!$G:$G, "B") + COUNTIFS(After!$P:$P,$B20, After!$G:$G, "C")</f>
        <v>0</v>
      </c>
      <c r="G20" s="327" t="str">
        <f>VLOOKUP($B20, 'Evaluation Set-up'!$K$11:$R$35, 4, FALSE)</f>
        <v/>
      </c>
      <c r="H20" s="328" t="str">
        <f>VLOOKUP($B20, 'Evaluation Set-up'!$K$11:$R$35, 7, FALSE)</f>
        <v/>
      </c>
      <c r="J20" s="290">
        <v>2013</v>
      </c>
      <c r="K20" s="307" t="n">
        <f t="shared" si="0"/>
        <v>0</v>
      </c>
      <c r="L20" s="290" t="str">
        <f>IF(OR(DATE($J20, L$12, 1) &lt; 'Evaluation Set-up'!$D$9, DATE($J20, L$12, 1) &gt;= 'Evaluation Set-up'!$E$9), "", "Before")</f>
        <v/>
      </c>
      <c r="M20" s="2" t="str">
        <f>IF(OR(DATE($J20, M$12, 1) &lt; 'Evaluation Set-up'!$D$9, DATE($J20, M$12, 1) &gt;= 'Evaluation Set-up'!$E$9), "", "Before")</f>
        <v/>
      </c>
      <c r="N20" s="2" t="str">
        <f>IF(OR(DATE($J20, N$12, 1) &lt; 'Evaluation Set-up'!$D$9, DATE($J20, N$12, 1) &gt;= 'Evaluation Set-up'!$E$9), "", "Before")</f>
        <v/>
      </c>
      <c r="O20" s="2" t="str">
        <f>IF(OR(DATE($J20, O$12, 1) &lt; 'Evaluation Set-up'!$D$9, DATE($J20, O$12, 1) &gt;= 'Evaluation Set-up'!$E$9), "", "Before")</f>
        <v/>
      </c>
      <c r="P20" s="2" t="str">
        <f>IF(OR(DATE($J20, P$12, 1) &lt; 'Evaluation Set-up'!$D$9, DATE($J20, P$12, 1) &gt;= 'Evaluation Set-up'!$E$9), "", "Before")</f>
        <v/>
      </c>
      <c r="Q20" s="2" t="str">
        <f>IF(OR(DATE($J20, Q$12, 1) &lt; 'Evaluation Set-up'!$D$9, DATE($J20, Q$12, 1) &gt;= 'Evaluation Set-up'!$E$9), "", "Before")</f>
        <v/>
      </c>
      <c r="R20" s="2" t="str">
        <f>IF(OR(DATE($J20, R$12, 1) &lt; 'Evaluation Set-up'!$D$9, DATE($J20, R$12, 1) &gt;= 'Evaluation Set-up'!$E$9), "", "Before")</f>
        <v/>
      </c>
      <c r="S20" s="2" t="str">
        <f>IF(OR(DATE($J20, S$12, 1) &lt; 'Evaluation Set-up'!$D$9, DATE($J20, S$12, 1) &gt;= 'Evaluation Set-up'!$E$9), "", "Before")</f>
        <v/>
      </c>
      <c r="T20" s="2" t="str">
        <f>IF(OR(DATE($J20, T$12, 1) &lt; 'Evaluation Set-up'!$D$9, DATE($J20, T$12, 1) &gt;= 'Evaluation Set-up'!$E$9), "", "Before")</f>
        <v/>
      </c>
      <c r="U20" s="2" t="str">
        <f>IF(OR(DATE($J20, U$12, 1) &lt; 'Evaluation Set-up'!$D$9, DATE($J20, U$12, 1) &gt;= 'Evaluation Set-up'!$E$9), "", "Before")</f>
        <v/>
      </c>
      <c r="V20" s="2" t="str">
        <f>IF(OR(DATE($J20, V$12, 1) &lt; 'Evaluation Set-up'!$D$9, DATE($J20, V$12, 1) &gt;= 'Evaluation Set-up'!$E$9), "", "Before")</f>
        <v/>
      </c>
      <c r="W20" s="312" t="str">
        <f>IF(OR(DATE($J20, W$12, 1) &lt; 'Evaluation Set-up'!$D$9, DATE($J20, W$12, 1) &gt;= 'Evaluation Set-up'!$E$9), "", "Before")</f>
        <v/>
      </c>
      <c r="X20" s="2"/>
      <c r="Y20" s="290">
        <v>2013</v>
      </c>
      <c r="Z20" s="307" t="n">
        <f t="shared" si="1"/>
        <v>0</v>
      </c>
      <c r="AA20" s="2" t="str">
        <f>IF(OR(DATE($Y20, L$12, 1) &lt; 'Evaluation Set-up'!$D$11, DATE($Y20, L$12, 1) &gt;= 'Evaluation Set-up'!$E$11), "", "After")</f>
        <v/>
      </c>
      <c r="AB20" s="2" t="str">
        <f>IF(OR(DATE($Y20, M$12, 1) &lt; 'Evaluation Set-up'!$D$11, DATE($Y20, M$12, 1) &gt;= 'Evaluation Set-up'!$E$11), "", "After")</f>
        <v/>
      </c>
      <c r="AC20" s="2" t="str">
        <f>IF(OR(DATE($Y20, N$12, 1) &lt; 'Evaluation Set-up'!$D$11, DATE($Y20, N$12, 1) &gt;= 'Evaluation Set-up'!$E$11), "", "After")</f>
        <v/>
      </c>
      <c r="AD20" s="2" t="str">
        <f>IF(OR(DATE($Y20, O$12, 1) &lt; 'Evaluation Set-up'!$D$11, DATE($Y20, O$12, 1) &gt;= 'Evaluation Set-up'!$E$11), "", "After")</f>
        <v/>
      </c>
      <c r="AE20" s="2" t="str">
        <f>IF(OR(DATE($Y20, P$12, 1) &lt; 'Evaluation Set-up'!$D$11, DATE($Y20, P$12, 1) &gt;= 'Evaluation Set-up'!$E$11), "", "After")</f>
        <v/>
      </c>
      <c r="AF20" s="2" t="str">
        <f>IF(OR(DATE($Y20, Q$12, 1) &lt; 'Evaluation Set-up'!$D$11, DATE($Y20, Q$12, 1) &gt;= 'Evaluation Set-up'!$E$11), "", "After")</f>
        <v/>
      </c>
      <c r="AG20" s="2" t="str">
        <f>IF(OR(DATE($Y20, R$12, 1) &lt; 'Evaluation Set-up'!$D$11, DATE($Y20, R$12, 1) &gt;= 'Evaluation Set-up'!$E$11), "", "After")</f>
        <v/>
      </c>
      <c r="AH20" s="2" t="str">
        <f>IF(OR(DATE($Y20, S$12, 1) &lt; 'Evaluation Set-up'!$D$11, DATE($Y20, S$12, 1) &gt;= 'Evaluation Set-up'!$E$11), "", "After")</f>
        <v/>
      </c>
      <c r="AI20" s="2" t="str">
        <f>IF(OR(DATE($Y20, T$12, 1) &lt; 'Evaluation Set-up'!$D$11, DATE($Y20, T$12, 1) &gt;= 'Evaluation Set-up'!$E$11), "", "After")</f>
        <v/>
      </c>
      <c r="AJ20" s="2" t="str">
        <f>IF(OR(DATE($Y20, U$12, 1) &lt; 'Evaluation Set-up'!$D$11, DATE($Y20, U$12, 1) &gt;= 'Evaluation Set-up'!$E$11), "", "After")</f>
        <v/>
      </c>
      <c r="AK20" s="2" t="str">
        <f>IF(OR(DATE($Y20, V$12, 1) &lt; 'Evaluation Set-up'!$D$11, DATE($Y20, V$12, 1) &gt;= 'Evaluation Set-up'!$E$11), "", "After")</f>
        <v/>
      </c>
      <c r="AL20" s="312" t="str">
        <f>IF(OR(DATE($Y20, W$12, 1) &lt; 'Evaluation Set-up'!$D$11, DATE($Y20, W$12, 1) &gt;= 'Evaluation Set-up'!$E$11), "", "After")</f>
        <v/>
      </c>
    </row>
    <row r="21" spans="2:38" x14ac:dyDescent="0.3">
      <c r="B21" s="319">
        <v>2014</v>
      </c>
      <c r="C21" s="323" t="n">
        <f>COUNTIF(Before!$P:$P,B21) + COUNTIF(After!$P:$P,B21)</f>
        <v>0</v>
      </c>
      <c r="D21" s="94" t="n">
        <f>COUNTIFS(Before!$C:$C,"&gt;=23",Before!$C:$C,"&lt;=27", Before!$P:$P,B21)+COUNTIFS(Before!$C:$C,"30", Before!$P:$P,B21) + COUNTIFS(After!$C:$C,"&gt;=23",After!$C:$C,"&lt;=27", After!$P:$P,B21)+COUNTIFS(After!$C:$C,"30", After!$P:$P,B21)</f>
        <v>0</v>
      </c>
      <c r="E21" s="94" t="n">
        <f>COUNTIFS(Before!$C:$C,"&gt;=21",Before!$C:$C,"&lt;=22", Before!$P:$P,B21) + COUNTIFS(After!$C:$C,"&gt;=21",After!$C:$C,"&lt;=22", After!$P:$P,B21)</f>
        <v>0</v>
      </c>
      <c r="F21" s="324" t="n">
        <f>COUNTIFS(Before!$P:$P,$B21, Before!$G:$G, "K") + COUNTIFS(Before!$P:$P,$B21, Before!$G:$G, "A") + COUNTIFS(Before!$P:$P,$B21, Before!$G:$G, "B") + COUNTIFS(Before!$P:$P,$B21, Before!$G:$G, "C")
+ COUNTIFS(After!$P:$P,$B21, After!$G:$G, "K") + COUNTIFS(After!$P:$P,$B21, After!$G:$G, "A") + COUNTIFS(After!$P:$P,$B21, After!$G:$G, "B") + COUNTIFS(After!$P:$P,$B21, After!$G:$G, "C")</f>
        <v>0</v>
      </c>
      <c r="G21" s="327" t="str">
        <f>VLOOKUP($B21, 'Evaluation Set-up'!$K$11:$R$35, 4, FALSE)</f>
        <v/>
      </c>
      <c r="H21" s="328" t="str">
        <f>VLOOKUP($B21, 'Evaluation Set-up'!$K$11:$R$35, 7, FALSE)</f>
        <v/>
      </c>
      <c r="J21" s="290">
        <v>2014</v>
      </c>
      <c r="K21" s="307" t="n">
        <f t="shared" si="0"/>
        <v>0</v>
      </c>
      <c r="L21" s="290" t="str">
        <f>IF(OR(DATE($J21, L$12, 1) &lt; 'Evaluation Set-up'!$D$9, DATE($J21, L$12, 1) &gt;= 'Evaluation Set-up'!$E$9), "", "Before")</f>
        <v/>
      </c>
      <c r="M21" s="2" t="str">
        <f>IF(OR(DATE($J21, M$12, 1) &lt; 'Evaluation Set-up'!$D$9, DATE($J21, M$12, 1) &gt;= 'Evaluation Set-up'!$E$9), "", "Before")</f>
        <v/>
      </c>
      <c r="N21" s="2" t="str">
        <f>IF(OR(DATE($J21, N$12, 1) &lt; 'Evaluation Set-up'!$D$9, DATE($J21, N$12, 1) &gt;= 'Evaluation Set-up'!$E$9), "", "Before")</f>
        <v/>
      </c>
      <c r="O21" s="2" t="str">
        <f>IF(OR(DATE($J21, O$12, 1) &lt; 'Evaluation Set-up'!$D$9, DATE($J21, O$12, 1) &gt;= 'Evaluation Set-up'!$E$9), "", "Before")</f>
        <v/>
      </c>
      <c r="P21" s="2" t="str">
        <f>IF(OR(DATE($J21, P$12, 1) &lt; 'Evaluation Set-up'!$D$9, DATE($J21, P$12, 1) &gt;= 'Evaluation Set-up'!$E$9), "", "Before")</f>
        <v/>
      </c>
      <c r="Q21" s="2" t="str">
        <f>IF(OR(DATE($J21, Q$12, 1) &lt; 'Evaluation Set-up'!$D$9, DATE($J21, Q$12, 1) &gt;= 'Evaluation Set-up'!$E$9), "", "Before")</f>
        <v/>
      </c>
      <c r="R21" s="2" t="str">
        <f>IF(OR(DATE($J21, R$12, 1) &lt; 'Evaluation Set-up'!$D$9, DATE($J21, R$12, 1) &gt;= 'Evaluation Set-up'!$E$9), "", "Before")</f>
        <v/>
      </c>
      <c r="S21" s="2" t="str">
        <f>IF(OR(DATE($J21, S$12, 1) &lt; 'Evaluation Set-up'!$D$9, DATE($J21, S$12, 1) &gt;= 'Evaluation Set-up'!$E$9), "", "Before")</f>
        <v/>
      </c>
      <c r="T21" s="2" t="str">
        <f>IF(OR(DATE($J21, T$12, 1) &lt; 'Evaluation Set-up'!$D$9, DATE($J21, T$12, 1) &gt;= 'Evaluation Set-up'!$E$9), "", "Before")</f>
        <v/>
      </c>
      <c r="U21" s="2" t="str">
        <f>IF(OR(DATE($J21, U$12, 1) &lt; 'Evaluation Set-up'!$D$9, DATE($J21, U$12, 1) &gt;= 'Evaluation Set-up'!$E$9), "", "Before")</f>
        <v/>
      </c>
      <c r="V21" s="2" t="str">
        <f>IF(OR(DATE($J21, V$12, 1) &lt; 'Evaluation Set-up'!$D$9, DATE($J21, V$12, 1) &gt;= 'Evaluation Set-up'!$E$9), "", "Before")</f>
        <v/>
      </c>
      <c r="W21" s="312" t="str">
        <f>IF(OR(DATE($J21, W$12, 1) &lt; 'Evaluation Set-up'!$D$9, DATE($J21, W$12, 1) &gt;= 'Evaluation Set-up'!$E$9), "", "Before")</f>
        <v/>
      </c>
      <c r="X21" s="2"/>
      <c r="Y21" s="290">
        <v>2014</v>
      </c>
      <c r="Z21" s="307" t="n">
        <f t="shared" si="1"/>
        <v>0</v>
      </c>
      <c r="AA21" s="2" t="str">
        <f>IF(OR(DATE($Y21, L$12, 1) &lt; 'Evaluation Set-up'!$D$11, DATE($Y21, L$12, 1) &gt;= 'Evaluation Set-up'!$E$11), "", "After")</f>
        <v/>
      </c>
      <c r="AB21" s="2" t="str">
        <f>IF(OR(DATE($Y21, M$12, 1) &lt; 'Evaluation Set-up'!$D$11, DATE($Y21, M$12, 1) &gt;= 'Evaluation Set-up'!$E$11), "", "After")</f>
        <v/>
      </c>
      <c r="AC21" s="2" t="str">
        <f>IF(OR(DATE($Y21, N$12, 1) &lt; 'Evaluation Set-up'!$D$11, DATE($Y21, N$12, 1) &gt;= 'Evaluation Set-up'!$E$11), "", "After")</f>
        <v/>
      </c>
      <c r="AD21" s="2" t="str">
        <f>IF(OR(DATE($Y21, O$12, 1) &lt; 'Evaluation Set-up'!$D$11, DATE($Y21, O$12, 1) &gt;= 'Evaluation Set-up'!$E$11), "", "After")</f>
        <v/>
      </c>
      <c r="AE21" s="2" t="str">
        <f>IF(OR(DATE($Y21, P$12, 1) &lt; 'Evaluation Set-up'!$D$11, DATE($Y21, P$12, 1) &gt;= 'Evaluation Set-up'!$E$11), "", "After")</f>
        <v/>
      </c>
      <c r="AF21" s="2" t="str">
        <f>IF(OR(DATE($Y21, Q$12, 1) &lt; 'Evaluation Set-up'!$D$11, DATE($Y21, Q$12, 1) &gt;= 'Evaluation Set-up'!$E$11), "", "After")</f>
        <v/>
      </c>
      <c r="AG21" s="2" t="str">
        <f>IF(OR(DATE($Y21, R$12, 1) &lt; 'Evaluation Set-up'!$D$11, DATE($Y21, R$12, 1) &gt;= 'Evaluation Set-up'!$E$11), "", "After")</f>
        <v/>
      </c>
      <c r="AH21" s="2" t="str">
        <f>IF(OR(DATE($Y21, S$12, 1) &lt; 'Evaluation Set-up'!$D$11, DATE($Y21, S$12, 1) &gt;= 'Evaluation Set-up'!$E$11), "", "After")</f>
        <v/>
      </c>
      <c r="AI21" s="2" t="str">
        <f>IF(OR(DATE($Y21, T$12, 1) &lt; 'Evaluation Set-up'!$D$11, DATE($Y21, T$12, 1) &gt;= 'Evaluation Set-up'!$E$11), "", "After")</f>
        <v/>
      </c>
      <c r="AJ21" s="2" t="str">
        <f>IF(OR(DATE($Y21, U$12, 1) &lt; 'Evaluation Set-up'!$D$11, DATE($Y21, U$12, 1) &gt;= 'Evaluation Set-up'!$E$11), "", "After")</f>
        <v/>
      </c>
      <c r="AK21" s="2" t="str">
        <f>IF(OR(DATE($Y21, V$12, 1) &lt; 'Evaluation Set-up'!$D$11, DATE($Y21, V$12, 1) &gt;= 'Evaluation Set-up'!$E$11), "", "After")</f>
        <v/>
      </c>
      <c r="AL21" s="312" t="str">
        <f>IF(OR(DATE($Y21, W$12, 1) &lt; 'Evaluation Set-up'!$D$11, DATE($Y21, W$12, 1) &gt;= 'Evaluation Set-up'!$E$11), "", "After")</f>
        <v/>
      </c>
    </row>
    <row r="22" spans="2:38" x14ac:dyDescent="0.3">
      <c r="B22" s="319">
        <v>2015</v>
      </c>
      <c r="C22" s="323" t="n">
        <f>COUNTIF(Before!$P:$P,B22) + COUNTIF(After!$P:$P,B22)</f>
        <v>0</v>
      </c>
      <c r="D22" s="94" t="n">
        <f>COUNTIFS(Before!$C:$C,"&gt;=23",Before!$C:$C,"&lt;=27", Before!$P:$P,B22)+COUNTIFS(Before!$C:$C,"30", Before!$P:$P,B22) + COUNTIFS(After!$C:$C,"&gt;=23",After!$C:$C,"&lt;=27", After!$P:$P,B22)+COUNTIFS(After!$C:$C,"30", After!$P:$P,B22)</f>
        <v>0</v>
      </c>
      <c r="E22" s="94" t="n">
        <f>COUNTIFS(Before!$C:$C,"&gt;=21",Before!$C:$C,"&lt;=22", Before!$P:$P,B22) + COUNTIFS(After!$C:$C,"&gt;=21",After!$C:$C,"&lt;=22", After!$P:$P,B22)</f>
        <v>0</v>
      </c>
      <c r="F22" s="324" t="n">
        <f>COUNTIFS(Before!$P:$P,$B22, Before!$G:$G, "K") + COUNTIFS(Before!$P:$P,$B22, Before!$G:$G, "A") + COUNTIFS(Before!$P:$P,$B22, Before!$G:$G, "B") + COUNTIFS(Before!$P:$P,$B22, Before!$G:$G, "C")
+ COUNTIFS(After!$P:$P,$B22, After!$G:$G, "K") + COUNTIFS(After!$P:$P,$B22, After!$G:$G, "A") + COUNTIFS(After!$P:$P,$B22, After!$G:$G, "B") + COUNTIFS(After!$P:$P,$B22, After!$G:$G, "C")</f>
        <v>0</v>
      </c>
      <c r="G22" s="327" t="str">
        <f>VLOOKUP($B22, 'Evaluation Set-up'!$K$11:$R$35, 4, FALSE)</f>
        <v/>
      </c>
      <c r="H22" s="328" t="str">
        <f>VLOOKUP($B22, 'Evaluation Set-up'!$K$11:$R$35, 7, FALSE)</f>
        <v/>
      </c>
      <c r="J22" s="290">
        <v>2015</v>
      </c>
      <c r="K22" s="307" t="n">
        <f t="shared" si="0"/>
        <v>0</v>
      </c>
      <c r="L22" s="290" t="str">
        <f>IF(OR(DATE($J22, L$12, 1) &lt; 'Evaluation Set-up'!$D$9, DATE($J22, L$12, 1) &gt;= 'Evaluation Set-up'!$E$9), "", "Before")</f>
        <v/>
      </c>
      <c r="M22" s="2" t="str">
        <f>IF(OR(DATE($J22, M$12, 1) &lt; 'Evaluation Set-up'!$D$9, DATE($J22, M$12, 1) &gt;= 'Evaluation Set-up'!$E$9), "", "Before")</f>
        <v/>
      </c>
      <c r="N22" s="2" t="str">
        <f>IF(OR(DATE($J22, N$12, 1) &lt; 'Evaluation Set-up'!$D$9, DATE($J22, N$12, 1) &gt;= 'Evaluation Set-up'!$E$9), "", "Before")</f>
        <v/>
      </c>
      <c r="O22" s="2" t="str">
        <f>IF(OR(DATE($J22, O$12, 1) &lt; 'Evaluation Set-up'!$D$9, DATE($J22, O$12, 1) &gt;= 'Evaluation Set-up'!$E$9), "", "Before")</f>
        <v/>
      </c>
      <c r="P22" s="2" t="str">
        <f>IF(OR(DATE($J22, P$12, 1) &lt; 'Evaluation Set-up'!$D$9, DATE($J22, P$12, 1) &gt;= 'Evaluation Set-up'!$E$9), "", "Before")</f>
        <v/>
      </c>
      <c r="Q22" s="2" t="str">
        <f>IF(OR(DATE($J22, Q$12, 1) &lt; 'Evaluation Set-up'!$D$9, DATE($J22, Q$12, 1) &gt;= 'Evaluation Set-up'!$E$9), "", "Before")</f>
        <v/>
      </c>
      <c r="R22" s="2" t="str">
        <f>IF(OR(DATE($J22, R$12, 1) &lt; 'Evaluation Set-up'!$D$9, DATE($J22, R$12, 1) &gt;= 'Evaluation Set-up'!$E$9), "", "Before")</f>
        <v/>
      </c>
      <c r="S22" s="2" t="str">
        <f>IF(OR(DATE($J22, S$12, 1) &lt; 'Evaluation Set-up'!$D$9, DATE($J22, S$12, 1) &gt;= 'Evaluation Set-up'!$E$9), "", "Before")</f>
        <v/>
      </c>
      <c r="T22" s="2" t="str">
        <f>IF(OR(DATE($J22, T$12, 1) &lt; 'Evaluation Set-up'!$D$9, DATE($J22, T$12, 1) &gt;= 'Evaluation Set-up'!$E$9), "", "Before")</f>
        <v/>
      </c>
      <c r="U22" s="2" t="str">
        <f>IF(OR(DATE($J22, U$12, 1) &lt; 'Evaluation Set-up'!$D$9, DATE($J22, U$12, 1) &gt;= 'Evaluation Set-up'!$E$9), "", "Before")</f>
        <v/>
      </c>
      <c r="V22" s="2" t="str">
        <f>IF(OR(DATE($J22, V$12, 1) &lt; 'Evaluation Set-up'!$D$9, DATE($J22, V$12, 1) &gt;= 'Evaluation Set-up'!$E$9), "", "Before")</f>
        <v/>
      </c>
      <c r="W22" s="312" t="str">
        <f>IF(OR(DATE($J22, W$12, 1) &lt; 'Evaluation Set-up'!$D$9, DATE($J22, W$12, 1) &gt;= 'Evaluation Set-up'!$E$9), "", "Before")</f>
        <v/>
      </c>
      <c r="X22" s="2"/>
      <c r="Y22" s="290">
        <v>2015</v>
      </c>
      <c r="Z22" s="307" t="n">
        <f t="shared" si="1"/>
        <v>0</v>
      </c>
      <c r="AA22" s="2" t="str">
        <f>IF(OR(DATE($Y22, L$12, 1) &lt; 'Evaluation Set-up'!$D$11, DATE($Y22, L$12, 1) &gt;= 'Evaluation Set-up'!$E$11), "", "After")</f>
        <v/>
      </c>
      <c r="AB22" s="2" t="str">
        <f>IF(OR(DATE($Y22, M$12, 1) &lt; 'Evaluation Set-up'!$D$11, DATE($Y22, M$12, 1) &gt;= 'Evaluation Set-up'!$E$11), "", "After")</f>
        <v/>
      </c>
      <c r="AC22" s="2" t="str">
        <f>IF(OR(DATE($Y22, N$12, 1) &lt; 'Evaluation Set-up'!$D$11, DATE($Y22, N$12, 1) &gt;= 'Evaluation Set-up'!$E$11), "", "After")</f>
        <v/>
      </c>
      <c r="AD22" s="2" t="str">
        <f>IF(OR(DATE($Y22, O$12, 1) &lt; 'Evaluation Set-up'!$D$11, DATE($Y22, O$12, 1) &gt;= 'Evaluation Set-up'!$E$11), "", "After")</f>
        <v/>
      </c>
      <c r="AE22" s="2" t="str">
        <f>IF(OR(DATE($Y22, P$12, 1) &lt; 'Evaluation Set-up'!$D$11, DATE($Y22, P$12, 1) &gt;= 'Evaluation Set-up'!$E$11), "", "After")</f>
        <v/>
      </c>
      <c r="AF22" s="2" t="str">
        <f>IF(OR(DATE($Y22, Q$12, 1) &lt; 'Evaluation Set-up'!$D$11, DATE($Y22, Q$12, 1) &gt;= 'Evaluation Set-up'!$E$11), "", "After")</f>
        <v/>
      </c>
      <c r="AG22" s="2" t="str">
        <f>IF(OR(DATE($Y22, R$12, 1) &lt; 'Evaluation Set-up'!$D$11, DATE($Y22, R$12, 1) &gt;= 'Evaluation Set-up'!$E$11), "", "After")</f>
        <v/>
      </c>
      <c r="AH22" s="2" t="str">
        <f>IF(OR(DATE($Y22, S$12, 1) &lt; 'Evaluation Set-up'!$D$11, DATE($Y22, S$12, 1) &gt;= 'Evaluation Set-up'!$E$11), "", "After")</f>
        <v/>
      </c>
      <c r="AI22" s="2" t="str">
        <f>IF(OR(DATE($Y22, T$12, 1) &lt; 'Evaluation Set-up'!$D$11, DATE($Y22, T$12, 1) &gt;= 'Evaluation Set-up'!$E$11), "", "After")</f>
        <v/>
      </c>
      <c r="AJ22" s="2" t="str">
        <f>IF(OR(DATE($Y22, U$12, 1) &lt; 'Evaluation Set-up'!$D$11, DATE($Y22, U$12, 1) &gt;= 'Evaluation Set-up'!$E$11), "", "After")</f>
        <v/>
      </c>
      <c r="AK22" s="2" t="str">
        <f>IF(OR(DATE($Y22, V$12, 1) &lt; 'Evaluation Set-up'!$D$11, DATE($Y22, V$12, 1) &gt;= 'Evaluation Set-up'!$E$11), "", "After")</f>
        <v/>
      </c>
      <c r="AL22" s="312" t="str">
        <f>IF(OR(DATE($Y22, W$12, 1) &lt; 'Evaluation Set-up'!$D$11, DATE($Y22, W$12, 1) &gt;= 'Evaluation Set-up'!$E$11), "", "After")</f>
        <v/>
      </c>
    </row>
    <row r="23" spans="2:38" x14ac:dyDescent="0.3">
      <c r="B23" s="319">
        <v>2016</v>
      </c>
      <c r="C23" s="323" t="n">
        <f>COUNTIF(Before!$P:$P,B23) + COUNTIF(After!$P:$P,B23)</f>
        <v>4</v>
      </c>
      <c r="D23" s="94" t="n">
        <f>COUNTIFS(Before!$C:$C,"&gt;=23",Before!$C:$C,"&lt;=27", Before!$P:$P,B23)+COUNTIFS(Before!$C:$C,"30", Before!$P:$P,B23) + COUNTIFS(After!$C:$C,"&gt;=23",After!$C:$C,"&lt;=27", After!$P:$P,B23)+COUNTIFS(After!$C:$C,"30", After!$P:$P,B23)</f>
        <v>4</v>
      </c>
      <c r="E23" s="94" t="n">
        <f>COUNTIFS(Before!$C:$C,"&gt;=21",Before!$C:$C,"&lt;=22", Before!$P:$P,B23) + COUNTIFS(After!$C:$C,"&gt;=21",After!$C:$C,"&lt;=22", After!$P:$P,B23)</f>
        <v>0</v>
      </c>
      <c r="F23" s="324" t="n">
        <f>COUNTIFS(Before!$P:$P,$B23, Before!$G:$G, "K") + COUNTIFS(Before!$P:$P,$B23, Before!$G:$G, "A") + COUNTIFS(Before!$P:$P,$B23, Before!$G:$G, "B") + COUNTIFS(Before!$P:$P,$B23, Before!$G:$G, "C")
+ COUNTIFS(After!$P:$P,$B23, After!$G:$G, "K") + COUNTIFS(After!$P:$P,$B23, After!$G:$G, "A") + COUNTIFS(After!$P:$P,$B23, After!$G:$G, "B") + COUNTIFS(After!$P:$P,$B23, After!$G:$G, "C")</f>
        <v>2</v>
      </c>
      <c r="G23" s="327" t="n">
        <f>VLOOKUP($B23, 'Evaluation Set-up'!$K$11:$R$35, 4, FALSE)</f>
        <v>3150</v>
      </c>
      <c r="H23" s="328" t="n">
        <f>VLOOKUP($B23, 'Evaluation Set-up'!$K$11:$R$35, 7, FALSE)</f>
        <v>1400</v>
      </c>
      <c r="J23" s="290">
        <v>2016</v>
      </c>
      <c r="K23" s="307" t="n">
        <f t="shared" si="0"/>
        <v>9</v>
      </c>
      <c r="L23" s="290" t="str">
        <f>IF(OR(DATE($J23, L$12, 1) &lt; 'Evaluation Set-up'!$D$9, DATE($J23, L$12, 1) &gt;= 'Evaluation Set-up'!$E$9), "", "Before")</f>
        <v/>
      </c>
      <c r="M23" s="2" t="str">
        <f>IF(OR(DATE($J23, M$12, 1) &lt; 'Evaluation Set-up'!$D$9, DATE($J23, M$12, 1) &gt;= 'Evaluation Set-up'!$E$9), "", "Before")</f>
        <v/>
      </c>
      <c r="N23" s="2" t="str">
        <f>IF(OR(DATE($J23, N$12, 1) &lt; 'Evaluation Set-up'!$D$9, DATE($J23, N$12, 1) &gt;= 'Evaluation Set-up'!$E$9), "", "Before")</f>
        <v/>
      </c>
      <c r="O23" s="2" t="str">
        <f>IF(OR(DATE($J23, O$12, 1) &lt; 'Evaluation Set-up'!$D$9, DATE($J23, O$12, 1) &gt;= 'Evaluation Set-up'!$E$9), "", "Before")</f>
        <v>Before</v>
      </c>
      <c r="P23" s="2" t="str">
        <f>IF(OR(DATE($J23, P$12, 1) &lt; 'Evaluation Set-up'!$D$9, DATE($J23, P$12, 1) &gt;= 'Evaluation Set-up'!$E$9), "", "Before")</f>
        <v>Before</v>
      </c>
      <c r="Q23" s="2" t="str">
        <f>IF(OR(DATE($J23, Q$12, 1) &lt; 'Evaluation Set-up'!$D$9, DATE($J23, Q$12, 1) &gt;= 'Evaluation Set-up'!$E$9), "", "Before")</f>
        <v>Before</v>
      </c>
      <c r="R23" s="2" t="str">
        <f>IF(OR(DATE($J23, R$12, 1) &lt; 'Evaluation Set-up'!$D$9, DATE($J23, R$12, 1) &gt;= 'Evaluation Set-up'!$E$9), "", "Before")</f>
        <v>Before</v>
      </c>
      <c r="S23" s="2" t="str">
        <f>IF(OR(DATE($J23, S$12, 1) &lt; 'Evaluation Set-up'!$D$9, DATE($J23, S$12, 1) &gt;= 'Evaluation Set-up'!$E$9), "", "Before")</f>
        <v>Before</v>
      </c>
      <c r="T23" s="2" t="str">
        <f>IF(OR(DATE($J23, T$12, 1) &lt; 'Evaluation Set-up'!$D$9, DATE($J23, T$12, 1) &gt;= 'Evaluation Set-up'!$E$9), "", "Before")</f>
        <v>Before</v>
      </c>
      <c r="U23" s="2" t="str">
        <f>IF(OR(DATE($J23, U$12, 1) &lt; 'Evaluation Set-up'!$D$9, DATE($J23, U$12, 1) &gt;= 'Evaluation Set-up'!$E$9), "", "Before")</f>
        <v>Before</v>
      </c>
      <c r="V23" s="2" t="str">
        <f>IF(OR(DATE($J23, V$12, 1) &lt; 'Evaluation Set-up'!$D$9, DATE($J23, V$12, 1) &gt;= 'Evaluation Set-up'!$E$9), "", "Before")</f>
        <v>Before</v>
      </c>
      <c r="W23" s="312" t="str">
        <f>IF(OR(DATE($J23, W$12, 1) &lt; 'Evaluation Set-up'!$D$9, DATE($J23, W$12, 1) &gt;= 'Evaluation Set-up'!$E$9), "", "Before")</f>
        <v>Before</v>
      </c>
      <c r="X23" s="2"/>
      <c r="Y23" s="290">
        <v>2016</v>
      </c>
      <c r="Z23" s="307" t="n">
        <f t="shared" si="1"/>
        <v>0</v>
      </c>
      <c r="AA23" s="2" t="str">
        <f>IF(OR(DATE($Y23, L$12, 1) &lt; 'Evaluation Set-up'!$D$11, DATE($Y23, L$12, 1) &gt;= 'Evaluation Set-up'!$E$11), "", "After")</f>
        <v/>
      </c>
      <c r="AB23" s="2" t="str">
        <f>IF(OR(DATE($Y23, M$12, 1) &lt; 'Evaluation Set-up'!$D$11, DATE($Y23, M$12, 1) &gt;= 'Evaluation Set-up'!$E$11), "", "After")</f>
        <v/>
      </c>
      <c r="AC23" s="2" t="str">
        <f>IF(OR(DATE($Y23, N$12, 1) &lt; 'Evaluation Set-up'!$D$11, DATE($Y23, N$12, 1) &gt;= 'Evaluation Set-up'!$E$11), "", "After")</f>
        <v/>
      </c>
      <c r="AD23" s="2" t="str">
        <f>IF(OR(DATE($Y23, O$12, 1) &lt; 'Evaluation Set-up'!$D$11, DATE($Y23, O$12, 1) &gt;= 'Evaluation Set-up'!$E$11), "", "After")</f>
        <v/>
      </c>
      <c r="AE23" s="2" t="str">
        <f>IF(OR(DATE($Y23, P$12, 1) &lt; 'Evaluation Set-up'!$D$11, DATE($Y23, P$12, 1) &gt;= 'Evaluation Set-up'!$E$11), "", "After")</f>
        <v/>
      </c>
      <c r="AF23" s="2" t="str">
        <f>IF(OR(DATE($Y23, Q$12, 1) &lt; 'Evaluation Set-up'!$D$11, DATE($Y23, Q$12, 1) &gt;= 'Evaluation Set-up'!$E$11), "", "After")</f>
        <v/>
      </c>
      <c r="AG23" s="2" t="str">
        <f>IF(OR(DATE($Y23, R$12, 1) &lt; 'Evaluation Set-up'!$D$11, DATE($Y23, R$12, 1) &gt;= 'Evaluation Set-up'!$E$11), "", "After")</f>
        <v/>
      </c>
      <c r="AH23" s="2" t="str">
        <f>IF(OR(DATE($Y23, S$12, 1) &lt; 'Evaluation Set-up'!$D$11, DATE($Y23, S$12, 1) &gt;= 'Evaluation Set-up'!$E$11), "", "After")</f>
        <v/>
      </c>
      <c r="AI23" s="2" t="str">
        <f>IF(OR(DATE($Y23, T$12, 1) &lt; 'Evaluation Set-up'!$D$11, DATE($Y23, T$12, 1) &gt;= 'Evaluation Set-up'!$E$11), "", "After")</f>
        <v/>
      </c>
      <c r="AJ23" s="2" t="str">
        <f>IF(OR(DATE($Y23, U$12, 1) &lt; 'Evaluation Set-up'!$D$11, DATE($Y23, U$12, 1) &gt;= 'Evaluation Set-up'!$E$11), "", "After")</f>
        <v/>
      </c>
      <c r="AK23" s="2" t="str">
        <f>IF(OR(DATE($Y23, V$12, 1) &lt; 'Evaluation Set-up'!$D$11, DATE($Y23, V$12, 1) &gt;= 'Evaluation Set-up'!$E$11), "", "After")</f>
        <v/>
      </c>
      <c r="AL23" s="312" t="str">
        <f>IF(OR(DATE($Y23, W$12, 1) &lt; 'Evaluation Set-up'!$D$11, DATE($Y23, W$12, 1) &gt;= 'Evaluation Set-up'!$E$11), "", "After")</f>
        <v/>
      </c>
    </row>
    <row r="24" spans="2:38" x14ac:dyDescent="0.3">
      <c r="B24" s="319">
        <v>2017</v>
      </c>
      <c r="C24" s="323" t="n">
        <f>COUNTIF(Before!$P:$P,B24) + COUNTIF(After!$P:$P,B24)</f>
        <v>3</v>
      </c>
      <c r="D24" s="94" t="n">
        <f>COUNTIFS(Before!$C:$C,"&gt;=23",Before!$C:$C,"&lt;=27", Before!$P:$P,B24)+COUNTIFS(Before!$C:$C,"30", Before!$P:$P,B24) + COUNTIFS(After!$C:$C,"&gt;=23",After!$C:$C,"&lt;=27", After!$P:$P,B24)+COUNTIFS(After!$C:$C,"30", After!$P:$P,B24)</f>
        <v>3</v>
      </c>
      <c r="E24" s="94" t="n">
        <f>COUNTIFS(Before!$C:$C,"&gt;=21",Before!$C:$C,"&lt;=22", Before!$P:$P,B24) + COUNTIFS(After!$C:$C,"&gt;=21",After!$C:$C,"&lt;=22", After!$P:$P,B24)</f>
        <v>0</v>
      </c>
      <c r="F24" s="324" t="n">
        <f>COUNTIFS(Before!$P:$P,$B24, Before!$G:$G, "K") + COUNTIFS(Before!$P:$P,$B24, Before!$G:$G, "A") + COUNTIFS(Before!$P:$P,$B24, Before!$G:$G, "B") + COUNTIFS(Before!$P:$P,$B24, Before!$G:$G, "C")
+ COUNTIFS(After!$P:$P,$B24, After!$G:$G, "K") + COUNTIFS(After!$P:$P,$B24, After!$G:$G, "A") + COUNTIFS(After!$P:$P,$B24, After!$G:$G, "B") + COUNTIFS(After!$P:$P,$B24, After!$G:$G, "C")</f>
        <v>3</v>
      </c>
      <c r="G24" s="327" t="n">
        <f>VLOOKUP($B24, 'Evaluation Set-up'!$K$11:$R$35, 4, FALSE)</f>
        <v>3375</v>
      </c>
      <c r="H24" s="328" t="n">
        <f>VLOOKUP($B24, 'Evaluation Set-up'!$K$11:$R$35, 7, FALSE)</f>
        <v>1400</v>
      </c>
      <c r="J24" s="290">
        <v>2017</v>
      </c>
      <c r="K24" s="307" t="n">
        <f t="shared" si="0"/>
        <v>12</v>
      </c>
      <c r="L24" s="290" t="str">
        <f>IF(OR(DATE($J24, L$12, 1) &lt; 'Evaluation Set-up'!$D$9, DATE($J24, L$12, 1) &gt;= 'Evaluation Set-up'!$E$9), "", "Before")</f>
        <v>Before</v>
      </c>
      <c r="M24" s="2" t="str">
        <f>IF(OR(DATE($J24, M$12, 1) &lt; 'Evaluation Set-up'!$D$9, DATE($J24, M$12, 1) &gt;= 'Evaluation Set-up'!$E$9), "", "Before")</f>
        <v>Before</v>
      </c>
      <c r="N24" s="2" t="str">
        <f>IF(OR(DATE($J24, N$12, 1) &lt; 'Evaluation Set-up'!$D$9, DATE($J24, N$12, 1) &gt;= 'Evaluation Set-up'!$E$9), "", "Before")</f>
        <v>Before</v>
      </c>
      <c r="O24" s="2" t="str">
        <f>IF(OR(DATE($J24, O$12, 1) &lt; 'Evaluation Set-up'!$D$9, DATE($J24, O$12, 1) &gt;= 'Evaluation Set-up'!$E$9), "", "Before")</f>
        <v>Before</v>
      </c>
      <c r="P24" s="2" t="str">
        <f>IF(OR(DATE($J24, P$12, 1) &lt; 'Evaluation Set-up'!$D$9, DATE($J24, P$12, 1) &gt;= 'Evaluation Set-up'!$E$9), "", "Before")</f>
        <v>Before</v>
      </c>
      <c r="Q24" s="2" t="str">
        <f>IF(OR(DATE($J24, Q$12, 1) &lt; 'Evaluation Set-up'!$D$9, DATE($J24, Q$12, 1) &gt;= 'Evaluation Set-up'!$E$9), "", "Before")</f>
        <v>Before</v>
      </c>
      <c r="R24" s="2" t="str">
        <f>IF(OR(DATE($J24, R$12, 1) &lt; 'Evaluation Set-up'!$D$9, DATE($J24, R$12, 1) &gt;= 'Evaluation Set-up'!$E$9), "", "Before")</f>
        <v>Before</v>
      </c>
      <c r="S24" s="2" t="str">
        <f>IF(OR(DATE($J24, S$12, 1) &lt; 'Evaluation Set-up'!$D$9, DATE($J24, S$12, 1) &gt;= 'Evaluation Set-up'!$E$9), "", "Before")</f>
        <v>Before</v>
      </c>
      <c r="T24" s="2" t="str">
        <f>IF(OR(DATE($J24, T$12, 1) &lt; 'Evaluation Set-up'!$D$9, DATE($J24, T$12, 1) &gt;= 'Evaluation Set-up'!$E$9), "", "Before")</f>
        <v>Before</v>
      </c>
      <c r="U24" s="2" t="str">
        <f>IF(OR(DATE($J24, U$12, 1) &lt; 'Evaluation Set-up'!$D$9, DATE($J24, U$12, 1) &gt;= 'Evaluation Set-up'!$E$9), "", "Before")</f>
        <v>Before</v>
      </c>
      <c r="V24" s="2" t="str">
        <f>IF(OR(DATE($J24, V$12, 1) &lt; 'Evaluation Set-up'!$D$9, DATE($J24, V$12, 1) &gt;= 'Evaluation Set-up'!$E$9), "", "Before")</f>
        <v>Before</v>
      </c>
      <c r="W24" s="312" t="str">
        <f>IF(OR(DATE($J24, W$12, 1) &lt; 'Evaluation Set-up'!$D$9, DATE($J24, W$12, 1) &gt;= 'Evaluation Set-up'!$E$9), "", "Before")</f>
        <v>Before</v>
      </c>
      <c r="X24" s="2"/>
      <c r="Y24" s="290">
        <v>2017</v>
      </c>
      <c r="Z24" s="307" t="n">
        <f t="shared" si="1"/>
        <v>0</v>
      </c>
      <c r="AA24" s="2" t="str">
        <f>IF(OR(DATE($Y24, L$12, 1) &lt; 'Evaluation Set-up'!$D$11, DATE($Y24, L$12, 1) &gt;= 'Evaluation Set-up'!$E$11), "", "After")</f>
        <v/>
      </c>
      <c r="AB24" s="2" t="str">
        <f>IF(OR(DATE($Y24, M$12, 1) &lt; 'Evaluation Set-up'!$D$11, DATE($Y24, M$12, 1) &gt;= 'Evaluation Set-up'!$E$11), "", "After")</f>
        <v/>
      </c>
      <c r="AC24" s="2" t="str">
        <f>IF(OR(DATE($Y24, N$12, 1) &lt; 'Evaluation Set-up'!$D$11, DATE($Y24, N$12, 1) &gt;= 'Evaluation Set-up'!$E$11), "", "After")</f>
        <v/>
      </c>
      <c r="AD24" s="2" t="str">
        <f>IF(OR(DATE($Y24, O$12, 1) &lt; 'Evaluation Set-up'!$D$11, DATE($Y24, O$12, 1) &gt;= 'Evaluation Set-up'!$E$11), "", "After")</f>
        <v/>
      </c>
      <c r="AE24" s="2" t="str">
        <f>IF(OR(DATE($Y24, P$12, 1) &lt; 'Evaluation Set-up'!$D$11, DATE($Y24, P$12, 1) &gt;= 'Evaluation Set-up'!$E$11), "", "After")</f>
        <v/>
      </c>
      <c r="AF24" s="2" t="str">
        <f>IF(OR(DATE($Y24, Q$12, 1) &lt; 'Evaluation Set-up'!$D$11, DATE($Y24, Q$12, 1) &gt;= 'Evaluation Set-up'!$E$11), "", "After")</f>
        <v/>
      </c>
      <c r="AG24" s="2" t="str">
        <f>IF(OR(DATE($Y24, R$12, 1) &lt; 'Evaluation Set-up'!$D$11, DATE($Y24, R$12, 1) &gt;= 'Evaluation Set-up'!$E$11), "", "After")</f>
        <v/>
      </c>
      <c r="AH24" s="2" t="str">
        <f>IF(OR(DATE($Y24, S$12, 1) &lt; 'Evaluation Set-up'!$D$11, DATE($Y24, S$12, 1) &gt;= 'Evaluation Set-up'!$E$11), "", "After")</f>
        <v/>
      </c>
      <c r="AI24" s="2" t="str">
        <f>IF(OR(DATE($Y24, T$12, 1) &lt; 'Evaluation Set-up'!$D$11, DATE($Y24, T$12, 1) &gt;= 'Evaluation Set-up'!$E$11), "", "After")</f>
        <v/>
      </c>
      <c r="AJ24" s="2" t="str">
        <f>IF(OR(DATE($Y24, U$12, 1) &lt; 'Evaluation Set-up'!$D$11, DATE($Y24, U$12, 1) &gt;= 'Evaluation Set-up'!$E$11), "", "After")</f>
        <v/>
      </c>
      <c r="AK24" s="2" t="str">
        <f>IF(OR(DATE($Y24, V$12, 1) &lt; 'Evaluation Set-up'!$D$11, DATE($Y24, V$12, 1) &gt;= 'Evaluation Set-up'!$E$11), "", "After")</f>
        <v/>
      </c>
      <c r="AL24" s="312" t="str">
        <f>IF(OR(DATE($Y24, W$12, 1) &lt; 'Evaluation Set-up'!$D$11, DATE($Y24, W$12, 1) &gt;= 'Evaluation Set-up'!$E$11), "", "After")</f>
        <v/>
      </c>
    </row>
    <row r="25" spans="2:38" x14ac:dyDescent="0.3">
      <c r="B25" s="319">
        <v>2018</v>
      </c>
      <c r="C25" s="323" t="n">
        <f>COUNTIF(Before!$P:$P,B25) + COUNTIF(After!$P:$P,B25)</f>
        <v>4</v>
      </c>
      <c r="D25" s="94" t="n">
        <f>COUNTIFS(Before!$C:$C,"&gt;=23",Before!$C:$C,"&lt;=27", Before!$P:$P,B25)+COUNTIFS(Before!$C:$C,"30", Before!$P:$P,B25) + COUNTIFS(After!$C:$C,"&gt;=23",After!$C:$C,"&lt;=27", After!$P:$P,B25)+COUNTIFS(After!$C:$C,"30", After!$P:$P,B25)</f>
        <v>2</v>
      </c>
      <c r="E25" s="94" t="n">
        <f>COUNTIFS(Before!$C:$C,"&gt;=21",Before!$C:$C,"&lt;=22", Before!$P:$P,B25) + COUNTIFS(After!$C:$C,"&gt;=21",After!$C:$C,"&lt;=22", After!$P:$P,B25)</f>
        <v>0</v>
      </c>
      <c r="F25" s="324" t="n">
        <f>COUNTIFS(Before!$P:$P,$B25, Before!$G:$G, "K") + COUNTIFS(Before!$P:$P,$B25, Before!$G:$G, "A") + COUNTIFS(Before!$P:$P,$B25, Before!$G:$G, "B") + COUNTIFS(Before!$P:$P,$B25, Before!$G:$G, "C")
+ COUNTIFS(After!$P:$P,$B25, After!$G:$G, "K") + COUNTIFS(After!$P:$P,$B25, After!$G:$G, "A") + COUNTIFS(After!$P:$P,$B25, After!$G:$G, "B") + COUNTIFS(After!$P:$P,$B25, After!$G:$G, "C")</f>
        <v>2</v>
      </c>
      <c r="G25" s="327" t="n">
        <f>VLOOKUP($B25, 'Evaluation Set-up'!$K$11:$R$35, 4, FALSE)</f>
        <v>3700</v>
      </c>
      <c r="H25" s="328" t="n">
        <f>VLOOKUP($B25, 'Evaluation Set-up'!$K$11:$R$35, 7, FALSE)</f>
        <v>1400</v>
      </c>
      <c r="J25" s="290">
        <v>2018</v>
      </c>
      <c r="K25" s="307" t="n">
        <f t="shared" si="0"/>
        <v>12</v>
      </c>
      <c r="L25" s="290" t="str">
        <f>IF(OR(DATE($J25, L$12, 1) &lt; 'Evaluation Set-up'!$D$9, DATE($J25, L$12, 1) &gt;= 'Evaluation Set-up'!$E$9), "", "Before")</f>
        <v>Before</v>
      </c>
      <c r="M25" s="2" t="str">
        <f>IF(OR(DATE($J25, M$12, 1) &lt; 'Evaluation Set-up'!$D$9, DATE($J25, M$12, 1) &gt;= 'Evaluation Set-up'!$E$9), "", "Before")</f>
        <v>Before</v>
      </c>
      <c r="N25" s="2" t="str">
        <f>IF(OR(DATE($J25, N$12, 1) &lt; 'Evaluation Set-up'!$D$9, DATE($J25, N$12, 1) &gt;= 'Evaluation Set-up'!$E$9), "", "Before")</f>
        <v>Before</v>
      </c>
      <c r="O25" s="2" t="str">
        <f>IF(OR(DATE($J25, O$12, 1) &lt; 'Evaluation Set-up'!$D$9, DATE($J25, O$12, 1) &gt;= 'Evaluation Set-up'!$E$9), "", "Before")</f>
        <v>Before</v>
      </c>
      <c r="P25" s="2" t="str">
        <f>IF(OR(DATE($J25, P$12, 1) &lt; 'Evaluation Set-up'!$D$9, DATE($J25, P$12, 1) &gt;= 'Evaluation Set-up'!$E$9), "", "Before")</f>
        <v>Before</v>
      </c>
      <c r="Q25" s="2" t="str">
        <f>IF(OR(DATE($J25, Q$12, 1) &lt; 'Evaluation Set-up'!$D$9, DATE($J25, Q$12, 1) &gt;= 'Evaluation Set-up'!$E$9), "", "Before")</f>
        <v>Before</v>
      </c>
      <c r="R25" s="2" t="str">
        <f>IF(OR(DATE($J25, R$12, 1) &lt; 'Evaluation Set-up'!$D$9, DATE($J25, R$12, 1) &gt;= 'Evaluation Set-up'!$E$9), "", "Before")</f>
        <v>Before</v>
      </c>
      <c r="S25" s="2" t="str">
        <f>IF(OR(DATE($J25, S$12, 1) &lt; 'Evaluation Set-up'!$D$9, DATE($J25, S$12, 1) &gt;= 'Evaluation Set-up'!$E$9), "", "Before")</f>
        <v>Before</v>
      </c>
      <c r="T25" s="2" t="str">
        <f>IF(OR(DATE($J25, T$12, 1) &lt; 'Evaluation Set-up'!$D$9, DATE($J25, T$12, 1) &gt;= 'Evaluation Set-up'!$E$9), "", "Before")</f>
        <v>Before</v>
      </c>
      <c r="U25" s="2" t="str">
        <f>IF(OR(DATE($J25, U$12, 1) &lt; 'Evaluation Set-up'!$D$9, DATE($J25, U$12, 1) &gt;= 'Evaluation Set-up'!$E$9), "", "Before")</f>
        <v>Before</v>
      </c>
      <c r="V25" s="2" t="str">
        <f>IF(OR(DATE($J25, V$12, 1) &lt; 'Evaluation Set-up'!$D$9, DATE($J25, V$12, 1) &gt;= 'Evaluation Set-up'!$E$9), "", "Before")</f>
        <v>Before</v>
      </c>
      <c r="W25" s="312" t="str">
        <f>IF(OR(DATE($J25, W$12, 1) &lt; 'Evaluation Set-up'!$D$9, DATE($J25, W$12, 1) &gt;= 'Evaluation Set-up'!$E$9), "", "Before")</f>
        <v>Before</v>
      </c>
      <c r="X25" s="2"/>
      <c r="Y25" s="290">
        <v>2018</v>
      </c>
      <c r="Z25" s="307" t="n">
        <f t="shared" si="1"/>
        <v>0</v>
      </c>
      <c r="AA25" s="2" t="str">
        <f>IF(OR(DATE($Y25, L$12, 1) &lt; 'Evaluation Set-up'!$D$11, DATE($Y25, L$12, 1) &gt;= 'Evaluation Set-up'!$E$11), "", "After")</f>
        <v/>
      </c>
      <c r="AB25" s="2" t="str">
        <f>IF(OR(DATE($Y25, M$12, 1) &lt; 'Evaluation Set-up'!$D$11, DATE($Y25, M$12, 1) &gt;= 'Evaluation Set-up'!$E$11), "", "After")</f>
        <v/>
      </c>
      <c r="AC25" s="2" t="str">
        <f>IF(OR(DATE($Y25, N$12, 1) &lt; 'Evaluation Set-up'!$D$11, DATE($Y25, N$12, 1) &gt;= 'Evaluation Set-up'!$E$11), "", "After")</f>
        <v/>
      </c>
      <c r="AD25" s="2" t="str">
        <f>IF(OR(DATE($Y25, O$12, 1) &lt; 'Evaluation Set-up'!$D$11, DATE($Y25, O$12, 1) &gt;= 'Evaluation Set-up'!$E$11), "", "After")</f>
        <v/>
      </c>
      <c r="AE25" s="2" t="str">
        <f>IF(OR(DATE($Y25, P$12, 1) &lt; 'Evaluation Set-up'!$D$11, DATE($Y25, P$12, 1) &gt;= 'Evaluation Set-up'!$E$11), "", "After")</f>
        <v/>
      </c>
      <c r="AF25" s="2" t="str">
        <f>IF(OR(DATE($Y25, Q$12, 1) &lt; 'Evaluation Set-up'!$D$11, DATE($Y25, Q$12, 1) &gt;= 'Evaluation Set-up'!$E$11), "", "After")</f>
        <v/>
      </c>
      <c r="AG25" s="2" t="str">
        <f>IF(OR(DATE($Y25, R$12, 1) &lt; 'Evaluation Set-up'!$D$11, DATE($Y25, R$12, 1) &gt;= 'Evaluation Set-up'!$E$11), "", "After")</f>
        <v/>
      </c>
      <c r="AH25" s="2" t="str">
        <f>IF(OR(DATE($Y25, S$12, 1) &lt; 'Evaluation Set-up'!$D$11, DATE($Y25, S$12, 1) &gt;= 'Evaluation Set-up'!$E$11), "", "After")</f>
        <v/>
      </c>
      <c r="AI25" s="2" t="str">
        <f>IF(OR(DATE($Y25, T$12, 1) &lt; 'Evaluation Set-up'!$D$11, DATE($Y25, T$12, 1) &gt;= 'Evaluation Set-up'!$E$11), "", "After")</f>
        <v/>
      </c>
      <c r="AJ25" s="2" t="str">
        <f>IF(OR(DATE($Y25, U$12, 1) &lt; 'Evaluation Set-up'!$D$11, DATE($Y25, U$12, 1) &gt;= 'Evaluation Set-up'!$E$11), "", "After")</f>
        <v/>
      </c>
      <c r="AK25" s="2" t="str">
        <f>IF(OR(DATE($Y25, V$12, 1) &lt; 'Evaluation Set-up'!$D$11, DATE($Y25, V$12, 1) &gt;= 'Evaluation Set-up'!$E$11), "", "After")</f>
        <v/>
      </c>
      <c r="AL25" s="312" t="str">
        <f>IF(OR(DATE($Y25, W$12, 1) &lt; 'Evaluation Set-up'!$D$11, DATE($Y25, W$12, 1) &gt;= 'Evaluation Set-up'!$E$11), "", "After")</f>
        <v/>
      </c>
    </row>
    <row r="26" spans="2:38" x14ac:dyDescent="0.3">
      <c r="B26" s="319">
        <v>2019</v>
      </c>
      <c r="C26" s="323" t="n">
        <f>COUNTIF(Before!$P:$P,B26) + COUNTIF(After!$P:$P,B26)</f>
        <v>1</v>
      </c>
      <c r="D26" s="94" t="n">
        <f>COUNTIFS(Before!$C:$C,"&gt;=23",Before!$C:$C,"&lt;=27", Before!$P:$P,B26)+COUNTIFS(Before!$C:$C,"30", Before!$P:$P,B26) + COUNTIFS(After!$C:$C,"&gt;=23",After!$C:$C,"&lt;=27", After!$P:$P,B26)+COUNTIFS(After!$C:$C,"30", After!$P:$P,B26)</f>
        <v>0</v>
      </c>
      <c r="E26" s="94" t="n">
        <f>COUNTIFS(Before!$C:$C,"&gt;=21",Before!$C:$C,"&lt;=22", Before!$P:$P,B26) + COUNTIFS(After!$C:$C,"&gt;=21",After!$C:$C,"&lt;=22", After!$P:$P,B26)</f>
        <v>0</v>
      </c>
      <c r="F26" s="324" t="n">
        <f>COUNTIFS(Before!$P:$P,$B26, Before!$G:$G, "K") + COUNTIFS(Before!$P:$P,$B26, Before!$G:$G, "A") + COUNTIFS(Before!$P:$P,$B26, Before!$G:$G, "B") + COUNTIFS(Before!$P:$P,$B26, Before!$G:$G, "C")
+ COUNTIFS(After!$P:$P,$B26, After!$G:$G, "K") + COUNTIFS(After!$P:$P,$B26, After!$G:$G, "A") + COUNTIFS(After!$P:$P,$B26, After!$G:$G, "B") + COUNTIFS(After!$P:$P,$B26, After!$G:$G, "C")</f>
        <v>0</v>
      </c>
      <c r="G26" s="327" t="n">
        <f>VLOOKUP($B26, 'Evaluation Set-up'!$K$11:$R$35, 4, FALSE)</f>
        <v>3675</v>
      </c>
      <c r="H26" s="328" t="n">
        <f>VLOOKUP($B26, 'Evaluation Set-up'!$K$11:$R$35, 7, FALSE)</f>
        <v>1400</v>
      </c>
      <c r="J26" s="290">
        <v>2019</v>
      </c>
      <c r="K26" s="307" t="n">
        <f t="shared" si="0"/>
        <v>12</v>
      </c>
      <c r="L26" s="290" t="str">
        <f>IF(OR(DATE($J26, L$12, 1) &lt; 'Evaluation Set-up'!$D$9, DATE($J26, L$12, 1) &gt;= 'Evaluation Set-up'!$E$9), "", "Before")</f>
        <v>Before</v>
      </c>
      <c r="M26" s="2" t="str">
        <f>IF(OR(DATE($J26, M$12, 1) &lt; 'Evaluation Set-up'!$D$9, DATE($J26, M$12, 1) &gt;= 'Evaluation Set-up'!$E$9), "", "Before")</f>
        <v>Before</v>
      </c>
      <c r="N26" s="2" t="str">
        <f>IF(OR(DATE($J26, N$12, 1) &lt; 'Evaluation Set-up'!$D$9, DATE($J26, N$12, 1) &gt;= 'Evaluation Set-up'!$E$9), "", "Before")</f>
        <v>Before</v>
      </c>
      <c r="O26" s="2" t="str">
        <f>IF(OR(DATE($J26, O$12, 1) &lt; 'Evaluation Set-up'!$D$9, DATE($J26, O$12, 1) &gt;= 'Evaluation Set-up'!$E$9), "", "Before")</f>
        <v>Before</v>
      </c>
      <c r="P26" s="2" t="str">
        <f>IF(OR(DATE($J26, P$12, 1) &lt; 'Evaluation Set-up'!$D$9, DATE($J26, P$12, 1) &gt;= 'Evaluation Set-up'!$E$9), "", "Before")</f>
        <v>Before</v>
      </c>
      <c r="Q26" s="2" t="str">
        <f>IF(OR(DATE($J26, Q$12, 1) &lt; 'Evaluation Set-up'!$D$9, DATE($J26, Q$12, 1) &gt;= 'Evaluation Set-up'!$E$9), "", "Before")</f>
        <v>Before</v>
      </c>
      <c r="R26" s="2" t="str">
        <f>IF(OR(DATE($J26, R$12, 1) &lt; 'Evaluation Set-up'!$D$9, DATE($J26, R$12, 1) &gt;= 'Evaluation Set-up'!$E$9), "", "Before")</f>
        <v>Before</v>
      </c>
      <c r="S26" s="2" t="str">
        <f>IF(OR(DATE($J26, S$12, 1) &lt; 'Evaluation Set-up'!$D$9, DATE($J26, S$12, 1) &gt;= 'Evaluation Set-up'!$E$9), "", "Before")</f>
        <v>Before</v>
      </c>
      <c r="T26" s="2" t="str">
        <f>IF(OR(DATE($J26, T$12, 1) &lt; 'Evaluation Set-up'!$D$9, DATE($J26, T$12, 1) &gt;= 'Evaluation Set-up'!$E$9), "", "Before")</f>
        <v>Before</v>
      </c>
      <c r="U26" s="2" t="str">
        <f>IF(OR(DATE($J26, U$12, 1) &lt; 'Evaluation Set-up'!$D$9, DATE($J26, U$12, 1) &gt;= 'Evaluation Set-up'!$E$9), "", "Before")</f>
        <v>Before</v>
      </c>
      <c r="V26" s="2" t="str">
        <f>IF(OR(DATE($J26, V$12, 1) &lt; 'Evaluation Set-up'!$D$9, DATE($J26, V$12, 1) &gt;= 'Evaluation Set-up'!$E$9), "", "Before")</f>
        <v>Before</v>
      </c>
      <c r="W26" s="312" t="str">
        <f>IF(OR(DATE($J26, W$12, 1) &lt; 'Evaluation Set-up'!$D$9, DATE($J26, W$12, 1) &gt;= 'Evaluation Set-up'!$E$9), "", "Before")</f>
        <v>Before</v>
      </c>
      <c r="X26" s="2"/>
      <c r="Y26" s="290">
        <v>2019</v>
      </c>
      <c r="Z26" s="307" t="n">
        <f t="shared" si="1"/>
        <v>0</v>
      </c>
      <c r="AA26" s="2" t="str">
        <f>IF(OR(DATE($Y26, L$12, 1) &lt; 'Evaluation Set-up'!$D$11, DATE($Y26, L$12, 1) &gt;= 'Evaluation Set-up'!$E$11), "", "After")</f>
        <v/>
      </c>
      <c r="AB26" s="2" t="str">
        <f>IF(OR(DATE($Y26, M$12, 1) &lt; 'Evaluation Set-up'!$D$11, DATE($Y26, M$12, 1) &gt;= 'Evaluation Set-up'!$E$11), "", "After")</f>
        <v/>
      </c>
      <c r="AC26" s="2" t="str">
        <f>IF(OR(DATE($Y26, N$12, 1) &lt; 'Evaluation Set-up'!$D$11, DATE($Y26, N$12, 1) &gt;= 'Evaluation Set-up'!$E$11), "", "After")</f>
        <v/>
      </c>
      <c r="AD26" s="2" t="str">
        <f>IF(OR(DATE($Y26, O$12, 1) &lt; 'Evaluation Set-up'!$D$11, DATE($Y26, O$12, 1) &gt;= 'Evaluation Set-up'!$E$11), "", "After")</f>
        <v/>
      </c>
      <c r="AE26" s="2" t="str">
        <f>IF(OR(DATE($Y26, P$12, 1) &lt; 'Evaluation Set-up'!$D$11, DATE($Y26, P$12, 1) &gt;= 'Evaluation Set-up'!$E$11), "", "After")</f>
        <v/>
      </c>
      <c r="AF26" s="2" t="str">
        <f>IF(OR(DATE($Y26, Q$12, 1) &lt; 'Evaluation Set-up'!$D$11, DATE($Y26, Q$12, 1) &gt;= 'Evaluation Set-up'!$E$11), "", "After")</f>
        <v/>
      </c>
      <c r="AG26" s="2" t="str">
        <f>IF(OR(DATE($Y26, R$12, 1) &lt; 'Evaluation Set-up'!$D$11, DATE($Y26, R$12, 1) &gt;= 'Evaluation Set-up'!$E$11), "", "After")</f>
        <v/>
      </c>
      <c r="AH26" s="2" t="str">
        <f>IF(OR(DATE($Y26, S$12, 1) &lt; 'Evaluation Set-up'!$D$11, DATE($Y26, S$12, 1) &gt;= 'Evaluation Set-up'!$E$11), "", "After")</f>
        <v/>
      </c>
      <c r="AI26" s="2" t="str">
        <f>IF(OR(DATE($Y26, T$12, 1) &lt; 'Evaluation Set-up'!$D$11, DATE($Y26, T$12, 1) &gt;= 'Evaluation Set-up'!$E$11), "", "After")</f>
        <v/>
      </c>
      <c r="AJ26" s="2" t="str">
        <f>IF(OR(DATE($Y26, U$12, 1) &lt; 'Evaluation Set-up'!$D$11, DATE($Y26, U$12, 1) &gt;= 'Evaluation Set-up'!$E$11), "", "After")</f>
        <v/>
      </c>
      <c r="AK26" s="2" t="str">
        <f>IF(OR(DATE($Y26, V$12, 1) &lt; 'Evaluation Set-up'!$D$11, DATE($Y26, V$12, 1) &gt;= 'Evaluation Set-up'!$E$11), "", "After")</f>
        <v/>
      </c>
      <c r="AL26" s="312" t="str">
        <f>IF(OR(DATE($Y26, W$12, 1) &lt; 'Evaluation Set-up'!$D$11, DATE($Y26, W$12, 1) &gt;= 'Evaluation Set-up'!$E$11), "", "After")</f>
        <v/>
      </c>
    </row>
    <row r="27" spans="2:38" x14ac:dyDescent="0.3">
      <c r="B27" s="319">
        <v>2020</v>
      </c>
      <c r="C27" s="323" t="n">
        <f>COUNTIF(Before!$P:$P,B27) + COUNTIF(After!$P:$P,B27)</f>
        <v>3</v>
      </c>
      <c r="D27" s="94" t="n">
        <f>COUNTIFS(Before!$C:$C,"&gt;=23",Before!$C:$C,"&lt;=27", Before!$P:$P,B27)+COUNTIFS(Before!$C:$C,"30", Before!$P:$P,B27) + COUNTIFS(After!$C:$C,"&gt;=23",After!$C:$C,"&lt;=27", After!$P:$P,B27)+COUNTIFS(After!$C:$C,"30", After!$P:$P,B27)</f>
        <v>2</v>
      </c>
      <c r="E27" s="94" t="n">
        <f>COUNTIFS(Before!$C:$C,"&gt;=21",Before!$C:$C,"&lt;=22", Before!$P:$P,B27) + COUNTIFS(After!$C:$C,"&gt;=21",After!$C:$C,"&lt;=22", After!$P:$P,B27)</f>
        <v>1</v>
      </c>
      <c r="F27" s="324" t="n">
        <f>COUNTIFS(Before!$P:$P,$B27, Before!$G:$G, "K") + COUNTIFS(Before!$P:$P,$B27, Before!$G:$G, "A") + COUNTIFS(Before!$P:$P,$B27, Before!$G:$G, "B") + COUNTIFS(Before!$P:$P,$B27, Before!$G:$G, "C")
+ COUNTIFS(After!$P:$P,$B27, After!$G:$G, "K") + COUNTIFS(After!$P:$P,$B27, After!$G:$G, "A") + COUNTIFS(After!$P:$P,$B27, After!$G:$G, "B") + COUNTIFS(After!$P:$P,$B27, After!$G:$G, "C")</f>
        <v>1</v>
      </c>
      <c r="G27" s="327" t="n">
        <f>VLOOKUP($B27, 'Evaluation Set-up'!$K$11:$R$35, 4, FALSE)</f>
        <v>3300</v>
      </c>
      <c r="H27" s="328" t="n">
        <f>VLOOKUP($B27, 'Evaluation Set-up'!$K$11:$R$35, 7, FALSE)</f>
        <v>1400</v>
      </c>
      <c r="J27" s="290">
        <v>2020</v>
      </c>
      <c r="K27" s="307" t="n">
        <f t="shared" si="0"/>
        <v>12</v>
      </c>
      <c r="L27" s="290" t="str">
        <f>IF(OR(DATE($J27, L$12, 1) &lt; 'Evaluation Set-up'!$D$9, DATE($J27, L$12, 1) &gt;= 'Evaluation Set-up'!$E$9), "", "Before")</f>
        <v>Before</v>
      </c>
      <c r="M27" s="2" t="str">
        <f>IF(OR(DATE($J27, M$12, 1) &lt; 'Evaluation Set-up'!$D$9, DATE($J27, M$12, 1) &gt;= 'Evaluation Set-up'!$E$9), "", "Before")</f>
        <v>Before</v>
      </c>
      <c r="N27" s="2" t="str">
        <f>IF(OR(DATE($J27, N$12, 1) &lt; 'Evaluation Set-up'!$D$9, DATE($J27, N$12, 1) &gt;= 'Evaluation Set-up'!$E$9), "", "Before")</f>
        <v>Before</v>
      </c>
      <c r="O27" s="2" t="str">
        <f>IF(OR(DATE($J27, O$12, 1) &lt; 'Evaluation Set-up'!$D$9, DATE($J27, O$12, 1) &gt;= 'Evaluation Set-up'!$E$9), "", "Before")</f>
        <v>Before</v>
      </c>
      <c r="P27" s="2" t="str">
        <f>IF(OR(DATE($J27, P$12, 1) &lt; 'Evaluation Set-up'!$D$9, DATE($J27, P$12, 1) &gt;= 'Evaluation Set-up'!$E$9), "", "Before")</f>
        <v>Before</v>
      </c>
      <c r="Q27" s="2" t="str">
        <f>IF(OR(DATE($J27, Q$12, 1) &lt; 'Evaluation Set-up'!$D$9, DATE($J27, Q$12, 1) &gt;= 'Evaluation Set-up'!$E$9), "", "Before")</f>
        <v>Before</v>
      </c>
      <c r="R27" s="2" t="str">
        <f>IF(OR(DATE($J27, R$12, 1) &lt; 'Evaluation Set-up'!$D$9, DATE($J27, R$12, 1) &gt;= 'Evaluation Set-up'!$E$9), "", "Before")</f>
        <v>Before</v>
      </c>
      <c r="S27" s="2" t="str">
        <f>IF(OR(DATE($J27, S$12, 1) &lt; 'Evaluation Set-up'!$D$9, DATE($J27, S$12, 1) &gt;= 'Evaluation Set-up'!$E$9), "", "Before")</f>
        <v>Before</v>
      </c>
      <c r="T27" s="2" t="str">
        <f>IF(OR(DATE($J27, T$12, 1) &lt; 'Evaluation Set-up'!$D$9, DATE($J27, T$12, 1) &gt;= 'Evaluation Set-up'!$E$9), "", "Before")</f>
        <v>Before</v>
      </c>
      <c r="U27" s="2" t="str">
        <f>IF(OR(DATE($J27, U$12, 1) &lt; 'Evaluation Set-up'!$D$9, DATE($J27, U$12, 1) &gt;= 'Evaluation Set-up'!$E$9), "", "Before")</f>
        <v>Before</v>
      </c>
      <c r="V27" s="2" t="str">
        <f>IF(OR(DATE($J27, V$12, 1) &lt; 'Evaluation Set-up'!$D$9, DATE($J27, V$12, 1) &gt;= 'Evaluation Set-up'!$E$9), "", "Before")</f>
        <v>Before</v>
      </c>
      <c r="W27" s="312" t="str">
        <f>IF(OR(DATE($J27, W$12, 1) &lt; 'Evaluation Set-up'!$D$9, DATE($J27, W$12, 1) &gt;= 'Evaluation Set-up'!$E$9), "", "Before")</f>
        <v>Before</v>
      </c>
      <c r="X27" s="2"/>
      <c r="Y27" s="290">
        <v>2020</v>
      </c>
      <c r="Z27" s="307" t="n">
        <f t="shared" si="1"/>
        <v>0</v>
      </c>
      <c r="AA27" s="2" t="str">
        <f>IF(OR(DATE($Y27, L$12, 1) &lt; 'Evaluation Set-up'!$D$11, DATE($Y27, L$12, 1) &gt;= 'Evaluation Set-up'!$E$11), "", "After")</f>
        <v/>
      </c>
      <c r="AB27" s="2" t="str">
        <f>IF(OR(DATE($Y27, M$12, 1) &lt; 'Evaluation Set-up'!$D$11, DATE($Y27, M$12, 1) &gt;= 'Evaluation Set-up'!$E$11), "", "After")</f>
        <v/>
      </c>
      <c r="AC27" s="2" t="str">
        <f>IF(OR(DATE($Y27, N$12, 1) &lt; 'Evaluation Set-up'!$D$11, DATE($Y27, N$12, 1) &gt;= 'Evaluation Set-up'!$E$11), "", "After")</f>
        <v/>
      </c>
      <c r="AD27" s="2" t="str">
        <f>IF(OR(DATE($Y27, O$12, 1) &lt; 'Evaluation Set-up'!$D$11, DATE($Y27, O$12, 1) &gt;= 'Evaluation Set-up'!$E$11), "", "After")</f>
        <v/>
      </c>
      <c r="AE27" s="2" t="str">
        <f>IF(OR(DATE($Y27, P$12, 1) &lt; 'Evaluation Set-up'!$D$11, DATE($Y27, P$12, 1) &gt;= 'Evaluation Set-up'!$E$11), "", "After")</f>
        <v/>
      </c>
      <c r="AF27" s="2" t="str">
        <f>IF(OR(DATE($Y27, Q$12, 1) &lt; 'Evaluation Set-up'!$D$11, DATE($Y27, Q$12, 1) &gt;= 'Evaluation Set-up'!$E$11), "", "After")</f>
        <v/>
      </c>
      <c r="AG27" s="2" t="str">
        <f>IF(OR(DATE($Y27, R$12, 1) &lt; 'Evaluation Set-up'!$D$11, DATE($Y27, R$12, 1) &gt;= 'Evaluation Set-up'!$E$11), "", "After")</f>
        <v/>
      </c>
      <c r="AH27" s="2" t="str">
        <f>IF(OR(DATE($Y27, S$12, 1) &lt; 'Evaluation Set-up'!$D$11, DATE($Y27, S$12, 1) &gt;= 'Evaluation Set-up'!$E$11), "", "After")</f>
        <v/>
      </c>
      <c r="AI27" s="2" t="str">
        <f>IF(OR(DATE($Y27, T$12, 1) &lt; 'Evaluation Set-up'!$D$11, DATE($Y27, T$12, 1) &gt;= 'Evaluation Set-up'!$E$11), "", "After")</f>
        <v/>
      </c>
      <c r="AJ27" s="2" t="str">
        <f>IF(OR(DATE($Y27, U$12, 1) &lt; 'Evaluation Set-up'!$D$11, DATE($Y27, U$12, 1) &gt;= 'Evaluation Set-up'!$E$11), "", "After")</f>
        <v/>
      </c>
      <c r="AK27" s="2" t="str">
        <f>IF(OR(DATE($Y27, V$12, 1) &lt; 'Evaluation Set-up'!$D$11, DATE($Y27, V$12, 1) &gt;= 'Evaluation Set-up'!$E$11), "", "After")</f>
        <v/>
      </c>
      <c r="AL27" s="312" t="str">
        <f>IF(OR(DATE($Y27, W$12, 1) &lt; 'Evaluation Set-up'!$D$11, DATE($Y27, W$12, 1) &gt;= 'Evaluation Set-up'!$E$11), "", "After")</f>
        <v/>
      </c>
    </row>
    <row r="28" spans="2:38" s="288" customFormat="1" x14ac:dyDescent="0.3">
      <c r="B28" s="319">
        <v>2021</v>
      </c>
      <c r="C28" s="323" t="n">
        <f>COUNTIF(Before!$P:$P,B28) + COUNTIF(After!$P:$P,B28)</f>
        <v>2</v>
      </c>
      <c r="D28" s="94" t="n">
        <f>COUNTIFS(Before!$C:$C,"&gt;=23",Before!$C:$C,"&lt;=27", Before!$P:$P,B28)+COUNTIFS(Before!$C:$C,"30", Before!$P:$P,B28) + COUNTIFS(After!$C:$C,"&gt;=23",After!$C:$C,"&lt;=27", After!$P:$P,B28)+COUNTIFS(After!$C:$C,"30", After!$P:$P,B28)</f>
        <v>2</v>
      </c>
      <c r="E28" s="94" t="n">
        <f>COUNTIFS(Before!$C:$C,"&gt;=21",Before!$C:$C,"&lt;=22", Before!$P:$P,B28) + COUNTIFS(After!$C:$C,"&gt;=21",After!$C:$C,"&lt;=22", After!$P:$P,B28)</f>
        <v>0</v>
      </c>
      <c r="F28" s="324" t="n">
        <f>COUNTIFS(Before!$P:$P,$B28, Before!$G:$G, "K") + COUNTIFS(Before!$P:$P,$B28, Before!$G:$G, "A") + COUNTIFS(Before!$P:$P,$B28, Before!$G:$G, "B") + COUNTIFS(Before!$P:$P,$B28, Before!$G:$G, "C")
+ COUNTIFS(After!$P:$P,$B28, After!$G:$G, "K") + COUNTIFS(After!$P:$P,$B28, After!$G:$G, "A") + COUNTIFS(After!$P:$P,$B28, After!$G:$G, "B") + COUNTIFS(After!$P:$P,$B28, After!$G:$G, "C")</f>
        <v>0</v>
      </c>
      <c r="G28" s="327" t="n">
        <f>VLOOKUP($B28, 'Evaluation Set-up'!$K$11:$R$35, 4, FALSE)</f>
        <v>2925</v>
      </c>
      <c r="H28" s="328" t="n">
        <f>VLOOKUP($B28, 'Evaluation Set-up'!$K$11:$R$35, 7, FALSE)</f>
        <v>1400</v>
      </c>
      <c r="J28" s="290">
        <v>2021</v>
      </c>
      <c r="K28" s="307" t="n">
        <f t="shared" si="0"/>
        <v>3</v>
      </c>
      <c r="L28" s="290" t="str">
        <f>IF(OR(DATE($J28, L$12, 1) &lt; 'Evaluation Set-up'!$D$9, DATE($J28, L$12, 1) &gt;= 'Evaluation Set-up'!$E$9), "", "Before")</f>
        <v>Before</v>
      </c>
      <c r="M28" s="2" t="str">
        <f>IF(OR(DATE($J28, M$12, 1) &lt; 'Evaluation Set-up'!$D$9, DATE($J28, M$12, 1) &gt;= 'Evaluation Set-up'!$E$9), "", "Before")</f>
        <v>Before</v>
      </c>
      <c r="N28" s="2" t="str">
        <f>IF(OR(DATE($J28, N$12, 1) &lt; 'Evaluation Set-up'!$D$9, DATE($J28, N$12, 1) &gt;= 'Evaluation Set-up'!$E$9), "", "Before")</f>
        <v>Before</v>
      </c>
      <c r="O28" s="2" t="str">
        <f>IF(OR(DATE($J28, O$12, 1) &lt; 'Evaluation Set-up'!$D$9, DATE($J28, O$12, 1) &gt;= 'Evaluation Set-up'!$E$9), "", "Before")</f>
        <v/>
      </c>
      <c r="P28" s="2" t="str">
        <f>IF(OR(DATE($J28, P$12, 1) &lt; 'Evaluation Set-up'!$D$9, DATE($J28, P$12, 1) &gt;= 'Evaluation Set-up'!$E$9), "", "Before")</f>
        <v/>
      </c>
      <c r="Q28" s="2" t="str">
        <f>IF(OR(DATE($J28, Q$12, 1) &lt; 'Evaluation Set-up'!$D$9, DATE($J28, Q$12, 1) &gt;= 'Evaluation Set-up'!$E$9), "", "Before")</f>
        <v/>
      </c>
      <c r="R28" s="2" t="str">
        <f>IF(OR(DATE($J28, R$12, 1) &lt; 'Evaluation Set-up'!$D$9, DATE($J28, R$12, 1) &gt;= 'Evaluation Set-up'!$E$9), "", "Before")</f>
        <v/>
      </c>
      <c r="S28" s="2" t="str">
        <f>IF(OR(DATE($J28, S$12, 1) &lt; 'Evaluation Set-up'!$D$9, DATE($J28, S$12, 1) &gt;= 'Evaluation Set-up'!$E$9), "", "Before")</f>
        <v/>
      </c>
      <c r="T28" s="2" t="str">
        <f>IF(OR(DATE($J28, T$12, 1) &lt; 'Evaluation Set-up'!$D$9, DATE($J28, T$12, 1) &gt;= 'Evaluation Set-up'!$E$9), "", "Before")</f>
        <v/>
      </c>
      <c r="U28" s="2" t="str">
        <f>IF(OR(DATE($J28, U$12, 1) &lt; 'Evaluation Set-up'!$D$9, DATE($J28, U$12, 1) &gt;= 'Evaluation Set-up'!$E$9), "", "Before")</f>
        <v/>
      </c>
      <c r="V28" s="2" t="str">
        <f>IF(OR(DATE($J28, V$12, 1) &lt; 'Evaluation Set-up'!$D$9, DATE($J28, V$12, 1) &gt;= 'Evaluation Set-up'!$E$9), "", "Before")</f>
        <v/>
      </c>
      <c r="W28" s="312" t="str">
        <f>IF(OR(DATE($J28, W$12, 1) &lt; 'Evaluation Set-up'!$D$9, DATE($J28, W$12, 1) &gt;= 'Evaluation Set-up'!$E$9), "", "Before")</f>
        <v/>
      </c>
      <c r="X28" s="2"/>
      <c r="Y28" s="290">
        <v>2021</v>
      </c>
      <c r="Z28" s="307" t="n">
        <f t="shared" si="1"/>
        <v>6</v>
      </c>
      <c r="AA28" s="2" t="str">
        <f>IF(OR(DATE($Y28, L$12, 1) &lt; 'Evaluation Set-up'!$D$11, DATE($Y28, L$12, 1) &gt;= 'Evaluation Set-up'!$E$11), "", "After")</f>
        <v/>
      </c>
      <c r="AB28" s="2" t="str">
        <f>IF(OR(DATE($Y28, M$12, 1) &lt; 'Evaluation Set-up'!$D$11, DATE($Y28, M$12, 1) &gt;= 'Evaluation Set-up'!$E$11), "", "After")</f>
        <v/>
      </c>
      <c r="AC28" s="2" t="str">
        <f>IF(OR(DATE($Y28, N$12, 1) &lt; 'Evaluation Set-up'!$D$11, DATE($Y28, N$12, 1) &gt;= 'Evaluation Set-up'!$E$11), "", "After")</f>
        <v/>
      </c>
      <c r="AD28" s="2" t="str">
        <f>IF(OR(DATE($Y28, O$12, 1) &lt; 'Evaluation Set-up'!$D$11, DATE($Y28, O$12, 1) &gt;= 'Evaluation Set-up'!$E$11), "", "After")</f>
        <v/>
      </c>
      <c r="AE28" s="2" t="str">
        <f>IF(OR(DATE($Y28, P$12, 1) &lt; 'Evaluation Set-up'!$D$11, DATE($Y28, P$12, 1) &gt;= 'Evaluation Set-up'!$E$11), "", "After")</f>
        <v/>
      </c>
      <c r="AF28" s="2" t="str">
        <f>IF(OR(DATE($Y28, Q$12, 1) &lt; 'Evaluation Set-up'!$D$11, DATE($Y28, Q$12, 1) &gt;= 'Evaluation Set-up'!$E$11), "", "After")</f>
        <v/>
      </c>
      <c r="AG28" s="2" t="str">
        <f>IF(OR(DATE($Y28, R$12, 1) &lt; 'Evaluation Set-up'!$D$11, DATE($Y28, R$12, 1) &gt;= 'Evaluation Set-up'!$E$11), "", "After")</f>
        <v>After</v>
      </c>
      <c r="AH28" s="2" t="str">
        <f>IF(OR(DATE($Y28, S$12, 1) &lt; 'Evaluation Set-up'!$D$11, DATE($Y28, S$12, 1) &gt;= 'Evaluation Set-up'!$E$11), "", "After")</f>
        <v>After</v>
      </c>
      <c r="AI28" s="2" t="str">
        <f>IF(OR(DATE($Y28, T$12, 1) &lt; 'Evaluation Set-up'!$D$11, DATE($Y28, T$12, 1) &gt;= 'Evaluation Set-up'!$E$11), "", "After")</f>
        <v>After</v>
      </c>
      <c r="AJ28" s="2" t="str">
        <f>IF(OR(DATE($Y28, U$12, 1) &lt; 'Evaluation Set-up'!$D$11, DATE($Y28, U$12, 1) &gt;= 'Evaluation Set-up'!$E$11), "", "After")</f>
        <v>After</v>
      </c>
      <c r="AK28" s="2" t="str">
        <f>IF(OR(DATE($Y28, V$12, 1) &lt; 'Evaluation Set-up'!$D$11, DATE($Y28, V$12, 1) &gt;= 'Evaluation Set-up'!$E$11), "", "After")</f>
        <v>After</v>
      </c>
      <c r="AL28" s="312" t="str">
        <f>IF(OR(DATE($Y28, W$12, 1) &lt; 'Evaluation Set-up'!$D$11, DATE($Y28, W$12, 1) &gt;= 'Evaluation Set-up'!$E$11), "", "After")</f>
        <v>After</v>
      </c>
    </row>
    <row r="29" spans="2:38" x14ac:dyDescent="0.3">
      <c r="B29" s="319">
        <v>2022</v>
      </c>
      <c r="C29" s="323" t="n">
        <f>COUNTIF(Before!$P:$P,B29) + COUNTIF(After!$P:$P,B29)</f>
        <v>0</v>
      </c>
      <c r="D29" s="94" t="n">
        <f>COUNTIFS(Before!$C:$C,"&gt;=23",Before!$C:$C,"&lt;=27", Before!$P:$P,B29)+COUNTIFS(Before!$C:$C,"30", Before!$P:$P,B29) + COUNTIFS(After!$C:$C,"&gt;=23",After!$C:$C,"&lt;=27", After!$P:$P,B29)+COUNTIFS(After!$C:$C,"30", After!$P:$P,B29)</f>
        <v>0</v>
      </c>
      <c r="E29" s="94" t="n">
        <f>COUNTIFS(Before!$C:$C,"&gt;=21",Before!$C:$C,"&lt;=22", Before!$P:$P,B29) + COUNTIFS(After!$C:$C,"&gt;=21",After!$C:$C,"&lt;=22", After!$P:$P,B29)</f>
        <v>0</v>
      </c>
      <c r="F29" s="324" t="n">
        <f>COUNTIFS(Before!$P:$P,$B29, Before!$G:$G, "K") + COUNTIFS(Before!$P:$P,$B29, Before!$G:$G, "A") + COUNTIFS(Before!$P:$P,$B29, Before!$G:$G, "B") + COUNTIFS(Before!$P:$P,$B29, Before!$G:$G, "C")
+ COUNTIFS(After!$P:$P,$B29, After!$G:$G, "K") + COUNTIFS(After!$P:$P,$B29, After!$G:$G, "A") + COUNTIFS(After!$P:$P,$B29, After!$G:$G, "B") + COUNTIFS(After!$P:$P,$B29, After!$G:$G, "C")</f>
        <v>0</v>
      </c>
      <c r="G29" s="327" t="n">
        <f>VLOOKUP($B29, 'Evaluation Set-up'!$K$11:$R$35, 4, FALSE)</f>
        <v>2800</v>
      </c>
      <c r="H29" s="328" t="n">
        <f>VLOOKUP($B29, 'Evaluation Set-up'!$K$11:$R$35, 7, FALSE)</f>
        <v>1400</v>
      </c>
      <c r="J29" s="290">
        <v>2022</v>
      </c>
      <c r="K29" s="307" t="n">
        <f t="shared" si="0"/>
        <v>0</v>
      </c>
      <c r="L29" s="290" t="str">
        <f>IF(OR(DATE($J29, L$12, 1) &lt; 'Evaluation Set-up'!$D$9, DATE($J29, L$12, 1) &gt;= 'Evaluation Set-up'!$E$9), "", "Before")</f>
        <v/>
      </c>
      <c r="M29" s="2" t="str">
        <f>IF(OR(DATE($J29, M$12, 1) &lt; 'Evaluation Set-up'!$D$9, DATE($J29, M$12, 1) &gt;= 'Evaluation Set-up'!$E$9), "", "Before")</f>
        <v/>
      </c>
      <c r="N29" s="2" t="str">
        <f>IF(OR(DATE($J29, N$12, 1) &lt; 'Evaluation Set-up'!$D$9, DATE($J29, N$12, 1) &gt;= 'Evaluation Set-up'!$E$9), "", "Before")</f>
        <v/>
      </c>
      <c r="O29" s="2" t="str">
        <f>IF(OR(DATE($J29, O$12, 1) &lt; 'Evaluation Set-up'!$D$9, DATE($J29, O$12, 1) &gt;= 'Evaluation Set-up'!$E$9), "", "Before")</f>
        <v/>
      </c>
      <c r="P29" s="2" t="str">
        <f>IF(OR(DATE($J29, P$12, 1) &lt; 'Evaluation Set-up'!$D$9, DATE($J29, P$12, 1) &gt;= 'Evaluation Set-up'!$E$9), "", "Before")</f>
        <v/>
      </c>
      <c r="Q29" s="2" t="str">
        <f>IF(OR(DATE($J29, Q$12, 1) &lt; 'Evaluation Set-up'!$D$9, DATE($J29, Q$12, 1) &gt;= 'Evaluation Set-up'!$E$9), "", "Before")</f>
        <v/>
      </c>
      <c r="R29" s="2" t="str">
        <f>IF(OR(DATE($J29, R$12, 1) &lt; 'Evaluation Set-up'!$D$9, DATE($J29, R$12, 1) &gt;= 'Evaluation Set-up'!$E$9), "", "Before")</f>
        <v/>
      </c>
      <c r="S29" s="2" t="str">
        <f>IF(OR(DATE($J29, S$12, 1) &lt; 'Evaluation Set-up'!$D$9, DATE($J29, S$12, 1) &gt;= 'Evaluation Set-up'!$E$9), "", "Before")</f>
        <v/>
      </c>
      <c r="T29" s="2" t="str">
        <f>IF(OR(DATE($J29, T$12, 1) &lt; 'Evaluation Set-up'!$D$9, DATE($J29, T$12, 1) &gt;= 'Evaluation Set-up'!$E$9), "", "Before")</f>
        <v/>
      </c>
      <c r="U29" s="2" t="str">
        <f>IF(OR(DATE($J29, U$12, 1) &lt; 'Evaluation Set-up'!$D$9, DATE($J29, U$12, 1) &gt;= 'Evaluation Set-up'!$E$9), "", "Before")</f>
        <v/>
      </c>
      <c r="V29" s="2" t="str">
        <f>IF(OR(DATE($J29, V$12, 1) &lt; 'Evaluation Set-up'!$D$9, DATE($J29, V$12, 1) &gt;= 'Evaluation Set-up'!$E$9), "", "Before")</f>
        <v/>
      </c>
      <c r="W29" s="312" t="str">
        <f>IF(OR(DATE($J29, W$12, 1) &lt; 'Evaluation Set-up'!$D$9, DATE($J29, W$12, 1) &gt;= 'Evaluation Set-up'!$E$9), "", "Before")</f>
        <v/>
      </c>
      <c r="X29" s="2"/>
      <c r="Y29" s="290">
        <v>2022</v>
      </c>
      <c r="Z29" s="307" t="n">
        <f t="shared" si="1"/>
        <v>12</v>
      </c>
      <c r="AA29" s="2" t="str">
        <f>IF(OR(DATE($Y29, L$12, 1) &lt; 'Evaluation Set-up'!$D$11, DATE($Y29, L$12, 1) &gt;= 'Evaluation Set-up'!$E$11), "", "After")</f>
        <v>After</v>
      </c>
      <c r="AB29" s="2" t="str">
        <f>IF(OR(DATE($Y29, M$12, 1) &lt; 'Evaluation Set-up'!$D$11, DATE($Y29, M$12, 1) &gt;= 'Evaluation Set-up'!$E$11), "", "After")</f>
        <v>After</v>
      </c>
      <c r="AC29" s="2" t="str">
        <f>IF(OR(DATE($Y29, N$12, 1) &lt; 'Evaluation Set-up'!$D$11, DATE($Y29, N$12, 1) &gt;= 'Evaluation Set-up'!$E$11), "", "After")</f>
        <v>After</v>
      </c>
      <c r="AD29" s="2" t="str">
        <f>IF(OR(DATE($Y29, O$12, 1) &lt; 'Evaluation Set-up'!$D$11, DATE($Y29, O$12, 1) &gt;= 'Evaluation Set-up'!$E$11), "", "After")</f>
        <v>After</v>
      </c>
      <c r="AE29" s="2" t="str">
        <f>IF(OR(DATE($Y29, P$12, 1) &lt; 'Evaluation Set-up'!$D$11, DATE($Y29, P$12, 1) &gt;= 'Evaluation Set-up'!$E$11), "", "After")</f>
        <v>After</v>
      </c>
      <c r="AF29" s="2" t="str">
        <f>IF(OR(DATE($Y29, Q$12, 1) &lt; 'Evaluation Set-up'!$D$11, DATE($Y29, Q$12, 1) &gt;= 'Evaluation Set-up'!$E$11), "", "After")</f>
        <v>After</v>
      </c>
      <c r="AG29" s="2" t="str">
        <f>IF(OR(DATE($Y29, R$12, 1) &lt; 'Evaluation Set-up'!$D$11, DATE($Y29, R$12, 1) &gt;= 'Evaluation Set-up'!$E$11), "", "After")</f>
        <v>After</v>
      </c>
      <c r="AH29" s="2" t="str">
        <f>IF(OR(DATE($Y29, S$12, 1) &lt; 'Evaluation Set-up'!$D$11, DATE($Y29, S$12, 1) &gt;= 'Evaluation Set-up'!$E$11), "", "After")</f>
        <v>After</v>
      </c>
      <c r="AI29" s="2" t="str">
        <f>IF(OR(DATE($Y29, T$12, 1) &lt; 'Evaluation Set-up'!$D$11, DATE($Y29, T$12, 1) &gt;= 'Evaluation Set-up'!$E$11), "", "After")</f>
        <v>After</v>
      </c>
      <c r="AJ29" s="2" t="str">
        <f>IF(OR(DATE($Y29, U$12, 1) &lt; 'Evaluation Set-up'!$D$11, DATE($Y29, U$12, 1) &gt;= 'Evaluation Set-up'!$E$11), "", "After")</f>
        <v>After</v>
      </c>
      <c r="AK29" s="2" t="str">
        <f>IF(OR(DATE($Y29, V$12, 1) &lt; 'Evaluation Set-up'!$D$11, DATE($Y29, V$12, 1) &gt;= 'Evaluation Set-up'!$E$11), "", "After")</f>
        <v>After</v>
      </c>
      <c r="AL29" s="312" t="str">
        <f>IF(OR(DATE($Y29, W$12, 1) &lt; 'Evaluation Set-up'!$D$11, DATE($Y29, W$12, 1) &gt;= 'Evaluation Set-up'!$E$11), "", "After")</f>
        <v>After</v>
      </c>
    </row>
    <row r="30" spans="2:38" x14ac:dyDescent="0.3">
      <c r="B30" s="319">
        <v>2023</v>
      </c>
      <c r="C30" s="323" t="n">
        <f>COUNTIF(Before!$P:$P,B30) + COUNTIF(After!$P:$P,B30)</f>
        <v>0</v>
      </c>
      <c r="D30" s="94" t="n">
        <f>COUNTIFS(Before!$C:$C,"&gt;=23",Before!$C:$C,"&lt;=27", Before!$P:$P,B30)+COUNTIFS(Before!$C:$C,"30", Before!$P:$P,B30) + COUNTIFS(After!$C:$C,"&gt;=23",After!$C:$C,"&lt;=27", After!$P:$P,B30)+COUNTIFS(After!$C:$C,"30", After!$P:$P,B30)</f>
        <v>0</v>
      </c>
      <c r="E30" s="94" t="n">
        <f>COUNTIFS(Before!$C:$C,"&gt;=21",Before!$C:$C,"&lt;=22", Before!$P:$P,B30) + COUNTIFS(After!$C:$C,"&gt;=21",After!$C:$C,"&lt;=22", After!$P:$P,B30)</f>
        <v>0</v>
      </c>
      <c r="F30" s="324" t="n">
        <f>COUNTIFS(Before!$P:$P,$B30, Before!$G:$G, "K") + COUNTIFS(Before!$P:$P,$B30, Before!$G:$G, "A") + COUNTIFS(Before!$P:$P,$B30, Before!$G:$G, "B") + COUNTIFS(Before!$P:$P,$B30, Before!$G:$G, "C")
+ COUNTIFS(After!$P:$P,$B30, After!$G:$G, "K") + COUNTIFS(After!$P:$P,$B30, After!$G:$G, "A") + COUNTIFS(After!$P:$P,$B30, After!$G:$G, "B") + COUNTIFS(After!$P:$P,$B30, After!$G:$G, "C")</f>
        <v>0</v>
      </c>
      <c r="G30" s="327" t="n">
        <f>VLOOKUP($B30, 'Evaluation Set-up'!$K$11:$R$35, 4, FALSE)</f>
        <v>2800</v>
      </c>
      <c r="H30" s="328" t="n">
        <f>VLOOKUP($B30, 'Evaluation Set-up'!$K$11:$R$35, 7, FALSE)</f>
        <v>1400</v>
      </c>
      <c r="J30" s="290">
        <v>2023</v>
      </c>
      <c r="K30" s="307" t="n">
        <f t="shared" si="0"/>
        <v>0</v>
      </c>
      <c r="L30" s="290" t="str">
        <f>IF(OR(DATE($J30, L$12, 1) &lt; 'Evaluation Set-up'!$D$9, DATE($J30, L$12, 1) &gt;= 'Evaluation Set-up'!$E$9), "", "Before")</f>
        <v/>
      </c>
      <c r="M30" s="2" t="str">
        <f>IF(OR(DATE($J30, M$12, 1) &lt; 'Evaluation Set-up'!$D$9, DATE($J30, M$12, 1) &gt;= 'Evaluation Set-up'!$E$9), "", "Before")</f>
        <v/>
      </c>
      <c r="N30" s="2" t="str">
        <f>IF(OR(DATE($J30, N$12, 1) &lt; 'Evaluation Set-up'!$D$9, DATE($J30, N$12, 1) &gt;= 'Evaluation Set-up'!$E$9), "", "Before")</f>
        <v/>
      </c>
      <c r="O30" s="2" t="str">
        <f>IF(OR(DATE($J30, O$12, 1) &lt; 'Evaluation Set-up'!$D$9, DATE($J30, O$12, 1) &gt;= 'Evaluation Set-up'!$E$9), "", "Before")</f>
        <v/>
      </c>
      <c r="P30" s="2" t="str">
        <f>IF(OR(DATE($J30, P$12, 1) &lt; 'Evaluation Set-up'!$D$9, DATE($J30, P$12, 1) &gt;= 'Evaluation Set-up'!$E$9), "", "Before")</f>
        <v/>
      </c>
      <c r="Q30" s="2" t="str">
        <f>IF(OR(DATE($J30, Q$12, 1) &lt; 'Evaluation Set-up'!$D$9, DATE($J30, Q$12, 1) &gt;= 'Evaluation Set-up'!$E$9), "", "Before")</f>
        <v/>
      </c>
      <c r="R30" s="2" t="str">
        <f>IF(OR(DATE($J30, R$12, 1) &lt; 'Evaluation Set-up'!$D$9, DATE($J30, R$12, 1) &gt;= 'Evaluation Set-up'!$E$9), "", "Before")</f>
        <v/>
      </c>
      <c r="S30" s="2" t="str">
        <f>IF(OR(DATE($J30, S$12, 1) &lt; 'Evaluation Set-up'!$D$9, DATE($J30, S$12, 1) &gt;= 'Evaluation Set-up'!$E$9), "", "Before")</f>
        <v/>
      </c>
      <c r="T30" s="2" t="str">
        <f>IF(OR(DATE($J30, T$12, 1) &lt; 'Evaluation Set-up'!$D$9, DATE($J30, T$12, 1) &gt;= 'Evaluation Set-up'!$E$9), "", "Before")</f>
        <v/>
      </c>
      <c r="U30" s="2" t="str">
        <f>IF(OR(DATE($J30, U$12, 1) &lt; 'Evaluation Set-up'!$D$9, DATE($J30, U$12, 1) &gt;= 'Evaluation Set-up'!$E$9), "", "Before")</f>
        <v/>
      </c>
      <c r="V30" s="2" t="str">
        <f>IF(OR(DATE($J30, V$12, 1) &lt; 'Evaluation Set-up'!$D$9, DATE($J30, V$12, 1) &gt;= 'Evaluation Set-up'!$E$9), "", "Before")</f>
        <v/>
      </c>
      <c r="W30" s="312" t="str">
        <f>IF(OR(DATE($J30, W$12, 1) &lt; 'Evaluation Set-up'!$D$9, DATE($J30, W$12, 1) &gt;= 'Evaluation Set-up'!$E$9), "", "Before")</f>
        <v/>
      </c>
      <c r="X30" s="2"/>
      <c r="Y30" s="290">
        <v>2023</v>
      </c>
      <c r="Z30" s="307" t="n">
        <f t="shared" si="1"/>
        <v>12</v>
      </c>
      <c r="AA30" s="2" t="str">
        <f>IF(OR(DATE($Y30, L$12, 1) &lt; 'Evaluation Set-up'!$D$11, DATE($Y30, L$12, 1) &gt;= 'Evaluation Set-up'!$E$11), "", "After")</f>
        <v>After</v>
      </c>
      <c r="AB30" s="2" t="str">
        <f>IF(OR(DATE($Y30, M$12, 1) &lt; 'Evaluation Set-up'!$D$11, DATE($Y30, M$12, 1) &gt;= 'Evaluation Set-up'!$E$11), "", "After")</f>
        <v>After</v>
      </c>
      <c r="AC30" s="2" t="str">
        <f>IF(OR(DATE($Y30, N$12, 1) &lt; 'Evaluation Set-up'!$D$11, DATE($Y30, N$12, 1) &gt;= 'Evaluation Set-up'!$E$11), "", "After")</f>
        <v>After</v>
      </c>
      <c r="AD30" s="2" t="str">
        <f>IF(OR(DATE($Y30, O$12, 1) &lt; 'Evaluation Set-up'!$D$11, DATE($Y30, O$12, 1) &gt;= 'Evaluation Set-up'!$E$11), "", "After")</f>
        <v>After</v>
      </c>
      <c r="AE30" s="2" t="str">
        <f>IF(OR(DATE($Y30, P$12, 1) &lt; 'Evaluation Set-up'!$D$11, DATE($Y30, P$12, 1) &gt;= 'Evaluation Set-up'!$E$11), "", "After")</f>
        <v>After</v>
      </c>
      <c r="AF30" s="2" t="str">
        <f>IF(OR(DATE($Y30, Q$12, 1) &lt; 'Evaluation Set-up'!$D$11, DATE($Y30, Q$12, 1) &gt;= 'Evaluation Set-up'!$E$11), "", "After")</f>
        <v>After</v>
      </c>
      <c r="AG30" s="2" t="str">
        <f>IF(OR(DATE($Y30, R$12, 1) &lt; 'Evaluation Set-up'!$D$11, DATE($Y30, R$12, 1) &gt;= 'Evaluation Set-up'!$E$11), "", "After")</f>
        <v>After</v>
      </c>
      <c r="AH30" s="2" t="str">
        <f>IF(OR(DATE($Y30, S$12, 1) &lt; 'Evaluation Set-up'!$D$11, DATE($Y30, S$12, 1) &gt;= 'Evaluation Set-up'!$E$11), "", "After")</f>
        <v>After</v>
      </c>
      <c r="AI30" s="2" t="str">
        <f>IF(OR(DATE($Y30, T$12, 1) &lt; 'Evaluation Set-up'!$D$11, DATE($Y30, T$12, 1) &gt;= 'Evaluation Set-up'!$E$11), "", "After")</f>
        <v>After</v>
      </c>
      <c r="AJ30" s="2" t="str">
        <f>IF(OR(DATE($Y30, U$12, 1) &lt; 'Evaluation Set-up'!$D$11, DATE($Y30, U$12, 1) &gt;= 'Evaluation Set-up'!$E$11), "", "After")</f>
        <v>After</v>
      </c>
      <c r="AK30" s="2" t="str">
        <f>IF(OR(DATE($Y30, V$12, 1) &lt; 'Evaluation Set-up'!$D$11, DATE($Y30, V$12, 1) &gt;= 'Evaluation Set-up'!$E$11), "", "After")</f>
        <v>After</v>
      </c>
      <c r="AL30" s="312" t="str">
        <f>IF(OR(DATE($Y30, W$12, 1) &lt; 'Evaluation Set-up'!$D$11, DATE($Y30, W$12, 1) &gt;= 'Evaluation Set-up'!$E$11), "", "After")</f>
        <v>After</v>
      </c>
    </row>
    <row r="31" spans="2:38" x14ac:dyDescent="0.3">
      <c r="B31" s="319">
        <v>2024</v>
      </c>
      <c r="C31" s="323" t="n">
        <f>COUNTIF(Before!$P:$P,B31) + COUNTIF(After!$P:$P,B31)</f>
        <v>4</v>
      </c>
      <c r="D31" s="94" t="n">
        <f>COUNTIFS(Before!$C:$C,"&gt;=23",Before!$C:$C,"&lt;=27", Before!$P:$P,B31)+COUNTIFS(Before!$C:$C,"30", Before!$P:$P,B31) + COUNTIFS(After!$C:$C,"&gt;=23",After!$C:$C,"&lt;=27", After!$P:$P,B31)+COUNTIFS(After!$C:$C,"30", After!$P:$P,B31)</f>
        <v>3</v>
      </c>
      <c r="E31" s="94" t="n">
        <f>COUNTIFS(Before!$C:$C,"&gt;=21",Before!$C:$C,"&lt;=22", Before!$P:$P,B31) + COUNTIFS(After!$C:$C,"&gt;=21",After!$C:$C,"&lt;=22", After!$P:$P,B31)</f>
        <v>1</v>
      </c>
      <c r="F31" s="324" t="n">
        <f>COUNTIFS(Before!$P:$P,$B31, Before!$G:$G, "K") + COUNTIFS(Before!$P:$P,$B31, Before!$G:$G, "A") + COUNTIFS(Before!$P:$P,$B31, Before!$G:$G, "B") + COUNTIFS(Before!$P:$P,$B31, Before!$G:$G, "C")
+ COUNTIFS(After!$P:$P,$B31, After!$G:$G, "K") + COUNTIFS(After!$P:$P,$B31, After!$G:$G, "A") + COUNTIFS(After!$P:$P,$B31, After!$G:$G, "B") + COUNTIFS(After!$P:$P,$B31, After!$G:$G, "C")</f>
        <v>1</v>
      </c>
      <c r="G31" s="327" t="n">
        <f>VLOOKUP($B31, 'Evaluation Set-up'!$K$11:$R$35, 4, FALSE)</f>
        <v>2800</v>
      </c>
      <c r="H31" s="328" t="n">
        <f>VLOOKUP($B31, 'Evaluation Set-up'!$K$11:$R$35, 7, FALSE)</f>
        <v>1400</v>
      </c>
      <c r="J31" s="290">
        <v>2024</v>
      </c>
      <c r="K31" s="307" t="n">
        <f t="shared" si="0"/>
        <v>0</v>
      </c>
      <c r="L31" s="290" t="str">
        <f>IF(OR(DATE($J31, L$12, 1) &lt; 'Evaluation Set-up'!$D$9, DATE($J31, L$12, 1) &gt;= 'Evaluation Set-up'!$E$9), "", "Before")</f>
        <v/>
      </c>
      <c r="M31" s="2" t="str">
        <f>IF(OR(DATE($J31, M$12, 1) &lt; 'Evaluation Set-up'!$D$9, DATE($J31, M$12, 1) &gt;= 'Evaluation Set-up'!$E$9), "", "Before")</f>
        <v/>
      </c>
      <c r="N31" s="2" t="str">
        <f>IF(OR(DATE($J31, N$12, 1) &lt; 'Evaluation Set-up'!$D$9, DATE($J31, N$12, 1) &gt;= 'Evaluation Set-up'!$E$9), "", "Before")</f>
        <v/>
      </c>
      <c r="O31" s="2" t="str">
        <f>IF(OR(DATE($J31, O$12, 1) &lt; 'Evaluation Set-up'!$D$9, DATE($J31, O$12, 1) &gt;= 'Evaluation Set-up'!$E$9), "", "Before")</f>
        <v/>
      </c>
      <c r="P31" s="2" t="str">
        <f>IF(OR(DATE($J31, P$12, 1) &lt; 'Evaluation Set-up'!$D$9, DATE($J31, P$12, 1) &gt;= 'Evaluation Set-up'!$E$9), "", "Before")</f>
        <v/>
      </c>
      <c r="Q31" s="2" t="str">
        <f>IF(OR(DATE($J31, Q$12, 1) &lt; 'Evaluation Set-up'!$D$9, DATE($J31, Q$12, 1) &gt;= 'Evaluation Set-up'!$E$9), "", "Before")</f>
        <v/>
      </c>
      <c r="R31" s="2" t="str">
        <f>IF(OR(DATE($J31, R$12, 1) &lt; 'Evaluation Set-up'!$D$9, DATE($J31, R$12, 1) &gt;= 'Evaluation Set-up'!$E$9), "", "Before")</f>
        <v/>
      </c>
      <c r="S31" s="2" t="str">
        <f>IF(OR(DATE($J31, S$12, 1) &lt; 'Evaluation Set-up'!$D$9, DATE($J31, S$12, 1) &gt;= 'Evaluation Set-up'!$E$9), "", "Before")</f>
        <v/>
      </c>
      <c r="T31" s="2" t="str">
        <f>IF(OR(DATE($J31, T$12, 1) &lt; 'Evaluation Set-up'!$D$9, DATE($J31, T$12, 1) &gt;= 'Evaluation Set-up'!$E$9), "", "Before")</f>
        <v/>
      </c>
      <c r="U31" s="2" t="str">
        <f>IF(OR(DATE($J31, U$12, 1) &lt; 'Evaluation Set-up'!$D$9, DATE($J31, U$12, 1) &gt;= 'Evaluation Set-up'!$E$9), "", "Before")</f>
        <v/>
      </c>
      <c r="V31" s="2" t="str">
        <f>IF(OR(DATE($J31, V$12, 1) &lt; 'Evaluation Set-up'!$D$9, DATE($J31, V$12, 1) &gt;= 'Evaluation Set-up'!$E$9), "", "Before")</f>
        <v/>
      </c>
      <c r="W31" s="312" t="str">
        <f>IF(OR(DATE($J31, W$12, 1) &lt; 'Evaluation Set-up'!$D$9, DATE($J31, W$12, 1) &gt;= 'Evaluation Set-up'!$E$9), "", "Before")</f>
        <v/>
      </c>
      <c r="X31" s="2"/>
      <c r="Y31" s="290">
        <v>2024</v>
      </c>
      <c r="Z31" s="307" t="n">
        <f t="shared" si="1"/>
        <v>12</v>
      </c>
      <c r="AA31" s="2" t="str">
        <f>IF(OR(DATE($Y31, L$12, 1) &lt; 'Evaluation Set-up'!$D$11, DATE($Y31, L$12, 1) &gt;= 'Evaluation Set-up'!$E$11), "", "After")</f>
        <v>After</v>
      </c>
      <c r="AB31" s="2" t="str">
        <f>IF(OR(DATE($Y31, M$12, 1) &lt; 'Evaluation Set-up'!$D$11, DATE($Y31, M$12, 1) &gt;= 'Evaluation Set-up'!$E$11), "", "After")</f>
        <v>After</v>
      </c>
      <c r="AC31" s="2" t="str">
        <f>IF(OR(DATE($Y31, N$12, 1) &lt; 'Evaluation Set-up'!$D$11, DATE($Y31, N$12, 1) &gt;= 'Evaluation Set-up'!$E$11), "", "After")</f>
        <v>After</v>
      </c>
      <c r="AD31" s="2" t="str">
        <f>IF(OR(DATE($Y31, O$12, 1) &lt; 'Evaluation Set-up'!$D$11, DATE($Y31, O$12, 1) &gt;= 'Evaluation Set-up'!$E$11), "", "After")</f>
        <v>After</v>
      </c>
      <c r="AE31" s="2" t="str">
        <f>IF(OR(DATE($Y31, P$12, 1) &lt; 'Evaluation Set-up'!$D$11, DATE($Y31, P$12, 1) &gt;= 'Evaluation Set-up'!$E$11), "", "After")</f>
        <v>After</v>
      </c>
      <c r="AF31" s="2" t="str">
        <f>IF(OR(DATE($Y31, Q$12, 1) &lt; 'Evaluation Set-up'!$D$11, DATE($Y31, Q$12, 1) &gt;= 'Evaluation Set-up'!$E$11), "", "After")</f>
        <v>After</v>
      </c>
      <c r="AG31" s="2" t="str">
        <f>IF(OR(DATE($Y31, R$12, 1) &lt; 'Evaluation Set-up'!$D$11, DATE($Y31, R$12, 1) &gt;= 'Evaluation Set-up'!$E$11), "", "After")</f>
        <v>After</v>
      </c>
      <c r="AH31" s="2" t="str">
        <f>IF(OR(DATE($Y31, S$12, 1) &lt; 'Evaluation Set-up'!$D$11, DATE($Y31, S$12, 1) &gt;= 'Evaluation Set-up'!$E$11), "", "After")</f>
        <v>After</v>
      </c>
      <c r="AI31" s="2" t="str">
        <f>IF(OR(DATE($Y31, T$12, 1) &lt; 'Evaluation Set-up'!$D$11, DATE($Y31, T$12, 1) &gt;= 'Evaluation Set-up'!$E$11), "", "After")</f>
        <v>After</v>
      </c>
      <c r="AJ31" s="2" t="str">
        <f>IF(OR(DATE($Y31, U$12, 1) &lt; 'Evaluation Set-up'!$D$11, DATE($Y31, U$12, 1) &gt;= 'Evaluation Set-up'!$E$11), "", "After")</f>
        <v>After</v>
      </c>
      <c r="AK31" s="2" t="str">
        <f>IF(OR(DATE($Y31, V$12, 1) &lt; 'Evaluation Set-up'!$D$11, DATE($Y31, V$12, 1) &gt;= 'Evaluation Set-up'!$E$11), "", "After")</f>
        <v>After</v>
      </c>
      <c r="AL31" s="312" t="str">
        <f>IF(OR(DATE($Y31, W$12, 1) &lt; 'Evaluation Set-up'!$D$11, DATE($Y31, W$12, 1) &gt;= 'Evaluation Set-up'!$E$11), "", "After")</f>
        <v>After</v>
      </c>
    </row>
    <row r="32" spans="2:38" x14ac:dyDescent="0.3">
      <c r="B32" s="319">
        <v>2025</v>
      </c>
      <c r="C32" s="323" t="n">
        <f>COUNTIF(Before!$P:$P,B32) + COUNTIF(After!$P:$P,B32)</f>
        <v>2</v>
      </c>
      <c r="D32" s="94" t="n">
        <f>COUNTIFS(Before!$C:$C,"&gt;=23",Before!$C:$C,"&lt;=27", Before!$P:$P,B32)+COUNTIFS(Before!$C:$C,"30", Before!$P:$P,B32) + COUNTIFS(After!$C:$C,"&gt;=23",After!$C:$C,"&lt;=27", After!$P:$P,B32)+COUNTIFS(After!$C:$C,"30", After!$P:$P,B32)</f>
        <v>2</v>
      </c>
      <c r="E32" s="94" t="n">
        <f>COUNTIFS(Before!$C:$C,"&gt;=21",Before!$C:$C,"&lt;=22", Before!$P:$P,B32) + COUNTIFS(After!$C:$C,"&gt;=21",After!$C:$C,"&lt;=22", After!$P:$P,B32)</f>
        <v>0</v>
      </c>
      <c r="F32" s="324" t="n">
        <f>COUNTIFS(Before!$P:$P,$B32, Before!$G:$G, "K") + COUNTIFS(Before!$P:$P,$B32, Before!$G:$G, "A") + COUNTIFS(Before!$P:$P,$B32, Before!$G:$G, "B") + COUNTIFS(Before!$P:$P,$B32, Before!$G:$G, "C")
+ COUNTIFS(After!$P:$P,$B32, After!$G:$G, "K") + COUNTIFS(After!$P:$P,$B32, After!$G:$G, "A") + COUNTIFS(After!$P:$P,$B32, After!$G:$G, "B") + COUNTIFS(After!$P:$P,$B32, After!$G:$G, "C")</f>
        <v>1</v>
      </c>
      <c r="G32" s="327" t="n">
        <f>VLOOKUP($B32, 'Evaluation Set-up'!$K$11:$R$35, 4, FALSE)</f>
        <v>2800</v>
      </c>
      <c r="H32" s="328" t="n">
        <f>VLOOKUP($B32, 'Evaluation Set-up'!$K$11:$R$35, 7, FALSE)</f>
        <v>1400</v>
      </c>
      <c r="J32" s="290">
        <v>2025</v>
      </c>
      <c r="K32" s="307" t="n">
        <f t="shared" si="0"/>
        <v>0</v>
      </c>
      <c r="L32" s="290" t="str">
        <f>IF(OR(DATE($J32, L$12, 1) &lt; 'Evaluation Set-up'!$D$9, DATE($J32, L$12, 1) &gt;= 'Evaluation Set-up'!$E$9), "", "Before")</f>
        <v/>
      </c>
      <c r="M32" s="2" t="str">
        <f>IF(OR(DATE($J32, M$12, 1) &lt; 'Evaluation Set-up'!$D$9, DATE($J32, M$12, 1) &gt;= 'Evaluation Set-up'!$E$9), "", "Before")</f>
        <v/>
      </c>
      <c r="N32" s="2" t="str">
        <f>IF(OR(DATE($J32, N$12, 1) &lt; 'Evaluation Set-up'!$D$9, DATE($J32, N$12, 1) &gt;= 'Evaluation Set-up'!$E$9), "", "Before")</f>
        <v/>
      </c>
      <c r="O32" s="2" t="str">
        <f>IF(OR(DATE($J32, O$12, 1) &lt; 'Evaluation Set-up'!$D$9, DATE($J32, O$12, 1) &gt;= 'Evaluation Set-up'!$E$9), "", "Before")</f>
        <v/>
      </c>
      <c r="P32" s="2" t="str">
        <f>IF(OR(DATE($J32, P$12, 1) &lt; 'Evaluation Set-up'!$D$9, DATE($J32, P$12, 1) &gt;= 'Evaluation Set-up'!$E$9), "", "Before")</f>
        <v/>
      </c>
      <c r="Q32" s="2" t="str">
        <f>IF(OR(DATE($J32, Q$12, 1) &lt; 'Evaluation Set-up'!$D$9, DATE($J32, Q$12, 1) &gt;= 'Evaluation Set-up'!$E$9), "", "Before")</f>
        <v/>
      </c>
      <c r="R32" s="2" t="str">
        <f>IF(OR(DATE($J32, R$12, 1) &lt; 'Evaluation Set-up'!$D$9, DATE($J32, R$12, 1) &gt;= 'Evaluation Set-up'!$E$9), "", "Before")</f>
        <v/>
      </c>
      <c r="S32" s="2" t="str">
        <f>IF(OR(DATE($J32, S$12, 1) &lt; 'Evaluation Set-up'!$D$9, DATE($J32, S$12, 1) &gt;= 'Evaluation Set-up'!$E$9), "", "Before")</f>
        <v/>
      </c>
      <c r="T32" s="2" t="str">
        <f>IF(OR(DATE($J32, T$12, 1) &lt; 'Evaluation Set-up'!$D$9, DATE($J32, T$12, 1) &gt;= 'Evaluation Set-up'!$E$9), "", "Before")</f>
        <v/>
      </c>
      <c r="U32" s="2" t="str">
        <f>IF(OR(DATE($J32, U$12, 1) &lt; 'Evaluation Set-up'!$D$9, DATE($J32, U$12, 1) &gt;= 'Evaluation Set-up'!$E$9), "", "Before")</f>
        <v/>
      </c>
      <c r="V32" s="2" t="str">
        <f>IF(OR(DATE($J32, V$12, 1) &lt; 'Evaluation Set-up'!$D$9, DATE($J32, V$12, 1) &gt;= 'Evaluation Set-up'!$E$9), "", "Before")</f>
        <v/>
      </c>
      <c r="W32" s="312" t="str">
        <f>IF(OR(DATE($J32, W$12, 1) &lt; 'Evaluation Set-up'!$D$9, DATE($J32, W$12, 1) &gt;= 'Evaluation Set-up'!$E$9), "", "Before")</f>
        <v/>
      </c>
      <c r="X32" s="2"/>
      <c r="Y32" s="290">
        <v>2025</v>
      </c>
      <c r="Z32" s="307" t="n">
        <f t="shared" si="1"/>
        <v>12</v>
      </c>
      <c r="AA32" s="2" t="str">
        <f>IF(OR(DATE($Y32, L$12, 1) &lt; 'Evaluation Set-up'!$D$11, DATE($Y32, L$12, 1) &gt;= 'Evaluation Set-up'!$E$11), "", "After")</f>
        <v>After</v>
      </c>
      <c r="AB32" s="2" t="str">
        <f>IF(OR(DATE($Y32, M$12, 1) &lt; 'Evaluation Set-up'!$D$11, DATE($Y32, M$12, 1) &gt;= 'Evaluation Set-up'!$E$11), "", "After")</f>
        <v>After</v>
      </c>
      <c r="AC32" s="2" t="str">
        <f>IF(OR(DATE($Y32, N$12, 1) &lt; 'Evaluation Set-up'!$D$11, DATE($Y32, N$12, 1) &gt;= 'Evaluation Set-up'!$E$11), "", "After")</f>
        <v>After</v>
      </c>
      <c r="AD32" s="2" t="str">
        <f>IF(OR(DATE($Y32, O$12, 1) &lt; 'Evaluation Set-up'!$D$11, DATE($Y32, O$12, 1) &gt;= 'Evaluation Set-up'!$E$11), "", "After")</f>
        <v>After</v>
      </c>
      <c r="AE32" s="2" t="str">
        <f>IF(OR(DATE($Y32, P$12, 1) &lt; 'Evaluation Set-up'!$D$11, DATE($Y32, P$12, 1) &gt;= 'Evaluation Set-up'!$E$11), "", "After")</f>
        <v>After</v>
      </c>
      <c r="AF32" s="2" t="str">
        <f>IF(OR(DATE($Y32, Q$12, 1) &lt; 'Evaluation Set-up'!$D$11, DATE($Y32, Q$12, 1) &gt;= 'Evaluation Set-up'!$E$11), "", "After")</f>
        <v>After</v>
      </c>
      <c r="AG32" s="2" t="str">
        <f>IF(OR(DATE($Y32, R$12, 1) &lt; 'Evaluation Set-up'!$D$11, DATE($Y32, R$12, 1) &gt;= 'Evaluation Set-up'!$E$11), "", "After")</f>
        <v>After</v>
      </c>
      <c r="AH32" s="2" t="str">
        <f>IF(OR(DATE($Y32, S$12, 1) &lt; 'Evaluation Set-up'!$D$11, DATE($Y32, S$12, 1) &gt;= 'Evaluation Set-up'!$E$11), "", "After")</f>
        <v>After</v>
      </c>
      <c r="AI32" s="2" t="str">
        <f>IF(OR(DATE($Y32, T$12, 1) &lt; 'Evaluation Set-up'!$D$11, DATE($Y32, T$12, 1) &gt;= 'Evaluation Set-up'!$E$11), "", "After")</f>
        <v>After</v>
      </c>
      <c r="AJ32" s="2" t="str">
        <f>IF(OR(DATE($Y32, U$12, 1) &lt; 'Evaluation Set-up'!$D$11, DATE($Y32, U$12, 1) &gt;= 'Evaluation Set-up'!$E$11), "", "After")</f>
        <v>After</v>
      </c>
      <c r="AK32" s="2" t="str">
        <f>IF(OR(DATE($Y32, V$12, 1) &lt; 'Evaluation Set-up'!$D$11, DATE($Y32, V$12, 1) &gt;= 'Evaluation Set-up'!$E$11), "", "After")</f>
        <v>After</v>
      </c>
      <c r="AL32" s="312" t="str">
        <f>IF(OR(DATE($Y32, W$12, 1) &lt; 'Evaluation Set-up'!$D$11, DATE($Y32, W$12, 1) &gt;= 'Evaluation Set-up'!$E$11), "", "After")</f>
        <v>After</v>
      </c>
    </row>
    <row r="33" spans="2:44" x14ac:dyDescent="0.3">
      <c r="B33" s="319">
        <v>2026</v>
      </c>
      <c r="C33" s="323" t="n">
        <f>COUNTIF(Before!$P:$P,B33) + COUNTIF(After!$P:$P,B33)</f>
        <v>0</v>
      </c>
      <c r="D33" s="94" t="n">
        <f>COUNTIFS(Before!$C:$C,"&gt;=23",Before!$C:$C,"&lt;=27", Before!$P:$P,B33)+COUNTIFS(Before!$C:$C,"30", Before!$P:$P,B33) + COUNTIFS(After!$C:$C,"&gt;=23",After!$C:$C,"&lt;=27", After!$P:$P,B33)+COUNTIFS(After!$C:$C,"30", After!$P:$P,B33)</f>
        <v>0</v>
      </c>
      <c r="E33" s="94" t="n">
        <f>COUNTIFS(Before!$C:$C,"&gt;=21",Before!$C:$C,"&lt;=22", Before!$P:$P,B33) + COUNTIFS(After!$C:$C,"&gt;=21",After!$C:$C,"&lt;=22", After!$P:$P,B33)</f>
        <v>0</v>
      </c>
      <c r="F33" s="324" t="n">
        <f>COUNTIFS(Before!$P:$P,$B33, Before!$G:$G, "K") + COUNTIFS(Before!$P:$P,$B33, Before!$G:$G, "A") + COUNTIFS(Before!$P:$P,$B33, Before!$G:$G, "B") + COUNTIFS(Before!$P:$P,$B33, Before!$G:$G, "C")
+ COUNTIFS(After!$P:$P,$B33, After!$G:$G, "K") + COUNTIFS(After!$P:$P,$B33, After!$G:$G, "A") + COUNTIFS(After!$P:$P,$B33, After!$G:$G, "B") + COUNTIFS(After!$P:$P,$B33, After!$G:$G, "C")</f>
        <v>0</v>
      </c>
      <c r="G33" s="327" t="n">
        <f>VLOOKUP($B33, 'Evaluation Set-up'!$K$11:$R$35, 4, FALSE)</f>
        <v>2800</v>
      </c>
      <c r="H33" s="328" t="n">
        <f>VLOOKUP($B33, 'Evaluation Set-up'!$K$11:$R$35, 7, FALSE)</f>
        <v>1400</v>
      </c>
      <c r="J33" s="290">
        <v>2026</v>
      </c>
      <c r="K33" s="307" t="n">
        <f t="shared" si="0"/>
        <v>0</v>
      </c>
      <c r="L33" s="290" t="str">
        <f>IF(OR(DATE($J33, L$12, 1) &lt; 'Evaluation Set-up'!$D$9, DATE($J33, L$12, 1) &gt;= 'Evaluation Set-up'!$E$9), "", "Before")</f>
        <v/>
      </c>
      <c r="M33" s="2" t="str">
        <f>IF(OR(DATE($J33, M$12, 1) &lt; 'Evaluation Set-up'!$D$9, DATE($J33, M$12, 1) &gt;= 'Evaluation Set-up'!$E$9), "", "Before")</f>
        <v/>
      </c>
      <c r="N33" s="2" t="str">
        <f>IF(OR(DATE($J33, N$12, 1) &lt; 'Evaluation Set-up'!$D$9, DATE($J33, N$12, 1) &gt;= 'Evaluation Set-up'!$E$9), "", "Before")</f>
        <v/>
      </c>
      <c r="O33" s="2" t="str">
        <f>IF(OR(DATE($J33, O$12, 1) &lt; 'Evaluation Set-up'!$D$9, DATE($J33, O$12, 1) &gt;= 'Evaluation Set-up'!$E$9), "", "Before")</f>
        <v/>
      </c>
      <c r="P33" s="2" t="str">
        <f>IF(OR(DATE($J33, P$12, 1) &lt; 'Evaluation Set-up'!$D$9, DATE($J33, P$12, 1) &gt;= 'Evaluation Set-up'!$E$9), "", "Before")</f>
        <v/>
      </c>
      <c r="Q33" s="2" t="str">
        <f>IF(OR(DATE($J33, Q$12, 1) &lt; 'Evaluation Set-up'!$D$9, DATE($J33, Q$12, 1) &gt;= 'Evaluation Set-up'!$E$9), "", "Before")</f>
        <v/>
      </c>
      <c r="R33" s="2" t="str">
        <f>IF(OR(DATE($J33, R$12, 1) &lt; 'Evaluation Set-up'!$D$9, DATE($J33, R$12, 1) &gt;= 'Evaluation Set-up'!$E$9), "", "Before")</f>
        <v/>
      </c>
      <c r="S33" s="2" t="str">
        <f>IF(OR(DATE($J33, S$12, 1) &lt; 'Evaluation Set-up'!$D$9, DATE($J33, S$12, 1) &gt;= 'Evaluation Set-up'!$E$9), "", "Before")</f>
        <v/>
      </c>
      <c r="T33" s="2" t="str">
        <f>IF(OR(DATE($J33, T$12, 1) &lt; 'Evaluation Set-up'!$D$9, DATE($J33, T$12, 1) &gt;= 'Evaluation Set-up'!$E$9), "", "Before")</f>
        <v/>
      </c>
      <c r="U33" s="2" t="str">
        <f>IF(OR(DATE($J33, U$12, 1) &lt; 'Evaluation Set-up'!$D$9, DATE($J33, U$12, 1) &gt;= 'Evaluation Set-up'!$E$9), "", "Before")</f>
        <v/>
      </c>
      <c r="V33" s="2" t="str">
        <f>IF(OR(DATE($J33, V$12, 1) &lt; 'Evaluation Set-up'!$D$9, DATE($J33, V$12, 1) &gt;= 'Evaluation Set-up'!$E$9), "", "Before")</f>
        <v/>
      </c>
      <c r="W33" s="312" t="str">
        <f>IF(OR(DATE($J33, W$12, 1) &lt; 'Evaluation Set-up'!$D$9, DATE($J33, W$12, 1) &gt;= 'Evaluation Set-up'!$E$9), "", "Before")</f>
        <v/>
      </c>
      <c r="X33" s="2"/>
      <c r="Y33" s="290">
        <v>2026</v>
      </c>
      <c r="Z33" s="307" t="n">
        <f t="shared" si="1"/>
        <v>6</v>
      </c>
      <c r="AA33" s="2" t="str">
        <f>IF(OR(DATE($Y33, L$12, 1) &lt; 'Evaluation Set-up'!$D$11, DATE($Y33, L$12, 1) &gt;= 'Evaluation Set-up'!$E$11), "", "After")</f>
        <v>After</v>
      </c>
      <c r="AB33" s="2" t="str">
        <f>IF(OR(DATE($Y33, M$12, 1) &lt; 'Evaluation Set-up'!$D$11, DATE($Y33, M$12, 1) &gt;= 'Evaluation Set-up'!$E$11), "", "After")</f>
        <v>After</v>
      </c>
      <c r="AC33" s="2" t="str">
        <f>IF(OR(DATE($Y33, N$12, 1) &lt; 'Evaluation Set-up'!$D$11, DATE($Y33, N$12, 1) &gt;= 'Evaluation Set-up'!$E$11), "", "After")</f>
        <v>After</v>
      </c>
      <c r="AD33" s="2" t="str">
        <f>IF(OR(DATE($Y33, O$12, 1) &lt; 'Evaluation Set-up'!$D$11, DATE($Y33, O$12, 1) &gt;= 'Evaluation Set-up'!$E$11), "", "After")</f>
        <v>After</v>
      </c>
      <c r="AE33" s="2" t="str">
        <f>IF(OR(DATE($Y33, P$12, 1) &lt; 'Evaluation Set-up'!$D$11, DATE($Y33, P$12, 1) &gt;= 'Evaluation Set-up'!$E$11), "", "After")</f>
        <v>After</v>
      </c>
      <c r="AF33" s="2" t="str">
        <f>IF(OR(DATE($Y33, Q$12, 1) &lt; 'Evaluation Set-up'!$D$11, DATE($Y33, Q$12, 1) &gt;= 'Evaluation Set-up'!$E$11), "", "After")</f>
        <v>After</v>
      </c>
      <c r="AG33" s="2" t="str">
        <f>IF(OR(DATE($Y33, R$12, 1) &lt; 'Evaluation Set-up'!$D$11, DATE($Y33, R$12, 1) &gt;= 'Evaluation Set-up'!$E$11), "", "After")</f>
        <v/>
      </c>
      <c r="AH33" s="2" t="str">
        <f>IF(OR(DATE($Y33, S$12, 1) &lt; 'Evaluation Set-up'!$D$11, DATE($Y33, S$12, 1) &gt;= 'Evaluation Set-up'!$E$11), "", "After")</f>
        <v/>
      </c>
      <c r="AI33" s="2" t="str">
        <f>IF(OR(DATE($Y33, T$12, 1) &lt; 'Evaluation Set-up'!$D$11, DATE($Y33, T$12, 1) &gt;= 'Evaluation Set-up'!$E$11), "", "After")</f>
        <v/>
      </c>
      <c r="AJ33" s="2" t="str">
        <f>IF(OR(DATE($Y33, U$12, 1) &lt; 'Evaluation Set-up'!$D$11, DATE($Y33, U$12, 1) &gt;= 'Evaluation Set-up'!$E$11), "", "After")</f>
        <v/>
      </c>
      <c r="AK33" s="2" t="str">
        <f>IF(OR(DATE($Y33, V$12, 1) &lt; 'Evaluation Set-up'!$D$11, DATE($Y33, V$12, 1) &gt;= 'Evaluation Set-up'!$E$11), "", "After")</f>
        <v/>
      </c>
      <c r="AL33" s="312" t="str">
        <f>IF(OR(DATE($Y33, W$12, 1) &lt; 'Evaluation Set-up'!$D$11, DATE($Y33, W$12, 1) &gt;= 'Evaluation Set-up'!$E$11), "", "After")</f>
        <v/>
      </c>
    </row>
    <row r="34" spans="2:44" x14ac:dyDescent="0.3">
      <c r="B34" s="319">
        <v>2027</v>
      </c>
      <c r="C34" s="323" t="n">
        <f>COUNTIF(Before!$P:$P,B34) + COUNTIF(After!$P:$P,B34)</f>
        <v>0</v>
      </c>
      <c r="D34" s="94" t="n">
        <f>COUNTIFS(Before!$C:$C,"&gt;=23",Before!$C:$C,"&lt;=27", Before!$P:$P,B34)+COUNTIFS(Before!$C:$C,"30", Before!$P:$P,B34) + COUNTIFS(After!$C:$C,"&gt;=23",After!$C:$C,"&lt;=27", After!$P:$P,B34)+COUNTIFS(After!$C:$C,"30", After!$P:$P,B34)</f>
        <v>0</v>
      </c>
      <c r="E34" s="94" t="n">
        <f>COUNTIFS(Before!$C:$C,"&gt;=21",Before!$C:$C,"&lt;=22", Before!$P:$P,B34) + COUNTIFS(After!$C:$C,"&gt;=21",After!$C:$C,"&lt;=22", After!$P:$P,B34)</f>
        <v>0</v>
      </c>
      <c r="F34" s="324" t="n">
        <f>COUNTIFS(Before!$P:$P,$B34, Before!$G:$G, "K") + COUNTIFS(Before!$P:$P,$B34, Before!$G:$G, "A") + COUNTIFS(Before!$P:$P,$B34, Before!$G:$G, "B") + COUNTIFS(Before!$P:$P,$B34, Before!$G:$G, "C")
+ COUNTIFS(After!$P:$P,$B34, After!$G:$G, "K") + COUNTIFS(After!$P:$P,$B34, After!$G:$G, "A") + COUNTIFS(After!$P:$P,$B34, After!$G:$G, "B") + COUNTIFS(After!$P:$P,$B34, After!$G:$G, "C")</f>
        <v>0</v>
      </c>
      <c r="G34" s="327" t="str">
        <f>VLOOKUP($B34, 'Evaluation Set-up'!$K$11:$R$35, 4, FALSE)</f>
        <v/>
      </c>
      <c r="H34" s="328" t="str">
        <f>VLOOKUP($B34, 'Evaluation Set-up'!$K$11:$R$35, 7, FALSE)</f>
        <v/>
      </c>
      <c r="J34" s="290">
        <v>2027</v>
      </c>
      <c r="K34" s="307" t="n">
        <f t="shared" si="0"/>
        <v>0</v>
      </c>
      <c r="L34" s="290" t="str">
        <f>IF(OR(DATE($J34, L$12, 1) &lt; 'Evaluation Set-up'!$D$9, DATE($J34, L$12, 1) &gt;= 'Evaluation Set-up'!$E$9), "", "Before")</f>
        <v/>
      </c>
      <c r="M34" s="2" t="str">
        <f>IF(OR(DATE($J34, M$12, 1) &lt; 'Evaluation Set-up'!$D$9, DATE($J34, M$12, 1) &gt;= 'Evaluation Set-up'!$E$9), "", "Before")</f>
        <v/>
      </c>
      <c r="N34" s="2" t="str">
        <f>IF(OR(DATE($J34, N$12, 1) &lt; 'Evaluation Set-up'!$D$9, DATE($J34, N$12, 1) &gt;= 'Evaluation Set-up'!$E$9), "", "Before")</f>
        <v/>
      </c>
      <c r="O34" s="2" t="str">
        <f>IF(OR(DATE($J34, O$12, 1) &lt; 'Evaluation Set-up'!$D$9, DATE($J34, O$12, 1) &gt;= 'Evaluation Set-up'!$E$9), "", "Before")</f>
        <v/>
      </c>
      <c r="P34" s="2" t="str">
        <f>IF(OR(DATE($J34, P$12, 1) &lt; 'Evaluation Set-up'!$D$9, DATE($J34, P$12, 1) &gt;= 'Evaluation Set-up'!$E$9), "", "Before")</f>
        <v/>
      </c>
      <c r="Q34" s="2" t="str">
        <f>IF(OR(DATE($J34, Q$12, 1) &lt; 'Evaluation Set-up'!$D$9, DATE($J34, Q$12, 1) &gt;= 'Evaluation Set-up'!$E$9), "", "Before")</f>
        <v/>
      </c>
      <c r="R34" s="2" t="str">
        <f>IF(OR(DATE($J34, R$12, 1) &lt; 'Evaluation Set-up'!$D$9, DATE($J34, R$12, 1) &gt;= 'Evaluation Set-up'!$E$9), "", "Before")</f>
        <v/>
      </c>
      <c r="S34" s="2" t="str">
        <f>IF(OR(DATE($J34, S$12, 1) &lt; 'Evaluation Set-up'!$D$9, DATE($J34, S$12, 1) &gt;= 'Evaluation Set-up'!$E$9), "", "Before")</f>
        <v/>
      </c>
      <c r="T34" s="2" t="str">
        <f>IF(OR(DATE($J34, T$12, 1) &lt; 'Evaluation Set-up'!$D$9, DATE($J34, T$12, 1) &gt;= 'Evaluation Set-up'!$E$9), "", "Before")</f>
        <v/>
      </c>
      <c r="U34" s="2" t="str">
        <f>IF(OR(DATE($J34, U$12, 1) &lt; 'Evaluation Set-up'!$D$9, DATE($J34, U$12, 1) &gt;= 'Evaluation Set-up'!$E$9), "", "Before")</f>
        <v/>
      </c>
      <c r="V34" s="2" t="str">
        <f>IF(OR(DATE($J34, V$12, 1) &lt; 'Evaluation Set-up'!$D$9, DATE($J34, V$12, 1) &gt;= 'Evaluation Set-up'!$E$9), "", "Before")</f>
        <v/>
      </c>
      <c r="W34" s="312" t="str">
        <f>IF(OR(DATE($J34, W$12, 1) &lt; 'Evaluation Set-up'!$D$9, DATE($J34, W$12, 1) &gt;= 'Evaluation Set-up'!$E$9), "", "Before")</f>
        <v/>
      </c>
      <c r="X34" s="2"/>
      <c r="Y34" s="290">
        <v>2027</v>
      </c>
      <c r="Z34" s="307" t="n">
        <f t="shared" si="1"/>
        <v>0</v>
      </c>
      <c r="AA34" s="2" t="str">
        <f>IF(OR(DATE($Y34, L$12, 1) &lt; 'Evaluation Set-up'!$D$11, DATE($Y34, L$12, 1) &gt;= 'Evaluation Set-up'!$E$11), "", "After")</f>
        <v/>
      </c>
      <c r="AB34" s="2" t="str">
        <f>IF(OR(DATE($Y34, M$12, 1) &lt; 'Evaluation Set-up'!$D$11, DATE($Y34, M$12, 1) &gt;= 'Evaluation Set-up'!$E$11), "", "After")</f>
        <v/>
      </c>
      <c r="AC34" s="2" t="str">
        <f>IF(OR(DATE($Y34, N$12, 1) &lt; 'Evaluation Set-up'!$D$11, DATE($Y34, N$12, 1) &gt;= 'Evaluation Set-up'!$E$11), "", "After")</f>
        <v/>
      </c>
      <c r="AD34" s="2" t="str">
        <f>IF(OR(DATE($Y34, O$12, 1) &lt; 'Evaluation Set-up'!$D$11, DATE($Y34, O$12, 1) &gt;= 'Evaluation Set-up'!$E$11), "", "After")</f>
        <v/>
      </c>
      <c r="AE34" s="2" t="str">
        <f>IF(OR(DATE($Y34, P$12, 1) &lt; 'Evaluation Set-up'!$D$11, DATE($Y34, P$12, 1) &gt;= 'Evaluation Set-up'!$E$11), "", "After")</f>
        <v/>
      </c>
      <c r="AF34" s="2" t="str">
        <f>IF(OR(DATE($Y34, Q$12, 1) &lt; 'Evaluation Set-up'!$D$11, DATE($Y34, Q$12, 1) &gt;= 'Evaluation Set-up'!$E$11), "", "After")</f>
        <v/>
      </c>
      <c r="AG34" s="2" t="str">
        <f>IF(OR(DATE($Y34, R$12, 1) &lt; 'Evaluation Set-up'!$D$11, DATE($Y34, R$12, 1) &gt;= 'Evaluation Set-up'!$E$11), "", "After")</f>
        <v/>
      </c>
      <c r="AH34" s="2" t="str">
        <f>IF(OR(DATE($Y34, S$12, 1) &lt; 'Evaluation Set-up'!$D$11, DATE($Y34, S$12, 1) &gt;= 'Evaluation Set-up'!$E$11), "", "After")</f>
        <v/>
      </c>
      <c r="AI34" s="2" t="str">
        <f>IF(OR(DATE($Y34, T$12, 1) &lt; 'Evaluation Set-up'!$D$11, DATE($Y34, T$12, 1) &gt;= 'Evaluation Set-up'!$E$11), "", "After")</f>
        <v/>
      </c>
      <c r="AJ34" s="2" t="str">
        <f>IF(OR(DATE($Y34, U$12, 1) &lt; 'Evaluation Set-up'!$D$11, DATE($Y34, U$12, 1) &gt;= 'Evaluation Set-up'!$E$11), "", "After")</f>
        <v/>
      </c>
      <c r="AK34" s="2" t="str">
        <f>IF(OR(DATE($Y34, V$12, 1) &lt; 'Evaluation Set-up'!$D$11, DATE($Y34, V$12, 1) &gt;= 'Evaluation Set-up'!$E$11), "", "After")</f>
        <v/>
      </c>
      <c r="AL34" s="312" t="str">
        <f>IF(OR(DATE($Y34, W$12, 1) &lt; 'Evaluation Set-up'!$D$11, DATE($Y34, W$12, 1) &gt;= 'Evaluation Set-up'!$E$11), "", "After")</f>
        <v/>
      </c>
    </row>
    <row r="35" spans="2:44" x14ac:dyDescent="0.3">
      <c r="B35" s="319">
        <v>2028</v>
      </c>
      <c r="C35" s="323" t="n">
        <f>COUNTIF(Before!$P:$P,B35) + COUNTIF(After!$P:$P,B35)</f>
        <v>0</v>
      </c>
      <c r="D35" s="94" t="n">
        <f>COUNTIFS(Before!$C:$C,"&gt;=23",Before!$C:$C,"&lt;=27", Before!$P:$P,B35)+COUNTIFS(Before!$C:$C,"30", Before!$P:$P,B35) + COUNTIFS(After!$C:$C,"&gt;=23",After!$C:$C,"&lt;=27", After!$P:$P,B35)+COUNTIFS(After!$C:$C,"30", After!$P:$P,B35)</f>
        <v>0</v>
      </c>
      <c r="E35" s="94" t="n">
        <f>COUNTIFS(Before!$C:$C,"&gt;=21",Before!$C:$C,"&lt;=22", Before!$P:$P,B35) + COUNTIFS(After!$C:$C,"&gt;=21",After!$C:$C,"&lt;=22", After!$P:$P,B35)</f>
        <v>0</v>
      </c>
      <c r="F35" s="324" t="n">
        <f>COUNTIFS(Before!$P:$P,$B35, Before!$G:$G, "K") + COUNTIFS(Before!$P:$P,$B35, Before!$G:$G, "A") + COUNTIFS(Before!$P:$P,$B35, Before!$G:$G, "B") + COUNTIFS(Before!$P:$P,$B35, Before!$G:$G, "C")
+ COUNTIFS(After!$P:$P,$B35, After!$G:$G, "K") + COUNTIFS(After!$P:$P,$B35, After!$G:$G, "A") + COUNTIFS(After!$P:$P,$B35, After!$G:$G, "B") + COUNTIFS(After!$P:$P,$B35, After!$G:$G, "C")</f>
        <v>0</v>
      </c>
      <c r="G35" s="327" t="str">
        <f>VLOOKUP($B35, 'Evaluation Set-up'!$K$11:$R$35, 4, FALSE)</f>
        <v/>
      </c>
      <c r="H35" s="328" t="str">
        <f>VLOOKUP($B35, 'Evaluation Set-up'!$K$11:$R$35, 7, FALSE)</f>
        <v/>
      </c>
      <c r="J35" s="290">
        <v>2028</v>
      </c>
      <c r="K35" s="307" t="n">
        <f t="shared" si="0"/>
        <v>0</v>
      </c>
      <c r="L35" s="290" t="str">
        <f>IF(OR(DATE($J35, L$12, 1) &lt; 'Evaluation Set-up'!$D$9, DATE($J35, L$12, 1) &gt;= 'Evaluation Set-up'!$E$9), "", "Before")</f>
        <v/>
      </c>
      <c r="M35" s="2" t="str">
        <f>IF(OR(DATE($J35, M$12, 1) &lt; 'Evaluation Set-up'!$D$9, DATE($J35, M$12, 1) &gt;= 'Evaluation Set-up'!$E$9), "", "Before")</f>
        <v/>
      </c>
      <c r="N35" s="2" t="str">
        <f>IF(OR(DATE($J35, N$12, 1) &lt; 'Evaluation Set-up'!$D$9, DATE($J35, N$12, 1) &gt;= 'Evaluation Set-up'!$E$9), "", "Before")</f>
        <v/>
      </c>
      <c r="O35" s="2" t="str">
        <f>IF(OR(DATE($J35, O$12, 1) &lt; 'Evaluation Set-up'!$D$9, DATE($J35, O$12, 1) &gt;= 'Evaluation Set-up'!$E$9), "", "Before")</f>
        <v/>
      </c>
      <c r="P35" s="2" t="str">
        <f>IF(OR(DATE($J35, P$12, 1) &lt; 'Evaluation Set-up'!$D$9, DATE($J35, P$12, 1) &gt;= 'Evaluation Set-up'!$E$9), "", "Before")</f>
        <v/>
      </c>
      <c r="Q35" s="2" t="str">
        <f>IF(OR(DATE($J35, Q$12, 1) &lt; 'Evaluation Set-up'!$D$9, DATE($J35, Q$12, 1) &gt;= 'Evaluation Set-up'!$E$9), "", "Before")</f>
        <v/>
      </c>
      <c r="R35" s="2" t="str">
        <f>IF(OR(DATE($J35, R$12, 1) &lt; 'Evaluation Set-up'!$D$9, DATE($J35, R$12, 1) &gt;= 'Evaluation Set-up'!$E$9), "", "Before")</f>
        <v/>
      </c>
      <c r="S35" s="2" t="str">
        <f>IF(OR(DATE($J35, S$12, 1) &lt; 'Evaluation Set-up'!$D$9, DATE($J35, S$12, 1) &gt;= 'Evaluation Set-up'!$E$9), "", "Before")</f>
        <v/>
      </c>
      <c r="T35" s="2" t="str">
        <f>IF(OR(DATE($J35, T$12, 1) &lt; 'Evaluation Set-up'!$D$9, DATE($J35, T$12, 1) &gt;= 'Evaluation Set-up'!$E$9), "", "Before")</f>
        <v/>
      </c>
      <c r="U35" s="2" t="str">
        <f>IF(OR(DATE($J35, U$12, 1) &lt; 'Evaluation Set-up'!$D$9, DATE($J35, U$12, 1) &gt;= 'Evaluation Set-up'!$E$9), "", "Before")</f>
        <v/>
      </c>
      <c r="V35" s="2" t="str">
        <f>IF(OR(DATE($J35, V$12, 1) &lt; 'Evaluation Set-up'!$D$9, DATE($J35, V$12, 1) &gt;= 'Evaluation Set-up'!$E$9), "", "Before")</f>
        <v/>
      </c>
      <c r="W35" s="312" t="str">
        <f>IF(OR(DATE($J35, W$12, 1) &lt; 'Evaluation Set-up'!$D$9, DATE($J35, W$12, 1) &gt;= 'Evaluation Set-up'!$E$9), "", "Before")</f>
        <v/>
      </c>
      <c r="X35" s="2"/>
      <c r="Y35" s="290">
        <v>2028</v>
      </c>
      <c r="Z35" s="307" t="n">
        <f t="shared" si="1"/>
        <v>0</v>
      </c>
      <c r="AA35" s="2" t="str">
        <f>IF(OR(DATE($Y35, L$12, 1) &lt; 'Evaluation Set-up'!$D$11, DATE($Y35, L$12, 1) &gt;= 'Evaluation Set-up'!$E$11), "", "After")</f>
        <v/>
      </c>
      <c r="AB35" s="2" t="str">
        <f>IF(OR(DATE($Y35, M$12, 1) &lt; 'Evaluation Set-up'!$D$11, DATE($Y35, M$12, 1) &gt;= 'Evaluation Set-up'!$E$11), "", "After")</f>
        <v/>
      </c>
      <c r="AC35" s="2" t="str">
        <f>IF(OR(DATE($Y35, N$12, 1) &lt; 'Evaluation Set-up'!$D$11, DATE($Y35, N$12, 1) &gt;= 'Evaluation Set-up'!$E$11), "", "After")</f>
        <v/>
      </c>
      <c r="AD35" s="2" t="str">
        <f>IF(OR(DATE($Y35, O$12, 1) &lt; 'Evaluation Set-up'!$D$11, DATE($Y35, O$12, 1) &gt;= 'Evaluation Set-up'!$E$11), "", "After")</f>
        <v/>
      </c>
      <c r="AE35" s="2" t="str">
        <f>IF(OR(DATE($Y35, P$12, 1) &lt; 'Evaluation Set-up'!$D$11, DATE($Y35, P$12, 1) &gt;= 'Evaluation Set-up'!$E$11), "", "After")</f>
        <v/>
      </c>
      <c r="AF35" s="2" t="str">
        <f>IF(OR(DATE($Y35, Q$12, 1) &lt; 'Evaluation Set-up'!$D$11, DATE($Y35, Q$12, 1) &gt;= 'Evaluation Set-up'!$E$11), "", "After")</f>
        <v/>
      </c>
      <c r="AG35" s="2" t="str">
        <f>IF(OR(DATE($Y35, R$12, 1) &lt; 'Evaluation Set-up'!$D$11, DATE($Y35, R$12, 1) &gt;= 'Evaluation Set-up'!$E$11), "", "After")</f>
        <v/>
      </c>
      <c r="AH35" s="2" t="str">
        <f>IF(OR(DATE($Y35, S$12, 1) &lt; 'Evaluation Set-up'!$D$11, DATE($Y35, S$12, 1) &gt;= 'Evaluation Set-up'!$E$11), "", "After")</f>
        <v/>
      </c>
      <c r="AI35" s="2" t="str">
        <f>IF(OR(DATE($Y35, T$12, 1) &lt; 'Evaluation Set-up'!$D$11, DATE($Y35, T$12, 1) &gt;= 'Evaluation Set-up'!$E$11), "", "After")</f>
        <v/>
      </c>
      <c r="AJ35" s="2" t="str">
        <f>IF(OR(DATE($Y35, U$12, 1) &lt; 'Evaluation Set-up'!$D$11, DATE($Y35, U$12, 1) &gt;= 'Evaluation Set-up'!$E$11), "", "After")</f>
        <v/>
      </c>
      <c r="AK35" s="2" t="str">
        <f>IF(OR(DATE($Y35, V$12, 1) &lt; 'Evaluation Set-up'!$D$11, DATE($Y35, V$12, 1) &gt;= 'Evaluation Set-up'!$E$11), "", "After")</f>
        <v/>
      </c>
      <c r="AL35" s="312" t="str">
        <f>IF(OR(DATE($Y35, W$12, 1) &lt; 'Evaluation Set-up'!$D$11, DATE($Y35, W$12, 1) &gt;= 'Evaluation Set-up'!$E$11), "", "After")</f>
        <v/>
      </c>
    </row>
    <row r="36" spans="2:44" x14ac:dyDescent="0.3">
      <c r="B36" s="319">
        <v>2029</v>
      </c>
      <c r="C36" s="323" t="n">
        <f>COUNTIF(Before!$P:$P,B36) + COUNTIF(After!$P:$P,B36)</f>
        <v>0</v>
      </c>
      <c r="D36" s="94" t="n">
        <f>COUNTIFS(Before!$C:$C,"&gt;=23",Before!$C:$C,"&lt;=27", Before!$P:$P,B36)+COUNTIFS(Before!$C:$C,"30", Before!$P:$P,B36) + COUNTIFS(After!$C:$C,"&gt;=23",After!$C:$C,"&lt;=27", After!$P:$P,B36)+COUNTIFS(After!$C:$C,"30", After!$P:$P,B36)</f>
        <v>0</v>
      </c>
      <c r="E36" s="94" t="n">
        <f>COUNTIFS(Before!$C:$C,"&gt;=21",Before!$C:$C,"&lt;=22", Before!$P:$P,B36) + COUNTIFS(After!$C:$C,"&gt;=21",After!$C:$C,"&lt;=22", After!$P:$P,B36)</f>
        <v>0</v>
      </c>
      <c r="F36" s="324" t="n">
        <f>COUNTIFS(Before!$P:$P,$B36, Before!$G:$G, "K") + COUNTIFS(Before!$P:$P,$B36, Before!$G:$G, "A") + COUNTIFS(Before!$P:$P,$B36, Before!$G:$G, "B") + COUNTIFS(Before!$P:$P,$B36, Before!$G:$G, "C")
+ COUNTIFS(After!$P:$P,$B36, After!$G:$G, "K") + COUNTIFS(After!$P:$P,$B36, After!$G:$G, "A") + COUNTIFS(After!$P:$P,$B36, After!$G:$G, "B") + COUNTIFS(After!$P:$P,$B36, After!$G:$G, "C")</f>
        <v>0</v>
      </c>
      <c r="G36" s="327" t="str">
        <f>VLOOKUP($B36, 'Evaluation Set-up'!$K$11:$R$35, 4, FALSE)</f>
        <v/>
      </c>
      <c r="H36" s="328" t="str">
        <f>VLOOKUP($B36, 'Evaluation Set-up'!$K$11:$R$35, 7, FALSE)</f>
        <v/>
      </c>
      <c r="J36" s="290">
        <v>2029</v>
      </c>
      <c r="K36" s="307" t="n">
        <f t="shared" si="0"/>
        <v>0</v>
      </c>
      <c r="L36" s="290" t="str">
        <f>IF(OR(DATE($J36, L$12, 1) &lt; 'Evaluation Set-up'!$D$9, DATE($J36, L$12, 1) &gt;= 'Evaluation Set-up'!$E$9), "", "Before")</f>
        <v/>
      </c>
      <c r="M36" s="2" t="str">
        <f>IF(OR(DATE($J36, M$12, 1) &lt; 'Evaluation Set-up'!$D$9, DATE($J36, M$12, 1) &gt;= 'Evaluation Set-up'!$E$9), "", "Before")</f>
        <v/>
      </c>
      <c r="N36" s="2" t="str">
        <f>IF(OR(DATE($J36, N$12, 1) &lt; 'Evaluation Set-up'!$D$9, DATE($J36, N$12, 1) &gt;= 'Evaluation Set-up'!$E$9), "", "Before")</f>
        <v/>
      </c>
      <c r="O36" s="2" t="str">
        <f>IF(OR(DATE($J36, O$12, 1) &lt; 'Evaluation Set-up'!$D$9, DATE($J36, O$12, 1) &gt;= 'Evaluation Set-up'!$E$9), "", "Before")</f>
        <v/>
      </c>
      <c r="P36" s="2" t="str">
        <f>IF(OR(DATE($J36, P$12, 1) &lt; 'Evaluation Set-up'!$D$9, DATE($J36, P$12, 1) &gt;= 'Evaluation Set-up'!$E$9), "", "Before")</f>
        <v/>
      </c>
      <c r="Q36" s="2" t="str">
        <f>IF(OR(DATE($J36, Q$12, 1) &lt; 'Evaluation Set-up'!$D$9, DATE($J36, Q$12, 1) &gt;= 'Evaluation Set-up'!$E$9), "", "Before")</f>
        <v/>
      </c>
      <c r="R36" s="2" t="str">
        <f>IF(OR(DATE($J36, R$12, 1) &lt; 'Evaluation Set-up'!$D$9, DATE($J36, R$12, 1) &gt;= 'Evaluation Set-up'!$E$9), "", "Before")</f>
        <v/>
      </c>
      <c r="S36" s="2" t="str">
        <f>IF(OR(DATE($J36, S$12, 1) &lt; 'Evaluation Set-up'!$D$9, DATE($J36, S$12, 1) &gt;= 'Evaluation Set-up'!$E$9), "", "Before")</f>
        <v/>
      </c>
      <c r="T36" s="2" t="str">
        <f>IF(OR(DATE($J36, T$12, 1) &lt; 'Evaluation Set-up'!$D$9, DATE($J36, T$12, 1) &gt;= 'Evaluation Set-up'!$E$9), "", "Before")</f>
        <v/>
      </c>
      <c r="U36" s="2" t="str">
        <f>IF(OR(DATE($J36, U$12, 1) &lt; 'Evaluation Set-up'!$D$9, DATE($J36, U$12, 1) &gt;= 'Evaluation Set-up'!$E$9), "", "Before")</f>
        <v/>
      </c>
      <c r="V36" s="2" t="str">
        <f>IF(OR(DATE($J36, V$12, 1) &lt; 'Evaluation Set-up'!$D$9, DATE($J36, V$12, 1) &gt;= 'Evaluation Set-up'!$E$9), "", "Before")</f>
        <v/>
      </c>
      <c r="W36" s="312" t="str">
        <f>IF(OR(DATE($J36, W$12, 1) &lt; 'Evaluation Set-up'!$D$9, DATE($J36, W$12, 1) &gt;= 'Evaluation Set-up'!$E$9), "", "Before")</f>
        <v/>
      </c>
      <c r="X36" s="2"/>
      <c r="Y36" s="290">
        <v>2029</v>
      </c>
      <c r="Z36" s="307" t="n">
        <f t="shared" si="1"/>
        <v>0</v>
      </c>
      <c r="AA36" s="2" t="str">
        <f>IF(OR(DATE($Y36, L$12, 1) &lt; 'Evaluation Set-up'!$D$11, DATE($Y36, L$12, 1) &gt;= 'Evaluation Set-up'!$E$11), "", "After")</f>
        <v/>
      </c>
      <c r="AB36" s="2" t="str">
        <f>IF(OR(DATE($Y36, M$12, 1) &lt; 'Evaluation Set-up'!$D$11, DATE($Y36, M$12, 1) &gt;= 'Evaluation Set-up'!$E$11), "", "After")</f>
        <v/>
      </c>
      <c r="AC36" s="2" t="str">
        <f>IF(OR(DATE($Y36, N$12, 1) &lt; 'Evaluation Set-up'!$D$11, DATE($Y36, N$12, 1) &gt;= 'Evaluation Set-up'!$E$11), "", "After")</f>
        <v/>
      </c>
      <c r="AD36" s="2" t="str">
        <f>IF(OR(DATE($Y36, O$12, 1) &lt; 'Evaluation Set-up'!$D$11, DATE($Y36, O$12, 1) &gt;= 'Evaluation Set-up'!$E$11), "", "After")</f>
        <v/>
      </c>
      <c r="AE36" s="2" t="str">
        <f>IF(OR(DATE($Y36, P$12, 1) &lt; 'Evaluation Set-up'!$D$11, DATE($Y36, P$12, 1) &gt;= 'Evaluation Set-up'!$E$11), "", "After")</f>
        <v/>
      </c>
      <c r="AF36" s="2" t="str">
        <f>IF(OR(DATE($Y36, Q$12, 1) &lt; 'Evaluation Set-up'!$D$11, DATE($Y36, Q$12, 1) &gt;= 'Evaluation Set-up'!$E$11), "", "After")</f>
        <v/>
      </c>
      <c r="AG36" s="2" t="str">
        <f>IF(OR(DATE($Y36, R$12, 1) &lt; 'Evaluation Set-up'!$D$11, DATE($Y36, R$12, 1) &gt;= 'Evaluation Set-up'!$E$11), "", "After")</f>
        <v/>
      </c>
      <c r="AH36" s="2" t="str">
        <f>IF(OR(DATE($Y36, S$12, 1) &lt; 'Evaluation Set-up'!$D$11, DATE($Y36, S$12, 1) &gt;= 'Evaluation Set-up'!$E$11), "", "After")</f>
        <v/>
      </c>
      <c r="AI36" s="2" t="str">
        <f>IF(OR(DATE($Y36, T$12, 1) &lt; 'Evaluation Set-up'!$D$11, DATE($Y36, T$12, 1) &gt;= 'Evaluation Set-up'!$E$11), "", "After")</f>
        <v/>
      </c>
      <c r="AJ36" s="2" t="str">
        <f>IF(OR(DATE($Y36, U$12, 1) &lt; 'Evaluation Set-up'!$D$11, DATE($Y36, U$12, 1) &gt;= 'Evaluation Set-up'!$E$11), "", "After")</f>
        <v/>
      </c>
      <c r="AK36" s="2" t="str">
        <f>IF(OR(DATE($Y36, V$12, 1) &lt; 'Evaluation Set-up'!$D$11, DATE($Y36, V$12, 1) &gt;= 'Evaluation Set-up'!$E$11), "", "After")</f>
        <v/>
      </c>
      <c r="AL36" s="312" t="str">
        <f>IF(OR(DATE($Y36, W$12, 1) &lt; 'Evaluation Set-up'!$D$11, DATE($Y36, W$12, 1) &gt;= 'Evaluation Set-up'!$E$11), "", "After")</f>
        <v/>
      </c>
    </row>
    <row r="37" spans="2:44" ht="15" thickBot="1" x14ac:dyDescent="0.35">
      <c r="B37" s="301">
        <v>2030</v>
      </c>
      <c r="C37" s="295" t="n">
        <f>COUNTIF(Before!$P:$P,B37) + COUNTIF(After!$P:$P,B37)</f>
        <v>0</v>
      </c>
      <c r="D37" s="296" t="n">
        <f>COUNTIFS(Before!$C:$C,"&gt;=23",Before!$C:$C,"&lt;=27", Before!$P:$P,B37)+COUNTIFS(Before!$C:$C,"30", Before!$P:$P,B37) + COUNTIFS(After!$C:$C,"&gt;=23",After!$C:$C,"&lt;=27", After!$P:$P,B37)+COUNTIFS(After!$C:$C,"30", After!$P:$P,B37)</f>
        <v>0</v>
      </c>
      <c r="E37" s="296" t="n">
        <f>COUNTIFS(Before!$C:$C,"&gt;=21",Before!$C:$C,"&lt;=22", Before!$P:$P,B37) + COUNTIFS(After!$C:$C,"&gt;=21",After!$C:$C,"&lt;=22", After!$P:$P,B37)</f>
        <v>0</v>
      </c>
      <c r="F37" s="297" t="n">
        <f>COUNTIFS(Before!$P:$P,$B37, Before!$G:$G, "K") + COUNTIFS(Before!$P:$P,$B37, Before!$G:$G, "A") + COUNTIFS(Before!$P:$P,$B37, Before!$G:$G, "B") + COUNTIFS(Before!$P:$P,$B37, Before!$G:$G, "C")
+ COUNTIFS(After!$P:$P,$B37, After!$G:$G, "K") + COUNTIFS(After!$P:$P,$B37, After!$G:$G, "A") + COUNTIFS(After!$P:$P,$B37, After!$G:$G, "B") + COUNTIFS(After!$P:$P,$B37, After!$G:$G, "C")</f>
        <v>0</v>
      </c>
      <c r="G37" s="329" t="str">
        <f>VLOOKUP($B37, 'Evaluation Set-up'!$K$11:$R$35, 4, FALSE)</f>
        <v/>
      </c>
      <c r="H37" s="330" t="str">
        <f>VLOOKUP($B37, 'Evaluation Set-up'!$K$11:$R$35, 7, FALSE)</f>
        <v/>
      </c>
      <c r="J37" s="308">
        <v>2030</v>
      </c>
      <c r="K37" s="309" t="n">
        <f t="shared" si="0"/>
        <v>0</v>
      </c>
      <c r="L37" s="308" t="str">
        <f>IF(OR(DATE($J37, L$12, 1) &lt; 'Evaluation Set-up'!$D$9, DATE($J37, L$12, 1) &gt;= 'Evaluation Set-up'!$E$9), "", "Before")</f>
        <v/>
      </c>
      <c r="M37" s="44" t="str">
        <f>IF(OR(DATE($J37, M$12, 1) &lt; 'Evaluation Set-up'!$D$9, DATE($J37, M$12, 1) &gt;= 'Evaluation Set-up'!$E$9), "", "Before")</f>
        <v/>
      </c>
      <c r="N37" s="44" t="str">
        <f>IF(OR(DATE($J37, N$12, 1) &lt; 'Evaluation Set-up'!$D$9, DATE($J37, N$12, 1) &gt;= 'Evaluation Set-up'!$E$9), "", "Before")</f>
        <v/>
      </c>
      <c r="O37" s="44" t="str">
        <f>IF(OR(DATE($J37, O$12, 1) &lt; 'Evaluation Set-up'!$D$9, DATE($J37, O$12, 1) &gt;= 'Evaluation Set-up'!$E$9), "", "Before")</f>
        <v/>
      </c>
      <c r="P37" s="44" t="str">
        <f>IF(OR(DATE($J37, P$12, 1) &lt; 'Evaluation Set-up'!$D$9, DATE($J37, P$12, 1) &gt;= 'Evaluation Set-up'!$E$9), "", "Before")</f>
        <v/>
      </c>
      <c r="Q37" s="44" t="str">
        <f>IF(OR(DATE($J37, Q$12, 1) &lt; 'Evaluation Set-up'!$D$9, DATE($J37, Q$12, 1) &gt;= 'Evaluation Set-up'!$E$9), "", "Before")</f>
        <v/>
      </c>
      <c r="R37" s="44" t="str">
        <f>IF(OR(DATE($J37, R$12, 1) &lt; 'Evaluation Set-up'!$D$9, DATE($J37, R$12, 1) &gt;= 'Evaluation Set-up'!$E$9), "", "Before")</f>
        <v/>
      </c>
      <c r="S37" s="44" t="str">
        <f>IF(OR(DATE($J37, S$12, 1) &lt; 'Evaluation Set-up'!$D$9, DATE($J37, S$12, 1) &gt;= 'Evaluation Set-up'!$E$9), "", "Before")</f>
        <v/>
      </c>
      <c r="T37" s="44" t="str">
        <f>IF(OR(DATE($J37, T$12, 1) &lt; 'Evaluation Set-up'!$D$9, DATE($J37, T$12, 1) &gt;= 'Evaluation Set-up'!$E$9), "", "Before")</f>
        <v/>
      </c>
      <c r="U37" s="44" t="str">
        <f>IF(OR(DATE($J37, U$12, 1) &lt; 'Evaluation Set-up'!$D$9, DATE($J37, U$12, 1) &gt;= 'Evaluation Set-up'!$E$9), "", "Before")</f>
        <v/>
      </c>
      <c r="V37" s="44" t="str">
        <f>IF(OR(DATE($J37, V$12, 1) &lt; 'Evaluation Set-up'!$D$9, DATE($J37, V$12, 1) &gt;= 'Evaluation Set-up'!$E$9), "", "Before")</f>
        <v/>
      </c>
      <c r="W37" s="313" t="str">
        <f>IF(OR(DATE($J37, W$12, 1) &lt; 'Evaluation Set-up'!$D$9, DATE($J37, W$12, 1) &gt;= 'Evaluation Set-up'!$E$9), "", "Before")</f>
        <v/>
      </c>
      <c r="X37" s="2"/>
      <c r="Y37" s="308">
        <v>2030</v>
      </c>
      <c r="Z37" s="309" t="n">
        <f t="shared" si="1"/>
        <v>0</v>
      </c>
      <c r="AA37" s="44" t="str">
        <f>IF(OR(DATE($Y37, L$12, 1) &lt; 'Evaluation Set-up'!$D$11, DATE($Y37, L$12, 1) &gt;= 'Evaluation Set-up'!$E$11), "", "After")</f>
        <v/>
      </c>
      <c r="AB37" s="44" t="str">
        <f>IF(OR(DATE($Y37, M$12, 1) &lt; 'Evaluation Set-up'!$D$11, DATE($Y37, M$12, 1) &gt;= 'Evaluation Set-up'!$E$11), "", "After")</f>
        <v/>
      </c>
      <c r="AC37" s="44" t="str">
        <f>IF(OR(DATE($Y37, N$12, 1) &lt; 'Evaluation Set-up'!$D$11, DATE($Y37, N$12, 1) &gt;= 'Evaluation Set-up'!$E$11), "", "After")</f>
        <v/>
      </c>
      <c r="AD37" s="44" t="str">
        <f>IF(OR(DATE($Y37, O$12, 1) &lt; 'Evaluation Set-up'!$D$11, DATE($Y37, O$12, 1) &gt;= 'Evaluation Set-up'!$E$11), "", "After")</f>
        <v/>
      </c>
      <c r="AE37" s="44" t="str">
        <f>IF(OR(DATE($Y37, P$12, 1) &lt; 'Evaluation Set-up'!$D$11, DATE($Y37, P$12, 1) &gt;= 'Evaluation Set-up'!$E$11), "", "After")</f>
        <v/>
      </c>
      <c r="AF37" s="44" t="str">
        <f>IF(OR(DATE($Y37, Q$12, 1) &lt; 'Evaluation Set-up'!$D$11, DATE($Y37, Q$12, 1) &gt;= 'Evaluation Set-up'!$E$11), "", "After")</f>
        <v/>
      </c>
      <c r="AG37" s="44" t="str">
        <f>IF(OR(DATE($Y37, R$12, 1) &lt; 'Evaluation Set-up'!$D$11, DATE($Y37, R$12, 1) &gt;= 'Evaluation Set-up'!$E$11), "", "After")</f>
        <v/>
      </c>
      <c r="AH37" s="44" t="str">
        <f>IF(OR(DATE($Y37, S$12, 1) &lt; 'Evaluation Set-up'!$D$11, DATE($Y37, S$12, 1) &gt;= 'Evaluation Set-up'!$E$11), "", "After")</f>
        <v/>
      </c>
      <c r="AI37" s="44" t="str">
        <f>IF(OR(DATE($Y37, T$12, 1) &lt; 'Evaluation Set-up'!$D$11, DATE($Y37, T$12, 1) &gt;= 'Evaluation Set-up'!$E$11), "", "After")</f>
        <v/>
      </c>
      <c r="AJ37" s="44" t="str">
        <f>IF(OR(DATE($Y37, U$12, 1) &lt; 'Evaluation Set-up'!$D$11, DATE($Y37, U$12, 1) &gt;= 'Evaluation Set-up'!$E$11), "", "After")</f>
        <v/>
      </c>
      <c r="AK37" s="44" t="str">
        <f>IF(OR(DATE($Y37, V$12, 1) &lt; 'Evaluation Set-up'!$D$11, DATE($Y37, V$12, 1) &gt;= 'Evaluation Set-up'!$E$11), "", "After")</f>
        <v/>
      </c>
      <c r="AL37" s="313" t="str">
        <f>IF(OR(DATE($Y37, W$12, 1) &lt; 'Evaluation Set-up'!$D$11, DATE($Y37, W$12, 1) &gt;= 'Evaluation Set-up'!$E$11), "", "After")</f>
        <v/>
      </c>
    </row>
    <row r="38" spans="2:44" x14ac:dyDescent="0.3">
      <c r="K38" s="2"/>
    </row>
    <row r="39" spans="2:44" x14ac:dyDescent="0.3">
      <c r="K39" s="2"/>
    </row>
    <row r="41" spans="2:44" s="288" customFormat="1" x14ac:dyDescent="0.3">
      <c r="G41" s="287"/>
      <c r="H41" s="287"/>
      <c r="I41" s="287"/>
    </row>
    <row r="43" spans="2:44" x14ac:dyDescent="0.3">
      <c r="B43" s="331" t="s">
        <v>291</v>
      </c>
      <c r="C43" s="288"/>
      <c r="D43" s="332" t="s">
        <v>292</v>
      </c>
    </row>
    <row r="44" spans="2:44" x14ac:dyDescent="0.3">
      <c r="B44" s="2" t="s">
        <v>274</v>
      </c>
      <c r="D44" t="s">
        <v>262</v>
      </c>
    </row>
    <row r="45" spans="2:44" x14ac:dyDescent="0.3">
      <c r="B45" s="2" t="s">
        <v>275</v>
      </c>
      <c r="D45" t="s">
        <v>80</v>
      </c>
    </row>
    <row r="46" spans="2:44" s="288" customFormat="1" x14ac:dyDescent="0.3">
      <c r="B46" s="2" t="s">
        <v>276</v>
      </c>
      <c r="C46"/>
      <c r="D46" t="s">
        <v>84</v>
      </c>
      <c r="G46" s="287"/>
      <c r="H46" s="287"/>
      <c r="I46" s="287"/>
    </row>
    <row r="47" spans="2:44" x14ac:dyDescent="0.3">
      <c r="B47" s="2" t="s">
        <v>277</v>
      </c>
      <c r="D47" t="s">
        <v>263</v>
      </c>
      <c r="Y47" s="2"/>
      <c r="Z47" s="2"/>
      <c r="AA47" s="2"/>
      <c r="AB47" s="2"/>
      <c r="AC47" s="2"/>
      <c r="AD47" s="2"/>
      <c r="AE47" s="2"/>
      <c r="AF47" s="2"/>
      <c r="AG47" s="2"/>
      <c r="AH47" s="2"/>
      <c r="AI47" s="2"/>
      <c r="AJ47" s="2"/>
      <c r="AK47" s="2"/>
      <c r="AL47" s="2"/>
      <c r="AM47" s="2"/>
      <c r="AN47" s="2"/>
      <c r="AO47" s="2"/>
      <c r="AP47" s="2"/>
      <c r="AQ47" s="2"/>
      <c r="AR47" s="2"/>
    </row>
    <row r="48" spans="2:44" x14ac:dyDescent="0.3">
      <c r="B48" s="2" t="s">
        <v>278</v>
      </c>
      <c r="D48" t="s">
        <v>264</v>
      </c>
      <c r="Y48" s="287"/>
      <c r="Z48" s="287"/>
      <c r="AA48" s="287"/>
      <c r="AB48" s="287"/>
      <c r="AC48" s="287"/>
      <c r="AD48" s="287"/>
      <c r="AE48" s="287"/>
      <c r="AF48" s="287"/>
      <c r="AG48" s="287"/>
      <c r="AH48" s="287"/>
      <c r="AI48" s="287"/>
      <c r="AJ48" s="287"/>
      <c r="AK48" s="287"/>
      <c r="AL48" s="287"/>
      <c r="AM48" s="287"/>
      <c r="AN48" s="287"/>
      <c r="AO48" s="287"/>
      <c r="AP48" s="287"/>
      <c r="AQ48" s="287"/>
      <c r="AR48" s="287"/>
    </row>
    <row r="49" spans="1:44" x14ac:dyDescent="0.3">
      <c r="B49" s="2" t="s">
        <v>279</v>
      </c>
      <c r="D49" t="s">
        <v>265</v>
      </c>
      <c r="Y49" s="2"/>
      <c r="Z49" s="2"/>
      <c r="AA49" s="2"/>
      <c r="AB49" s="2"/>
      <c r="AC49" s="2"/>
      <c r="AD49" s="2"/>
      <c r="AE49" s="2"/>
      <c r="AF49" s="2"/>
      <c r="AG49" s="2"/>
      <c r="AH49" s="2"/>
      <c r="AI49" s="2"/>
      <c r="AJ49" s="2"/>
      <c r="AK49" s="2"/>
      <c r="AL49" s="2"/>
      <c r="AM49" s="2"/>
      <c r="AN49" s="2"/>
      <c r="AO49" s="2"/>
      <c r="AP49" s="2"/>
      <c r="AQ49" s="2"/>
      <c r="AR49" s="2"/>
    </row>
    <row r="50" spans="1:44" x14ac:dyDescent="0.3">
      <c r="B50" s="2" t="s">
        <v>280</v>
      </c>
      <c r="D50" t="s">
        <v>266</v>
      </c>
      <c r="Y50" s="2"/>
      <c r="Z50" s="2"/>
      <c r="AA50" s="2"/>
      <c r="AB50" s="2"/>
      <c r="AC50" s="2"/>
      <c r="AD50" s="2"/>
      <c r="AE50" s="2"/>
      <c r="AF50" s="2"/>
      <c r="AG50" s="2"/>
      <c r="AH50" s="2"/>
      <c r="AI50" s="2"/>
      <c r="AJ50" s="2"/>
      <c r="AK50" s="2"/>
      <c r="AL50" s="2"/>
      <c r="AM50" s="2"/>
      <c r="AN50" s="2"/>
      <c r="AO50" s="2"/>
      <c r="AP50" s="2"/>
      <c r="AQ50" s="2"/>
      <c r="AR50" s="2"/>
    </row>
    <row r="51" spans="1:44" x14ac:dyDescent="0.3">
      <c r="B51" s="2" t="s">
        <v>281</v>
      </c>
      <c r="D51" t="s">
        <v>267</v>
      </c>
      <c r="Y51" s="2"/>
      <c r="Z51" s="2"/>
      <c r="AA51" s="2"/>
      <c r="AB51" s="2"/>
      <c r="AC51" s="2"/>
      <c r="AD51" s="2"/>
      <c r="AE51" s="2"/>
      <c r="AF51" s="2"/>
      <c r="AG51" s="2"/>
      <c r="AH51" s="2"/>
      <c r="AI51" s="2"/>
      <c r="AJ51" s="2"/>
      <c r="AK51" s="2"/>
      <c r="AL51" s="2"/>
      <c r="AM51" s="2"/>
      <c r="AN51" s="2"/>
      <c r="AO51" s="2"/>
      <c r="AP51" s="2"/>
      <c r="AQ51" s="2"/>
      <c r="AR51" s="2"/>
    </row>
    <row r="52" spans="1:44" x14ac:dyDescent="0.3">
      <c r="B52" s="2" t="s">
        <v>282</v>
      </c>
      <c r="D52" t="s">
        <v>268</v>
      </c>
      <c r="Y52" s="2"/>
      <c r="Z52" s="2"/>
      <c r="AA52" s="2"/>
      <c r="AB52" s="2"/>
      <c r="AC52" s="2"/>
      <c r="AD52" s="2"/>
      <c r="AE52" s="2"/>
      <c r="AF52" s="2"/>
      <c r="AG52" s="2"/>
      <c r="AH52" s="2"/>
      <c r="AI52" s="2"/>
      <c r="AJ52" s="2"/>
      <c r="AK52" s="2"/>
      <c r="AL52" s="2"/>
      <c r="AM52" s="2"/>
      <c r="AN52" s="2"/>
      <c r="AO52" s="2"/>
      <c r="AP52" s="2"/>
      <c r="AQ52" s="2"/>
      <c r="AR52" s="2"/>
    </row>
    <row r="53" spans="1:44" x14ac:dyDescent="0.3">
      <c r="B53" s="2" t="s">
        <v>283</v>
      </c>
      <c r="D53" t="s">
        <v>269</v>
      </c>
      <c r="Y53" s="2"/>
      <c r="Z53" s="2"/>
      <c r="AA53" s="2"/>
      <c r="AB53" s="2"/>
      <c r="AC53" s="2"/>
      <c r="AD53" s="2"/>
      <c r="AE53" s="2"/>
      <c r="AF53" s="2"/>
      <c r="AG53" s="2"/>
      <c r="AH53" s="2"/>
      <c r="AI53" s="2"/>
      <c r="AJ53" s="2"/>
      <c r="AK53" s="2"/>
      <c r="AL53" s="2"/>
      <c r="AM53" s="2"/>
      <c r="AN53" s="2"/>
      <c r="AO53" s="2"/>
      <c r="AP53" s="2"/>
      <c r="AQ53" s="2"/>
      <c r="AR53" s="2"/>
    </row>
    <row r="54" spans="1:44" x14ac:dyDescent="0.3">
      <c r="D54" t="s">
        <v>93</v>
      </c>
      <c r="Y54" s="2"/>
      <c r="Z54" s="2"/>
      <c r="AA54" s="2"/>
      <c r="AB54" s="2"/>
      <c r="AC54" s="2"/>
      <c r="AD54" s="2"/>
      <c r="AE54" s="2"/>
      <c r="AF54" s="2"/>
      <c r="AG54" s="2"/>
      <c r="AH54" s="2"/>
      <c r="AI54" s="2"/>
      <c r="AJ54" s="2"/>
      <c r="AK54" s="2"/>
      <c r="AL54" s="2"/>
      <c r="AM54" s="2"/>
      <c r="AN54" s="2"/>
      <c r="AO54" s="2"/>
      <c r="AP54" s="2"/>
      <c r="AQ54" s="2"/>
      <c r="AR54" s="2"/>
    </row>
    <row r="55" spans="1:44" x14ac:dyDescent="0.3">
      <c r="D55" t="s">
        <v>270</v>
      </c>
      <c r="Y55" s="2"/>
      <c r="Z55" s="2"/>
      <c r="AA55" s="2"/>
      <c r="AB55" s="2"/>
      <c r="AC55" s="2"/>
      <c r="AD55" s="2"/>
      <c r="AE55" s="2"/>
      <c r="AF55" s="2"/>
      <c r="AG55" s="2"/>
      <c r="AH55" s="2"/>
      <c r="AI55" s="2"/>
      <c r="AJ55" s="2"/>
      <c r="AK55" s="2"/>
      <c r="AL55" s="2"/>
      <c r="AM55" s="2"/>
      <c r="AN55" s="2"/>
      <c r="AO55" s="2"/>
      <c r="AP55" s="2"/>
      <c r="AQ55" s="2"/>
      <c r="AR55" s="2"/>
    </row>
    <row r="56" spans="1:44" x14ac:dyDescent="0.3">
      <c r="D56" t="s">
        <v>271</v>
      </c>
      <c r="Y56" s="2"/>
      <c r="Z56" s="2"/>
      <c r="AA56" s="2"/>
      <c r="AB56" s="2"/>
      <c r="AC56" s="2"/>
      <c r="AD56" s="2"/>
      <c r="AE56" s="2"/>
      <c r="AF56" s="2"/>
      <c r="AG56" s="2"/>
      <c r="AH56" s="2"/>
      <c r="AI56" s="2"/>
      <c r="AJ56" s="2"/>
      <c r="AK56" s="2"/>
      <c r="AL56" s="2"/>
      <c r="AM56" s="2"/>
      <c r="AN56" s="2"/>
      <c r="AO56" s="2"/>
      <c r="AP56" s="2"/>
      <c r="AQ56" s="2"/>
      <c r="AR56" s="2"/>
    </row>
    <row r="57" spans="1:44" x14ac:dyDescent="0.3">
      <c r="D57" t="s">
        <v>272</v>
      </c>
      <c r="Y57" s="2"/>
      <c r="Z57" s="2"/>
      <c r="AA57" s="2"/>
      <c r="AB57" s="2"/>
      <c r="AC57" s="2"/>
      <c r="AD57" s="2"/>
      <c r="AE57" s="2"/>
      <c r="AF57" s="2"/>
      <c r="AG57" s="2"/>
      <c r="AH57" s="2"/>
      <c r="AI57" s="2"/>
      <c r="AJ57" s="2"/>
      <c r="AK57" s="2"/>
      <c r="AL57" s="2"/>
      <c r="AM57" s="2"/>
      <c r="AN57" s="2"/>
      <c r="AO57" s="2"/>
      <c r="AP57" s="2"/>
      <c r="AQ57" s="2"/>
      <c r="AR57" s="2"/>
    </row>
    <row r="58" spans="1:44" x14ac:dyDescent="0.3">
      <c r="D58" s="288" t="s">
        <v>226</v>
      </c>
      <c r="Y58" s="2"/>
      <c r="Z58" s="2"/>
      <c r="AA58" s="2"/>
      <c r="AB58" s="2"/>
      <c r="AC58" s="2"/>
      <c r="AD58" s="2"/>
      <c r="AE58" s="2"/>
      <c r="AF58" s="2"/>
      <c r="AG58" s="2"/>
      <c r="AH58" s="2"/>
      <c r="AI58" s="2"/>
      <c r="AJ58" s="2"/>
      <c r="AK58" s="2"/>
      <c r="AL58" s="2"/>
      <c r="AM58" s="2"/>
      <c r="AN58" s="2"/>
      <c r="AO58" s="2"/>
      <c r="AP58" s="2"/>
      <c r="AQ58" s="2"/>
      <c r="AR58" s="2"/>
    </row>
    <row r="59" spans="1:44" x14ac:dyDescent="0.3">
      <c r="A59" s="288"/>
      <c r="B59" s="288"/>
      <c r="C59" s="288"/>
      <c r="D59" t="s">
        <v>104</v>
      </c>
      <c r="Y59" s="2"/>
      <c r="Z59" s="2"/>
      <c r="AA59" s="2"/>
      <c r="AB59" s="2"/>
      <c r="AC59" s="2"/>
      <c r="AD59" s="2"/>
      <c r="AE59" s="2"/>
      <c r="AF59" s="2"/>
      <c r="AG59" s="2"/>
      <c r="AH59" s="2"/>
      <c r="AI59" s="2"/>
      <c r="AJ59" s="2"/>
      <c r="AK59" s="2"/>
      <c r="AL59" s="2"/>
      <c r="AM59" s="2"/>
      <c r="AN59" s="2"/>
      <c r="AO59" s="2"/>
      <c r="AP59" s="2"/>
      <c r="AQ59" s="2"/>
      <c r="AR59" s="2"/>
    </row>
    <row r="60" spans="1:44" x14ac:dyDescent="0.3">
      <c r="D60" t="s">
        <v>273</v>
      </c>
      <c r="Y60" s="2"/>
      <c r="Z60" s="2"/>
      <c r="AA60" s="2"/>
      <c r="AB60" s="2"/>
      <c r="AC60" s="2"/>
      <c r="AD60" s="2"/>
      <c r="AE60" s="2"/>
      <c r="AF60" s="2"/>
      <c r="AG60" s="2"/>
      <c r="AH60" s="2"/>
      <c r="AI60" s="2"/>
      <c r="AJ60" s="2"/>
      <c r="AK60" s="2"/>
      <c r="AL60" s="2"/>
      <c r="AM60" s="2"/>
      <c r="AN60" s="2"/>
      <c r="AO60" s="2"/>
      <c r="AP60" s="2"/>
      <c r="AQ60" s="2"/>
      <c r="AR60" s="2"/>
    </row>
    <row r="61" spans="1:44" x14ac:dyDescent="0.3">
      <c r="Y61" s="2"/>
      <c r="Z61" s="2"/>
      <c r="AA61" s="2"/>
      <c r="AB61" s="2"/>
      <c r="AC61" s="2"/>
      <c r="AD61" s="2"/>
      <c r="AE61" s="2"/>
      <c r="AF61" s="2"/>
      <c r="AG61" s="2"/>
      <c r="AH61" s="2"/>
      <c r="AI61" s="2"/>
      <c r="AJ61" s="2"/>
      <c r="AK61" s="2"/>
      <c r="AL61" s="2"/>
      <c r="AM61" s="2"/>
      <c r="AN61" s="2"/>
      <c r="AO61" s="2"/>
      <c r="AP61" s="2"/>
      <c r="AQ61" s="2"/>
      <c r="AR61" s="2"/>
    </row>
    <row r="64" spans="1:44" x14ac:dyDescent="0.3">
      <c r="Y64" s="2"/>
      <c r="Z64" s="2"/>
      <c r="AA64" s="2"/>
      <c r="AB64" s="2"/>
      <c r="AC64" s="2"/>
      <c r="AD64" s="2"/>
      <c r="AE64" s="2"/>
      <c r="AF64" s="2"/>
      <c r="AG64" s="2"/>
      <c r="AH64" s="2"/>
      <c r="AI64" s="2"/>
      <c r="AJ64" s="2"/>
      <c r="AK64" s="2"/>
      <c r="AL64" s="2"/>
      <c r="AM64" s="2"/>
      <c r="AN64" s="2"/>
      <c r="AO64" s="2"/>
      <c r="AP64" s="2"/>
      <c r="AQ64" s="2"/>
      <c r="AR64" s="2"/>
    </row>
    <row r="65" spans="19:44" x14ac:dyDescent="0.3">
      <c r="Y65" s="2"/>
      <c r="Z65" s="2"/>
      <c r="AA65" s="2"/>
      <c r="AB65" s="2"/>
      <c r="AC65" s="2"/>
      <c r="AD65" s="2"/>
      <c r="AE65" s="2"/>
      <c r="AF65" s="2"/>
      <c r="AG65" s="2"/>
      <c r="AH65" s="2"/>
      <c r="AI65" s="2"/>
      <c r="AJ65" s="2"/>
      <c r="AK65" s="2"/>
      <c r="AL65" s="2"/>
      <c r="AM65" s="2"/>
      <c r="AN65" s="2"/>
      <c r="AO65" s="2"/>
      <c r="AP65" s="2"/>
      <c r="AQ65" s="2"/>
      <c r="AR65" s="2"/>
    </row>
    <row r="66" spans="19:44" x14ac:dyDescent="0.3">
      <c r="Y66" s="287"/>
      <c r="Z66" s="287"/>
      <c r="AA66" s="287"/>
      <c r="AB66" s="287"/>
      <c r="AC66" s="287"/>
      <c r="AD66" s="287"/>
      <c r="AE66" s="287"/>
      <c r="AF66" s="287"/>
      <c r="AG66" s="287"/>
      <c r="AH66" s="287"/>
      <c r="AI66" s="287"/>
      <c r="AJ66" s="287"/>
      <c r="AK66" s="287"/>
      <c r="AL66" s="287"/>
      <c r="AM66" s="287"/>
      <c r="AN66" s="287"/>
      <c r="AO66" s="287"/>
      <c r="AP66" s="287"/>
      <c r="AQ66" s="287"/>
      <c r="AR66" s="287"/>
    </row>
    <row r="67" spans="19:44" x14ac:dyDescent="0.3">
      <c r="S67" s="2"/>
      <c r="T67" s="2"/>
      <c r="U67" s="2"/>
      <c r="V67" s="2"/>
      <c r="W67" s="2"/>
      <c r="X67" s="2"/>
      <c r="Y67" s="2"/>
      <c r="Z67" s="2"/>
      <c r="AA67" s="2"/>
      <c r="AB67" s="2"/>
      <c r="AC67" s="2"/>
      <c r="AD67" s="2"/>
      <c r="AE67" s="2"/>
      <c r="AF67" s="2"/>
      <c r="AG67" s="2"/>
      <c r="AH67" s="2"/>
      <c r="AI67" s="2"/>
      <c r="AJ67" s="2"/>
      <c r="AK67" s="2"/>
      <c r="AL67" s="2"/>
      <c r="AM67" s="2"/>
      <c r="AN67" s="2"/>
      <c r="AO67" s="2"/>
      <c r="AP67" s="2"/>
      <c r="AQ67" s="2"/>
      <c r="AR67" s="2"/>
    </row>
    <row r="68" spans="19:44" x14ac:dyDescent="0.3">
      <c r="S68" s="2"/>
      <c r="T68" s="2"/>
      <c r="U68" s="2"/>
      <c r="V68" s="2"/>
      <c r="W68" s="2"/>
      <c r="X68" s="2"/>
      <c r="Y68" s="2"/>
      <c r="Z68" s="2"/>
      <c r="AA68" s="2"/>
      <c r="AB68" s="2"/>
      <c r="AC68" s="2"/>
      <c r="AD68" s="2"/>
      <c r="AE68" s="2"/>
      <c r="AF68" s="2"/>
      <c r="AG68" s="2"/>
      <c r="AH68" s="2"/>
      <c r="AI68" s="2"/>
      <c r="AJ68" s="2"/>
      <c r="AK68" s="2"/>
      <c r="AL68" s="2"/>
      <c r="AM68" s="2"/>
      <c r="AN68" s="2"/>
      <c r="AO68" s="2"/>
      <c r="AP68" s="2"/>
      <c r="AQ68" s="2"/>
      <c r="AR68" s="2"/>
    </row>
    <row r="69" spans="19:44" x14ac:dyDescent="0.3">
      <c r="S69" s="2"/>
      <c r="T69" s="2"/>
      <c r="U69" s="2"/>
      <c r="V69" s="2"/>
      <c r="W69" s="2"/>
      <c r="X69" s="2"/>
      <c r="Y69" s="2"/>
      <c r="Z69" s="2"/>
      <c r="AA69" s="2"/>
      <c r="AB69" s="2"/>
      <c r="AC69" s="2"/>
      <c r="AD69" s="2"/>
      <c r="AE69" s="2"/>
      <c r="AF69" s="2"/>
      <c r="AG69" s="2"/>
      <c r="AH69" s="2"/>
      <c r="AI69" s="2"/>
      <c r="AJ69" s="2"/>
      <c r="AK69" s="2"/>
      <c r="AL69" s="2"/>
      <c r="AM69" s="2"/>
      <c r="AN69" s="2"/>
      <c r="AO69" s="2"/>
      <c r="AP69" s="2"/>
      <c r="AQ69" s="2"/>
      <c r="AR69" s="2"/>
    </row>
    <row r="70" spans="19:44" x14ac:dyDescent="0.3">
      <c r="S70" s="2"/>
      <c r="T70" s="2"/>
      <c r="U70" s="2"/>
      <c r="V70" s="2"/>
      <c r="W70" s="2"/>
      <c r="X70" s="2"/>
      <c r="Y70" s="2"/>
      <c r="Z70" s="2"/>
      <c r="AA70" s="2"/>
      <c r="AB70" s="2"/>
      <c r="AC70" s="2"/>
      <c r="AD70" s="2"/>
      <c r="AE70" s="2"/>
      <c r="AF70" s="2"/>
      <c r="AG70" s="2"/>
      <c r="AH70" s="2"/>
      <c r="AI70" s="2"/>
      <c r="AJ70" s="2"/>
      <c r="AK70" s="2"/>
      <c r="AL70" s="2"/>
      <c r="AM70" s="2"/>
      <c r="AN70" s="2"/>
      <c r="AO70" s="2"/>
      <c r="AP70" s="2"/>
      <c r="AQ70" s="2"/>
      <c r="AR70" s="2"/>
    </row>
    <row r="71" spans="19:44" x14ac:dyDescent="0.3">
      <c r="S71" s="2"/>
      <c r="T71" s="2"/>
      <c r="U71" s="2"/>
      <c r="V71" s="2"/>
      <c r="W71" s="2"/>
      <c r="X71" s="2"/>
      <c r="Y71" s="2"/>
      <c r="Z71" s="2"/>
      <c r="AA71" s="2"/>
      <c r="AB71" s="2"/>
      <c r="AC71" s="2"/>
      <c r="AD71" s="2"/>
      <c r="AE71" s="2"/>
      <c r="AF71" s="2"/>
      <c r="AG71" s="2"/>
      <c r="AH71" s="2"/>
      <c r="AI71" s="2"/>
      <c r="AJ71" s="2"/>
      <c r="AK71" s="2"/>
      <c r="AL71" s="2"/>
      <c r="AM71" s="2"/>
      <c r="AN71" s="2"/>
      <c r="AO71" s="2"/>
      <c r="AP71" s="2"/>
      <c r="AQ71" s="2"/>
      <c r="AR71" s="2"/>
    </row>
    <row r="72" spans="19:44" x14ac:dyDescent="0.3">
      <c r="S72" s="2"/>
      <c r="T72" s="2"/>
      <c r="U72" s="2"/>
      <c r="V72" s="2"/>
      <c r="W72" s="2"/>
      <c r="X72" s="2"/>
      <c r="Y72" s="2"/>
      <c r="Z72" s="2"/>
      <c r="AA72" s="2"/>
      <c r="AB72" s="2"/>
      <c r="AC72" s="2"/>
      <c r="AD72" s="2"/>
      <c r="AE72" s="2"/>
      <c r="AF72" s="2"/>
      <c r="AG72" s="2"/>
      <c r="AH72" s="2"/>
      <c r="AI72" s="2"/>
      <c r="AJ72" s="2"/>
      <c r="AK72" s="2"/>
      <c r="AL72" s="2"/>
      <c r="AM72" s="2"/>
      <c r="AN72" s="2"/>
      <c r="AO72" s="2"/>
      <c r="AP72" s="2"/>
      <c r="AQ72" s="2"/>
      <c r="AR72" s="2"/>
    </row>
    <row r="73" spans="19:44" x14ac:dyDescent="0.3">
      <c r="S73" s="2"/>
      <c r="T73" s="2"/>
      <c r="U73" s="2"/>
      <c r="V73" s="2"/>
      <c r="W73" s="2"/>
      <c r="X73" s="2"/>
      <c r="Y73" s="2"/>
      <c r="Z73" s="2"/>
      <c r="AA73" s="2"/>
      <c r="AB73" s="2"/>
      <c r="AC73" s="2"/>
      <c r="AD73" s="2"/>
      <c r="AE73" s="2"/>
      <c r="AF73" s="2"/>
      <c r="AG73" s="2"/>
      <c r="AH73" s="2"/>
      <c r="AI73" s="2"/>
      <c r="AJ73" s="2"/>
      <c r="AK73" s="2"/>
      <c r="AL73" s="2"/>
      <c r="AM73" s="2"/>
      <c r="AN73" s="2"/>
      <c r="AO73" s="2"/>
      <c r="AP73" s="2"/>
      <c r="AQ73" s="2"/>
      <c r="AR73" s="2"/>
    </row>
    <row r="74" spans="19:44" x14ac:dyDescent="0.3">
      <c r="S74" s="2"/>
      <c r="T74" s="2"/>
      <c r="U74" s="2"/>
      <c r="V74" s="2"/>
      <c r="W74" s="2"/>
      <c r="X74" s="2"/>
      <c r="Y74" s="2"/>
      <c r="Z74" s="2"/>
      <c r="AA74" s="2"/>
      <c r="AB74" s="2"/>
      <c r="AC74" s="2"/>
      <c r="AD74" s="2"/>
      <c r="AE74" s="2"/>
      <c r="AF74" s="2"/>
      <c r="AG74" s="2"/>
      <c r="AH74" s="2"/>
      <c r="AI74" s="2"/>
      <c r="AJ74" s="2"/>
      <c r="AK74" s="2"/>
      <c r="AL74" s="2"/>
      <c r="AM74" s="2"/>
      <c r="AN74" s="2"/>
      <c r="AO74" s="2"/>
      <c r="AP74" s="2"/>
      <c r="AQ74" s="2"/>
      <c r="AR74" s="2"/>
    </row>
    <row r="75" spans="19:44" x14ac:dyDescent="0.3">
      <c r="S75" s="2"/>
      <c r="T75" s="2"/>
      <c r="U75" s="2"/>
      <c r="V75" s="2"/>
      <c r="W75" s="2"/>
      <c r="X75" s="2"/>
      <c r="Y75" s="2"/>
      <c r="Z75" s="2"/>
      <c r="AA75" s="2"/>
      <c r="AB75" s="2"/>
      <c r="AC75" s="2"/>
      <c r="AD75" s="2"/>
      <c r="AE75" s="2"/>
      <c r="AF75" s="2"/>
      <c r="AG75" s="2"/>
      <c r="AH75" s="2"/>
      <c r="AI75" s="2"/>
      <c r="AJ75" s="2"/>
      <c r="AK75" s="2"/>
      <c r="AL75" s="2"/>
      <c r="AM75" s="2"/>
      <c r="AN75" s="2"/>
      <c r="AO75" s="2"/>
      <c r="AP75" s="2"/>
      <c r="AQ75" s="2"/>
      <c r="AR75" s="2"/>
    </row>
    <row r="76" spans="19:44" x14ac:dyDescent="0.3">
      <c r="S76" s="2"/>
      <c r="T76" s="2"/>
      <c r="U76" s="2"/>
      <c r="V76" s="2"/>
      <c r="W76" s="2"/>
      <c r="X76" s="2"/>
      <c r="Y76" s="2"/>
      <c r="Z76" s="2"/>
      <c r="AA76" s="2"/>
      <c r="AB76" s="2"/>
      <c r="AC76" s="2"/>
      <c r="AD76" s="2"/>
      <c r="AE76" s="2"/>
      <c r="AF76" s="2"/>
      <c r="AG76" s="2"/>
      <c r="AH76" s="2"/>
      <c r="AI76" s="2"/>
      <c r="AJ76" s="2"/>
      <c r="AK76" s="2"/>
      <c r="AL76" s="2"/>
      <c r="AM76" s="2"/>
      <c r="AN76" s="2"/>
      <c r="AO76" s="2"/>
      <c r="AP76" s="2"/>
      <c r="AQ76" s="2"/>
      <c r="AR76" s="2"/>
    </row>
    <row r="77" spans="19:44" x14ac:dyDescent="0.3">
      <c r="S77" s="2"/>
      <c r="T77" s="2"/>
      <c r="U77" s="2"/>
      <c r="V77" s="2"/>
      <c r="W77" s="2"/>
      <c r="X77" s="2"/>
      <c r="Y77" s="2"/>
      <c r="Z77" s="2"/>
      <c r="AA77" s="2"/>
      <c r="AB77" s="2"/>
      <c r="AC77" s="2"/>
      <c r="AD77" s="2"/>
      <c r="AE77" s="2"/>
      <c r="AF77" s="2"/>
      <c r="AG77" s="2"/>
      <c r="AH77" s="2"/>
      <c r="AI77" s="2"/>
      <c r="AJ77" s="2"/>
      <c r="AK77" s="2"/>
      <c r="AL77" s="2"/>
      <c r="AM77" s="2"/>
      <c r="AN77" s="2"/>
      <c r="AO77" s="2"/>
      <c r="AP77" s="2"/>
      <c r="AQ77" s="2"/>
      <c r="AR77" s="2"/>
    </row>
    <row r="78" spans="19:44" x14ac:dyDescent="0.3">
      <c r="S78" s="2"/>
      <c r="T78" s="2"/>
      <c r="U78" s="2"/>
      <c r="V78" s="2"/>
      <c r="W78" s="2"/>
      <c r="X78" s="2"/>
      <c r="Y78" s="2"/>
      <c r="Z78" s="2"/>
      <c r="AA78" s="2"/>
      <c r="AB78" s="2"/>
      <c r="AC78" s="2"/>
      <c r="AD78" s="2"/>
      <c r="AE78" s="2"/>
      <c r="AF78" s="2"/>
      <c r="AG78" s="2"/>
      <c r="AH78" s="2"/>
      <c r="AI78" s="2"/>
      <c r="AJ78" s="2"/>
      <c r="AK78" s="2"/>
      <c r="AL78" s="2"/>
      <c r="AM78" s="2"/>
      <c r="AN78" s="2"/>
      <c r="AO78" s="2"/>
      <c r="AP78" s="2"/>
      <c r="AQ78" s="2"/>
      <c r="AR78" s="2"/>
    </row>
  </sheetData>
  <sheetProtection formatCells="0" formatColumns="0" formatRows="0"/>
  <mergeCells count="10">
    <mergeCell ref="L11:W11"/>
    <mergeCell ref="AA11:AL11"/>
    <mergeCell ref="J11:K11"/>
    <mergeCell ref="Y11:Z11"/>
    <mergeCell ref="AW3:BB3"/>
    <mergeCell ref="AQ3:AV3"/>
    <mergeCell ref="AK3:AP3"/>
    <mergeCell ref="AE3:AJ3"/>
    <mergeCell ref="Y3:AD3"/>
    <mergeCell ref="S3:X3"/>
  </mergeCells>
  <conditionalFormatting sqref="H5:J5">
    <cfRule type="containsBlanks" dxfId="1" priority="2">
      <formula>LEN(TRIM(H5))=0</formula>
    </cfRule>
  </conditionalFormatting>
  <conditionalFormatting sqref="R5">
    <cfRule type="containsBlanks" dxfId="0" priority="1">
      <formula>LEN(TRIM(R5))=0</formula>
    </cfRule>
  </conditionalFormatting>
  <dataValidations count="2">
    <dataValidation type="list" allowBlank="1" showInputMessage="1" showErrorMessage="1" sqref="H5" xr:uid="{F86EB940-ED8A-4BBA-8182-D18BF628ACCF}">
      <formula1>$D$45:$D$60</formula1>
    </dataValidation>
    <dataValidation type="list" allowBlank="1" showInputMessage="1" showErrorMessage="1" sqref="R5" xr:uid="{86FC65CB-2DE9-4B6F-9F03-7139F8F670EA}">
      <formula1>$B$44:$B$53</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Step-by-Step Instructions</vt:lpstr>
      <vt:lpstr>Typical Target Crash Types</vt:lpstr>
      <vt:lpstr>Evaluation Set-up</vt:lpstr>
      <vt:lpstr>Original Fiche</vt:lpstr>
      <vt:lpstr>Filtered Fiche</vt:lpstr>
      <vt:lpstr>Binned Crashes</vt:lpstr>
      <vt:lpstr>Before</vt:lpstr>
      <vt:lpstr>After</vt:lpstr>
      <vt:lpstr>1 page results - 1 Target</vt:lpstr>
      <vt:lpstr>1 page results - 2 Targets</vt:lpstr>
      <vt:lpstr>For NCDOT staff - for Tracking</vt:lpstr>
      <vt:lpstr>'1 page results - 1 Target'!Print_Area</vt:lpstr>
      <vt:lpstr>'1 page results - 2 Targets'!Print_Area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Timothy S. Nye</dc:creator>
  <cp:lastModifiedBy>Timothy S. Nye</cp:lastModifiedBy>
  <cp:lastPrinted>2021-04-30T14:53:15Z</cp:lastPrinted>
  <dcterms:created xsi:type="dcterms:W3CDTF">2019-02-04T16:37:52Z</dcterms:created>
  <dcterms:modified xsi:type="dcterms:W3CDTF">2023-12-14T15:58:56Z</dcterms:modified>
</cp:coreProperties>
</file>